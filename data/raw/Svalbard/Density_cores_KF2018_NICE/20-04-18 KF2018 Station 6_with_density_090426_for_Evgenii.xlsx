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work\SeaIce_cores\sea_ice_cores_density_parameterisation\"/>
    </mc:Choice>
  </mc:AlternateContent>
  <xr:revisionPtr revIDLastSave="0" documentId="13_ncr:1_{54AC58F8-FE6C-4354-A757-E386521D4510}" xr6:coauthVersionLast="47" xr6:coauthVersionMax="47" xr10:uidLastSave="{00000000-0000-0000-0000-000000000000}"/>
  <bookViews>
    <workbookView xWindow="-108" yWindow="-108" windowWidth="23256" windowHeight="12456" tabRatio="766" activeTab="2" xr2:uid="{00000000-000D-0000-FFFF-FFFF00000000}"/>
  </bookViews>
  <sheets>
    <sheet name="Station Overview" sheetId="1" r:id="rId1"/>
    <sheet name="EM-31" sheetId="2" state="hidden" r:id="rId2"/>
    <sheet name="Temperature Core" sheetId="15" r:id="rId3"/>
    <sheet name="Salinity Core" sheetId="4" r:id="rId4"/>
    <sheet name="Chemistry Core" sheetId="19" r:id="rId5"/>
    <sheet name="Core for plastic" sheetId="21" r:id="rId6"/>
    <sheet name="Density Core" sheetId="14" r:id="rId7"/>
    <sheet name="Archive Core" sheetId="16" r:id="rId8"/>
    <sheet name="TriOS" sheetId="6" state="hidden" r:id="rId9"/>
    <sheet name="ASD" sheetId="7" state="hidden" r:id="rId10"/>
    <sheet name="Black Carbon" sheetId="8" state="hidden" r:id="rId11"/>
    <sheet name="CTD" sheetId="12" state="hidden" r:id="rId12"/>
    <sheet name="Lists" sheetId="13" r:id="rId13"/>
  </sheets>
  <externalReferences>
    <externalReference r:id="rId14"/>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7">'Archive Core'!$A$1:$H$46</definedName>
    <definedName name="_xlnm.Print_Area" localSheetId="9">ASD!$A$1:$L$32</definedName>
    <definedName name="_xlnm.Print_Area" localSheetId="10">'Black Carbon'!$A$1:$N$35</definedName>
    <definedName name="_xlnm.Print_Area" localSheetId="5">'Core for plastic'!$A$1:$H$46</definedName>
    <definedName name="_xlnm.Print_Area" localSheetId="11">CTD!$A$1:$M$32</definedName>
    <definedName name="_xlnm.Print_Area" localSheetId="6">'Density Core'!$A$1:$I$36</definedName>
    <definedName name="_xlnm.Print_Area" localSheetId="1">'EM-31'!$A$1:$K$27</definedName>
    <definedName name="_xlnm.Print_Area" localSheetId="3">'Salinity Core'!$A$1:$N$41</definedName>
    <definedName name="_xlnm.Print_Area" localSheetId="0">'Station Overview'!$A$1:$F$37</definedName>
    <definedName name="_xlnm.Print_Area" localSheetId="2">'Temperature Core'!$A$1:$H$46</definedName>
    <definedName name="_xlnm.Print_Area" localSheetId="8">TriOS!$A$1:$L$31</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4" l="1"/>
  <c r="H30" i="14"/>
  <c r="H29" i="14"/>
  <c r="H28" i="14"/>
  <c r="H27" i="14"/>
  <c r="H26" i="14"/>
  <c r="H25" i="14"/>
  <c r="H24" i="14"/>
  <c r="H23" i="14"/>
  <c r="G23" i="14"/>
  <c r="G24" i="14"/>
  <c r="G25" i="14"/>
  <c r="G26" i="14"/>
  <c r="G27" i="14"/>
  <c r="G28" i="14"/>
  <c r="G29" i="14"/>
  <c r="G30" i="14"/>
  <c r="G31" i="14"/>
  <c r="B19" i="4" l="1"/>
  <c r="C19" i="4" s="1"/>
  <c r="B20" i="4" s="1"/>
  <c r="C20" i="4" s="1"/>
  <c r="B21" i="4" s="1"/>
  <c r="C21" i="4" s="1"/>
  <c r="B22" i="4" s="1"/>
  <c r="C22" i="4" s="1"/>
  <c r="C18" i="4"/>
  <c r="D20" i="21" l="1"/>
  <c r="B4" i="21"/>
  <c r="B2" i="21"/>
  <c r="D20" i="19" l="1"/>
  <c r="B4" i="19"/>
  <c r="B2" i="19"/>
  <c r="D20" i="16" l="1"/>
  <c r="B4" i="16"/>
  <c r="B2" i="16"/>
  <c r="B2" i="15" l="1"/>
  <c r="B4" i="15"/>
  <c r="B2" i="2"/>
  <c r="B4" i="6" l="1"/>
  <c r="B4" i="7"/>
  <c r="B2" i="6"/>
  <c r="B2" i="7"/>
  <c r="B4" i="14"/>
  <c r="B2" i="14"/>
  <c r="B4" i="12" l="1"/>
  <c r="B2" i="12"/>
  <c r="B4" i="8"/>
  <c r="B2" i="8"/>
  <c r="B4" i="4"/>
  <c r="B2" i="4"/>
  <c r="B4" i="2"/>
</calcChain>
</file>

<file path=xl/sharedStrings.xml><?xml version="1.0" encoding="utf-8"?>
<sst xmlns="http://schemas.openxmlformats.org/spreadsheetml/2006/main" count="416" uniqueCount="229">
  <si>
    <t>Ice Station Daily Report</t>
  </si>
  <si>
    <t>Expedition ID</t>
  </si>
  <si>
    <t>Station number</t>
  </si>
  <si>
    <t>Day at station</t>
  </si>
  <si>
    <t>Date</t>
  </si>
  <si>
    <t>EM-31</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</si>
  <si>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</si>
  <si>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</si>
  <si>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</si>
  <si>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</si>
  <si>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</si>
  <si>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</si>
  <si>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</si>
  <si>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</si>
  <si>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</si>
  <si>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</si>
  <si>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</si>
  <si>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</si>
  <si>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</si>
  <si>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Snow thickness [cm]</t>
  </si>
  <si>
    <t>Time zones</t>
  </si>
  <si>
    <t>Station types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</si>
  <si>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</si>
  <si>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</si>
  <si>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</si>
  <si>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</si>
  <si>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</si>
  <si>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</si>
  <si>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</si>
  <si>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</si>
  <si>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</si>
  <si>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</si>
  <si>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</si>
  <si>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</si>
  <si>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</si>
  <si>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</si>
  <si>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</si>
  <si>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</si>
  <si>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</si>
  <si>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</si>
  <si>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</si>
  <si>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</si>
  <si>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</si>
  <si>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</si>
  <si>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</si>
  <si>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</si>
  <si>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</si>
  <si>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</si>
  <si>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</si>
  <si>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</si>
  <si>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</si>
  <si>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</si>
  <si>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</si>
  <si>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</si>
  <si>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</si>
  <si>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</si>
  <si>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</si>
  <si>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</si>
  <si>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</si>
  <si>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</si>
  <si>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</si>
  <si>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</si>
  <si>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</si>
  <si>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</si>
  <si>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</si>
  <si>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</si>
  <si>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</si>
  <si>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</si>
  <si>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</si>
  <si>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</si>
  <si>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</si>
  <si>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</si>
  <si>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</si>
  <si>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Back Carbon</t>
  </si>
  <si>
    <t>CTD</t>
  </si>
  <si>
    <t>Temperatures:</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</si>
  <si>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</si>
  <si>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</si>
  <si>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</si>
  <si>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</si>
  <si>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</si>
  <si>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</si>
  <si>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</si>
  <si>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</si>
  <si>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</si>
  <si>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</si>
  <si>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</si>
  <si>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</si>
  <si>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</si>
  <si>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</si>
  <si>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</si>
  <si>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</si>
  <si>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</si>
  <si>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</si>
  <si>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</si>
  <si>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</si>
  <si>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</si>
  <si>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</si>
  <si>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</si>
  <si>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Station ID</t>
  </si>
  <si>
    <t>BC bottle ID</t>
  </si>
  <si>
    <t>BC depth [cm]</t>
  </si>
  <si>
    <t>Temp air 1m</t>
  </si>
  <si>
    <t>Temp surface</t>
  </si>
  <si>
    <t>Temp 5cm</t>
  </si>
  <si>
    <t>Crystal Ø surface [mm]</t>
  </si>
  <si>
    <t>Crystal Ø at 5cm [mm]</t>
  </si>
  <si>
    <t>Snow Pit</t>
  </si>
  <si>
    <t>Optics</t>
  </si>
  <si>
    <t>Crystal Type surface</t>
  </si>
  <si>
    <t>Crystal Type at 5cm</t>
  </si>
  <si>
    <t>BC area [cmxcm]</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</si>
  <si>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</si>
  <si>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</si>
  <si>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</si>
  <si>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</si>
  <si>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</si>
  <si>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</si>
  <si>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</si>
  <si>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</si>
  <si>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</si>
  <si>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</si>
  <si>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</si>
  <si>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</si>
  <si>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</si>
  <si>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</si>
  <si>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t>EM value</t>
  </si>
  <si>
    <t>EM count Start</t>
  </si>
  <si>
    <t>EM count Stop</t>
  </si>
  <si>
    <t>EM-31 File Name</t>
  </si>
  <si>
    <t>Instrument ID</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</si>
  <si>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</si>
  <si>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</si>
  <si>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</si>
  <si>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</si>
  <si>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</si>
  <si>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</si>
  <si>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(from list?)</t>
  </si>
  <si>
    <t>TriOS</t>
  </si>
  <si>
    <t>Experiment description</t>
  </si>
  <si>
    <t>Related photos</t>
  </si>
  <si>
    <t>Sensor ID</t>
  </si>
  <si>
    <t>Observation type</t>
  </si>
  <si>
    <t>Raw spectra</t>
  </si>
  <si>
    <t>Inclination</t>
  </si>
  <si>
    <t>Pressure</t>
  </si>
  <si>
    <t>Processed</t>
  </si>
  <si>
    <t>Cloud conditions</t>
  </si>
  <si>
    <t>Light comments</t>
  </si>
  <si>
    <t>Precipitation</t>
  </si>
  <si>
    <t>Surface</t>
  </si>
  <si>
    <t>Original data</t>
  </si>
  <si>
    <t>ASD / Field Spec</t>
  </si>
  <si>
    <t>Site</t>
  </si>
  <si>
    <t>Thickness bottom to water [cm]</t>
  </si>
  <si>
    <t>Thickness bottom to ice surface [cm]</t>
  </si>
  <si>
    <t>Thickness bottom to snow surface [cm]</t>
  </si>
  <si>
    <t>Freeboard [cm]</t>
  </si>
  <si>
    <t>Ice thickness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</si>
  <si>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</si>
  <si>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</si>
  <si>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</si>
  <si>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</si>
  <si>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</si>
  <si>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</si>
  <si>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</si>
  <si>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</si>
  <si>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</si>
  <si>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</si>
  <si>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</si>
  <si>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</si>
  <si>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</si>
  <si>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</si>
  <si>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</si>
  <si>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</si>
  <si>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</si>
  <si>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GPS Track File Name</t>
  </si>
  <si>
    <t>Stn. Number</t>
  </si>
  <si>
    <t>Exp. ID</t>
  </si>
  <si>
    <t>Time zone used</t>
  </si>
  <si>
    <t>Starting Date</t>
  </si>
  <si>
    <t>Starting Time</t>
  </si>
  <si>
    <t>Associate with station</t>
  </si>
  <si>
    <t>Yes_No</t>
  </si>
  <si>
    <t>Yes</t>
  </si>
  <si>
    <t>No</t>
  </si>
  <si>
    <t>Core Kept for Texture Analasis?</t>
  </si>
  <si>
    <t>Total core length [cm]</t>
  </si>
  <si>
    <t>Documents</t>
  </si>
  <si>
    <t>Ice depth (from top) [cm]</t>
  </si>
  <si>
    <t>Archive Core</t>
  </si>
  <si>
    <t>no</t>
  </si>
  <si>
    <t>KF2018</t>
  </si>
  <si>
    <t>Chemistry Core</t>
  </si>
  <si>
    <t>gps mark 37 for the station start, track from 19.04.2018</t>
  </si>
  <si>
    <t>gps mark 48 for the station end, track from 19.04.2018</t>
  </si>
  <si>
    <t>S. Gerland, D. Divine, K. Wang</t>
  </si>
  <si>
    <t>crack at 42 cm</t>
  </si>
  <si>
    <t>Temperature core kept for IP25 analysis, labeled "IP25, core 6", water samples in borehole N 95, 96 and 21, water temperature at the fast ice edge -0.8</t>
  </si>
  <si>
    <t>8.5; 8; 7.5; 8</t>
  </si>
  <si>
    <t>Labelled Chemistry core, core 2, same location as other cores</t>
  </si>
  <si>
    <t xml:space="preserve">Labelled Stratigraphy/archive core 3; </t>
  </si>
  <si>
    <t>Core for plastic</t>
  </si>
  <si>
    <t>labelled "salinity core, core 1", gps marks 99 and 100, see daily track file for details</t>
  </si>
  <si>
    <t>Station at Raudvika, fast ice , about 40 cm thick, 5-9 cm snow on the surface. Times are in LT. Used GPS tracker model 64s. Track start at gps mark 98 and ends at mark 121</t>
  </si>
  <si>
    <t>B01N</t>
  </si>
  <si>
    <t>B02N</t>
  </si>
  <si>
    <t>B03N</t>
  </si>
  <si>
    <t>B04N</t>
  </si>
  <si>
    <t>B05N</t>
  </si>
  <si>
    <t>crack at 18 cm</t>
  </si>
  <si>
    <t>Labeled "core for plastic, core 4", same location as temperature core. Was processed for microplastic, one half of the core along the main axis left in the storage. Used for density analysis (see density core)</t>
  </si>
  <si>
    <t xml:space="preserve">Weight in the air [g] </t>
  </si>
  <si>
    <t xml:space="preserve">Weight in the parafine [g] </t>
  </si>
  <si>
    <t>salinity bag</t>
  </si>
  <si>
    <t>Mean depth [cm]</t>
  </si>
  <si>
    <r>
      <t>Density [g/cm</t>
    </r>
    <r>
      <rPr>
        <b/>
        <sz val="11"/>
        <color theme="1"/>
        <rFont val="Calibri"/>
        <family val="2"/>
      </rPr>
      <t>³]</t>
    </r>
  </si>
  <si>
    <t>temperature lab</t>
  </si>
  <si>
    <t>density parafine</t>
  </si>
  <si>
    <t>break at 26</t>
  </si>
  <si>
    <t>C1</t>
  </si>
  <si>
    <t>C2</t>
  </si>
  <si>
    <t>C3</t>
  </si>
  <si>
    <t>C4</t>
  </si>
  <si>
    <t>C5</t>
  </si>
  <si>
    <t>C6</t>
  </si>
  <si>
    <t>C7</t>
  </si>
  <si>
    <t>C8</t>
  </si>
  <si>
    <t>C9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</si>
</sst>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0#"/>
    <numFmt numFmtId="166" formatCode="dd/mm/yyyy;@"/>
    <numFmt numFmtId="167" formatCode="0.0000"/>
    <numFmt numFmtId="168" formatCode="hh:mm;@"/>
    <numFmt numFmtId="170" formatCode="0.0&quot; °C&quot;"/>
    <numFmt numFmtId="172" formatCode="&quot;Yes&quot;;&quot;Yes&quot;;&quot;No&quot;"/>
    <numFmt numFmtId="173" formatCode="0.00&quot; m&quot;"/>
    <numFmt numFmtId="174" formatCode="0&quot; cm&quot;"/>
    <numFmt numFmtId="175" formatCode="[$-F400]h:mm:ss\ AM/PM"/>
    <numFmt numFmtId="176" formatCode="0&quot; cm²&quot;"/>
    <numFmt numFmtId="178" formatCode="0.00&quot; cm&quot;"/>
  </numFmts>
  <fonts count="16"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8"/>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10" applyNumberFormat="0" applyAlignment="0" applyProtection="0"/>
    <xf numFmtId="164" fontId="14" fillId="0" borderId="0" applyFont="0" applyFill="0" applyBorder="0" applyAlignment="0" applyProtection="0"/>
  </cellStyleXfs>
  <cellXfs count="237">
    <xf numFmtId="0" fontId="0" fillId="0" borderId="0" xfId="0"/>
    <xf numFmtId="0" fontId="3" fillId="0" borderId="0" xfId="0" applyFont="1"/>
    <xf numFmtId="49" fontId="0" fillId="0" borderId="0" xfId="0" applyNumberFormat="1"/>
    <xf numFmtId="0" fontId="8" fillId="4" borderId="10" xfId="2"/>
    <xf numFmtId="0" fontId="5" fillId="3" borderId="11" xfId="0" applyFont="1" applyFill="1" applyBorder="1"/>
    <xf numFmtId="166" fontId="5" fillId="3" borderId="11" xfId="0" applyNumberFormat="1" applyFont="1" applyFill="1" applyBorder="1"/>
    <xf numFmtId="0" fontId="5" fillId="3" borderId="12" xfId="0" applyFont="1" applyFill="1" applyBorder="1"/>
    <xf numFmtId="0" fontId="5" fillId="3" borderId="11" xfId="0" applyFont="1" applyFill="1" applyBorder="1" applyAlignment="1">
      <alignment vertical="top"/>
    </xf>
    <xf numFmtId="168" fontId="5" fillId="5" borderId="12" xfId="0" applyNumberFormat="1" applyFont="1" applyFill="1" applyBorder="1" applyAlignment="1">
      <alignment horizontal="right"/>
    </xf>
    <xf numFmtId="0" fontId="0" fillId="3" borderId="11" xfId="0" applyFill="1" applyBorder="1"/>
    <xf numFmtId="167" fontId="0" fillId="3" borderId="11" xfId="0" applyNumberFormat="1" applyFill="1" applyBorder="1"/>
    <xf numFmtId="0" fontId="0" fillId="3" borderId="13" xfId="0" applyFill="1" applyBorder="1"/>
    <xf numFmtId="0" fontId="3" fillId="3" borderId="11" xfId="0" applyFont="1" applyFill="1" applyBorder="1" applyAlignment="1">
      <alignment horizontal="center" wrapText="1"/>
    </xf>
    <xf numFmtId="49" fontId="0" fillId="3" borderId="17" xfId="0" applyNumberFormat="1" applyFill="1" applyBorder="1" applyAlignment="1">
      <alignment wrapText="1"/>
    </xf>
    <xf numFmtId="49" fontId="0" fillId="3" borderId="19" xfId="0" applyNumberFormat="1" applyFill="1" applyBorder="1" applyAlignment="1">
      <alignment wrapText="1"/>
    </xf>
    <xf numFmtId="49" fontId="0" fillId="3" borderId="22" xfId="0" applyNumberFormat="1" applyFill="1" applyBorder="1" applyAlignment="1">
      <alignment wrapText="1"/>
    </xf>
    <xf numFmtId="0" fontId="3" fillId="3" borderId="26" xfId="0" applyFont="1" applyFill="1" applyBorder="1" applyAlignment="1">
      <alignment vertical="top" wrapText="1"/>
    </xf>
    <xf numFmtId="0" fontId="0" fillId="3" borderId="14" xfId="0" applyFill="1" applyBorder="1"/>
    <xf numFmtId="0" fontId="0" fillId="3" borderId="17" xfId="0" applyFill="1" applyBorder="1"/>
    <xf numFmtId="0" fontId="0" fillId="3" borderId="23" xfId="0" applyFill="1" applyBorder="1"/>
    <xf numFmtId="0" fontId="0" fillId="3" borderId="19" xfId="0" applyFill="1" applyBorder="1"/>
    <xf numFmtId="167" fontId="0" fillId="3" borderId="20" xfId="0" applyNumberFormat="1" applyFill="1" applyBorder="1"/>
    <xf numFmtId="0" fontId="0" fillId="3" borderId="17" xfId="0" applyFill="1" applyBorder="1" applyAlignment="1">
      <alignment vertical="top"/>
    </xf>
    <xf numFmtId="0" fontId="0" fillId="3" borderId="19" xfId="0" applyFill="1" applyBorder="1" applyAlignment="1">
      <alignment vertical="top"/>
    </xf>
    <xf numFmtId="49" fontId="8" fillId="4" borderId="10" xfId="2" applyNumberFormat="1"/>
    <xf numFmtId="0" fontId="7" fillId="3" borderId="14" xfId="0" applyFont="1" applyFill="1" applyBorder="1"/>
    <xf numFmtId="0" fontId="7" fillId="3" borderId="17" xfId="0" applyFont="1" applyFill="1" applyBorder="1"/>
    <xf numFmtId="0" fontId="7" fillId="3" borderId="33" xfId="0" applyFont="1" applyFill="1" applyBorder="1"/>
    <xf numFmtId="0" fontId="7" fillId="3" borderId="19" xfId="0" applyFont="1" applyFill="1" applyBorder="1" applyAlignment="1">
      <alignment vertical="top"/>
    </xf>
    <xf numFmtId="0" fontId="6" fillId="3" borderId="24" xfId="0" applyFont="1" applyFill="1" applyBorder="1" applyAlignment="1">
      <alignment horizontal="center" wrapText="1"/>
    </xf>
    <xf numFmtId="0" fontId="6" fillId="3" borderId="25" xfId="0" applyFont="1" applyFill="1" applyBorder="1" applyAlignment="1">
      <alignment horizontal="center" wrapText="1"/>
    </xf>
    <xf numFmtId="0" fontId="7" fillId="3" borderId="25" xfId="0" applyFont="1" applyFill="1" applyBorder="1" applyAlignment="1">
      <alignment horizontal="center" wrapText="1"/>
    </xf>
    <xf numFmtId="0" fontId="6" fillId="3" borderId="26" xfId="0" applyFont="1" applyFill="1" applyBorder="1" applyAlignment="1">
      <alignment horizontal="center" wrapText="1"/>
    </xf>
    <xf numFmtId="0" fontId="5" fillId="3" borderId="14" xfId="0" applyFont="1" applyFill="1" applyBorder="1"/>
    <xf numFmtId="0" fontId="5" fillId="3" borderId="17" xfId="0" applyFont="1" applyFill="1" applyBorder="1"/>
    <xf numFmtId="0" fontId="5" fillId="3" borderId="33" xfId="0" applyFont="1" applyFill="1" applyBorder="1"/>
    <xf numFmtId="0" fontId="5" fillId="3" borderId="19" xfId="0" applyFont="1" applyFill="1" applyBorder="1" applyAlignment="1">
      <alignment vertical="top"/>
    </xf>
    <xf numFmtId="174" fontId="0" fillId="3" borderId="21" xfId="0" applyNumberFormat="1" applyFill="1" applyBorder="1"/>
    <xf numFmtId="0" fontId="3" fillId="3" borderId="24" xfId="0" applyFont="1" applyFill="1" applyBorder="1"/>
    <xf numFmtId="0" fontId="3" fillId="3" borderId="26" xfId="0" applyFont="1" applyFill="1" applyBorder="1"/>
    <xf numFmtId="0" fontId="3" fillId="3" borderId="25" xfId="0" applyFont="1" applyFill="1" applyBorder="1"/>
    <xf numFmtId="49" fontId="5" fillId="5" borderId="4" xfId="0" applyNumberFormat="1" applyFont="1" applyFill="1" applyBorder="1" applyAlignment="1" applyProtection="1">
      <alignment horizontal="right"/>
      <protection locked="0"/>
    </xf>
    <xf numFmtId="0" fontId="0" fillId="5" borderId="11" xfId="0" applyFill="1" applyBorder="1"/>
    <xf numFmtId="174" fontId="0" fillId="5" borderId="11" xfId="0" applyNumberFormat="1" applyFill="1" applyBorder="1" applyAlignment="1">
      <alignment horizontal="right"/>
    </xf>
    <xf numFmtId="174" fontId="0" fillId="3" borderId="11" xfId="0" applyNumberFormat="1" applyFill="1" applyBorder="1"/>
    <xf numFmtId="0" fontId="0" fillId="5" borderId="11" xfId="0" applyFill="1" applyBorder="1" applyProtection="1">
      <protection locked="0"/>
    </xf>
    <xf numFmtId="174" fontId="0" fillId="5" borderId="11" xfId="0" applyNumberFormat="1" applyFill="1" applyBorder="1" applyProtection="1">
      <protection locked="0"/>
    </xf>
    <xf numFmtId="0" fontId="0" fillId="6" borderId="24"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7" xfId="0" applyFill="1" applyBorder="1"/>
    <xf numFmtId="0" fontId="0" fillId="7" borderId="0" xfId="0" applyFill="1" applyAlignment="1">
      <alignment vertical="top"/>
    </xf>
    <xf numFmtId="0" fontId="0" fillId="7" borderId="0" xfId="0" applyFill="1" applyAlignment="1">
      <alignment vertical="top" wrapText="1"/>
    </xf>
    <xf numFmtId="0" fontId="0" fillId="7" borderId="31" xfId="0" applyFill="1" applyBorder="1"/>
    <xf numFmtId="0" fontId="0" fillId="7" borderId="29" xfId="0" applyFill="1" applyBorder="1"/>
    <xf numFmtId="0" fontId="0" fillId="7" borderId="30" xfId="0" applyFill="1" applyBorder="1"/>
    <xf numFmtId="20" fontId="0" fillId="7" borderId="30" xfId="0" applyNumberFormat="1" applyFill="1" applyBorder="1"/>
    <xf numFmtId="0" fontId="0" fillId="7" borderId="11"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4" xfId="0" applyFill="1" applyBorder="1" applyAlignment="1">
      <alignment vertical="top"/>
    </xf>
    <xf numFmtId="0" fontId="0" fillId="7" borderId="0" xfId="0" applyFill="1" applyProtection="1">
      <protection locked="0"/>
    </xf>
    <xf numFmtId="14" fontId="0" fillId="5" borderId="27" xfId="0" applyNumberFormat="1" applyFill="1" applyBorder="1" applyProtection="1">
      <protection locked="0"/>
    </xf>
    <xf numFmtId="168" fontId="0" fillId="5" borderId="2" xfId="0" applyNumberFormat="1" applyFill="1" applyBorder="1" applyProtection="1">
      <protection locked="0"/>
    </xf>
    <xf numFmtId="0" fontId="0" fillId="5" borderId="18" xfId="0" applyFill="1" applyBorder="1" applyProtection="1">
      <protection locked="0"/>
    </xf>
    <xf numFmtId="0" fontId="0" fillId="5" borderId="20" xfId="0" applyFill="1" applyBorder="1" applyProtection="1">
      <protection locked="0"/>
    </xf>
    <xf numFmtId="0" fontId="0" fillId="5" borderId="21" xfId="0" applyFill="1" applyBorder="1" applyProtection="1">
      <protection locked="0"/>
    </xf>
    <xf numFmtId="0" fontId="0" fillId="5" borderId="23" xfId="0" applyFill="1" applyBorder="1" applyAlignment="1" applyProtection="1">
      <alignment horizontal="left" wrapText="1"/>
      <protection locked="0"/>
    </xf>
    <xf numFmtId="0" fontId="0" fillId="5" borderId="18" xfId="0" applyFill="1" applyBorder="1" applyAlignment="1" applyProtection="1">
      <alignment horizontal="left"/>
      <protection locked="0"/>
    </xf>
    <xf numFmtId="0" fontId="0" fillId="5" borderId="21" xfId="0" applyFill="1" applyBorder="1" applyAlignment="1" applyProtection="1">
      <alignment horizontal="left"/>
      <protection locked="0"/>
    </xf>
    <xf numFmtId="0" fontId="5" fillId="7" borderId="28"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32" xfId="0" applyFont="1" applyFill="1" applyBorder="1" applyAlignment="1">
      <alignment vertical="top"/>
    </xf>
    <xf numFmtId="0" fontId="5" fillId="7" borderId="0" xfId="0" applyFont="1" applyFill="1" applyAlignment="1">
      <alignment wrapText="1"/>
    </xf>
    <xf numFmtId="0" fontId="0" fillId="7" borderId="0" xfId="0" applyFill="1" applyAlignment="1">
      <alignment wrapText="1"/>
    </xf>
    <xf numFmtId="173" fontId="0" fillId="5" borderId="13" xfId="0" applyNumberFormat="1" applyFill="1" applyBorder="1" applyProtection="1">
      <protection locked="0"/>
    </xf>
    <xf numFmtId="2" fontId="0" fillId="5" borderId="13" xfId="0" applyNumberFormat="1" applyFill="1" applyBorder="1" applyProtection="1">
      <protection locked="0"/>
    </xf>
    <xf numFmtId="174" fontId="0" fillId="5" borderId="13" xfId="0" applyNumberFormat="1" applyFill="1" applyBorder="1" applyProtection="1">
      <protection locked="0"/>
    </xf>
    <xf numFmtId="0" fontId="5" fillId="5" borderId="13" xfId="0" applyFont="1" applyFill="1" applyBorder="1" applyProtection="1">
      <protection locked="0"/>
    </xf>
    <xf numFmtId="173" fontId="0" fillId="5" borderId="11" xfId="0" applyNumberFormat="1" applyFill="1" applyBorder="1" applyProtection="1">
      <protection locked="0"/>
    </xf>
    <xf numFmtId="2" fontId="0" fillId="5" borderId="11" xfId="0" applyNumberFormat="1" applyFill="1" applyBorder="1" applyProtection="1">
      <protection locked="0"/>
    </xf>
    <xf numFmtId="0" fontId="5" fillId="5" borderId="11" xfId="0" applyFont="1" applyFill="1" applyBorder="1" applyProtection="1">
      <protection locked="0"/>
    </xf>
    <xf numFmtId="0" fontId="0" fillId="5" borderId="13" xfId="0" applyFill="1" applyBorder="1" applyProtection="1">
      <protection locked="0"/>
    </xf>
    <xf numFmtId="172" fontId="5" fillId="7" borderId="0" xfId="0" applyNumberFormat="1" applyFont="1" applyFill="1" applyAlignment="1">
      <alignment vertical="top" wrapText="1"/>
    </xf>
    <xf numFmtId="0" fontId="0" fillId="7" borderId="15" xfId="0" applyFill="1" applyBorder="1"/>
    <xf numFmtId="0" fontId="0" fillId="7" borderId="16" xfId="0" applyFill="1" applyBorder="1"/>
    <xf numFmtId="0" fontId="0" fillId="7" borderId="18" xfId="0" applyFill="1" applyBorder="1"/>
    <xf numFmtId="0" fontId="0" fillId="7" borderId="20" xfId="0" applyFill="1" applyBorder="1"/>
    <xf numFmtId="170" fontId="0" fillId="5" borderId="16" xfId="0" applyNumberFormat="1" applyFill="1" applyBorder="1" applyAlignment="1" applyProtection="1">
      <alignment horizontal="right"/>
      <protection locked="0"/>
    </xf>
    <xf numFmtId="170" fontId="0" fillId="5" borderId="18" xfId="0" applyNumberFormat="1" applyFill="1" applyBorder="1" applyAlignment="1" applyProtection="1">
      <alignment horizontal="right"/>
      <protection locked="0"/>
    </xf>
    <xf numFmtId="170" fontId="0" fillId="5" borderId="21"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8" xfId="0" applyNumberFormat="1" applyFill="1" applyBorder="1" applyAlignment="1" applyProtection="1">
      <alignment horizontal="right"/>
      <protection locked="0"/>
    </xf>
    <xf numFmtId="174" fontId="0" fillId="5" borderId="21" xfId="0" applyNumberFormat="1" applyFill="1" applyBorder="1" applyAlignment="1" applyProtection="1">
      <alignment horizontal="right"/>
      <protection locked="0"/>
    </xf>
    <xf numFmtId="174" fontId="0" fillId="5" borderId="15"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74" fontId="0" fillId="5" borderId="2" xfId="0" applyNumberFormat="1" applyFill="1" applyBorder="1" applyAlignment="1" applyProtection="1">
      <alignment horizontal="right"/>
      <protection locked="0"/>
    </xf>
    <xf numFmtId="0" fontId="0" fillId="5" borderId="13" xfId="0" applyFill="1" applyBorder="1" applyAlignment="1" applyProtection="1">
      <alignment horizontal="center"/>
      <protection locked="0"/>
    </xf>
    <xf numFmtId="174" fontId="0" fillId="5" borderId="13"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5" fillId="5" borderId="11" xfId="0" applyFont="1" applyFill="1" applyBorder="1"/>
    <xf numFmtId="174" fontId="0" fillId="5" borderId="11" xfId="3" applyNumberFormat="1" applyFont="1" applyFill="1" applyBorder="1" applyAlignment="1" applyProtection="1">
      <alignment horizontal="right"/>
      <protection locked="0"/>
    </xf>
    <xf numFmtId="2" fontId="0" fillId="5" borderId="11" xfId="0" applyNumberFormat="1" applyFill="1" applyBorder="1" applyAlignment="1" applyProtection="1">
      <alignment horizontal="center"/>
      <protection locked="0"/>
    </xf>
    <xf numFmtId="170" fontId="0" fillId="5" borderId="11" xfId="0" applyNumberFormat="1" applyFill="1" applyBorder="1" applyProtection="1">
      <protection locked="0"/>
    </xf>
    <xf numFmtId="49" fontId="0" fillId="5" borderId="11" xfId="0" applyNumberFormat="1" applyFill="1" applyBorder="1" applyAlignment="1" applyProtection="1">
      <alignment horizontal="left"/>
      <protection locked="0"/>
    </xf>
    <xf numFmtId="0" fontId="5" fillId="7" borderId="8" xfId="0" applyFont="1" applyFill="1" applyBorder="1" applyAlignment="1">
      <alignment vertical="top"/>
    </xf>
    <xf numFmtId="0" fontId="5" fillId="7" borderId="9" xfId="0" applyFont="1" applyFill="1" applyBorder="1" applyAlignment="1">
      <alignment vertical="top"/>
    </xf>
    <xf numFmtId="170" fontId="0" fillId="5" borderId="11" xfId="0" applyNumberFormat="1" applyFill="1" applyBorder="1" applyAlignment="1" applyProtection="1">
      <alignment horizontal="right"/>
      <protection locked="0"/>
    </xf>
    <xf numFmtId="0" fontId="1" fillId="7" borderId="0" xfId="1" applyFill="1" applyBorder="1"/>
    <xf numFmtId="175" fontId="0" fillId="7" borderId="0" xfId="0" applyNumberFormat="1" applyFill="1"/>
    <xf numFmtId="175" fontId="5" fillId="7" borderId="0" xfId="0" applyNumberFormat="1" applyFont="1" applyFill="1"/>
    <xf numFmtId="175" fontId="0" fillId="5" borderId="11" xfId="0" applyNumberFormat="1" applyFill="1" applyBorder="1"/>
    <xf numFmtId="0" fontId="0" fillId="5" borderId="13" xfId="0" applyFill="1" applyBorder="1"/>
    <xf numFmtId="175" fontId="0" fillId="5" borderId="13" xfId="0" applyNumberFormat="1" applyFill="1" applyBorder="1"/>
    <xf numFmtId="0" fontId="3" fillId="3" borderId="38" xfId="0" applyFont="1" applyFill="1" applyBorder="1"/>
    <xf numFmtId="0" fontId="0" fillId="3" borderId="25" xfId="0" applyFill="1" applyBorder="1"/>
    <xf numFmtId="175" fontId="3" fillId="3" borderId="39" xfId="0" applyNumberFormat="1" applyFont="1" applyFill="1" applyBorder="1"/>
    <xf numFmtId="0" fontId="5" fillId="3" borderId="15" xfId="0" applyFont="1" applyFill="1" applyBorder="1" applyAlignment="1">
      <alignment horizontal="right"/>
    </xf>
    <xf numFmtId="0" fontId="5" fillId="7" borderId="40" xfId="0" applyFont="1" applyFill="1" applyBorder="1"/>
    <xf numFmtId="0" fontId="5" fillId="3" borderId="33" xfId="0" applyFont="1" applyFill="1" applyBorder="1" applyAlignment="1">
      <alignment vertical="top"/>
    </xf>
    <xf numFmtId="0" fontId="5" fillId="3" borderId="17" xfId="0" applyFont="1" applyFill="1" applyBorder="1" applyAlignment="1">
      <alignment vertical="top"/>
    </xf>
    <xf numFmtId="0" fontId="12" fillId="7" borderId="0" xfId="1" applyFont="1" applyFill="1" applyBorder="1"/>
    <xf numFmtId="175" fontId="5" fillId="7" borderId="0" xfId="0" applyNumberFormat="1" applyFont="1" applyFill="1" applyAlignment="1">
      <alignment vertical="top" wrapText="1"/>
    </xf>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3" xfId="0" applyNumberFormat="1" applyFill="1" applyBorder="1" applyAlignment="1">
      <alignment horizontal="right"/>
    </xf>
    <xf numFmtId="0" fontId="0" fillId="5" borderId="11" xfId="0" applyFill="1" applyBorder="1" applyAlignment="1">
      <alignment horizontal="left"/>
    </xf>
    <xf numFmtId="0" fontId="0" fillId="5" borderId="13" xfId="0" applyFill="1" applyBorder="1" applyAlignment="1">
      <alignment horizontal="center"/>
    </xf>
    <xf numFmtId="174" fontId="0" fillId="5" borderId="13" xfId="0" applyNumberFormat="1" applyFill="1" applyBorder="1"/>
    <xf numFmtId="170" fontId="0" fillId="5" borderId="13" xfId="0" applyNumberFormat="1" applyFill="1" applyBorder="1"/>
    <xf numFmtId="0" fontId="6" fillId="3" borderId="26" xfId="0" applyFont="1" applyFill="1" applyBorder="1" applyAlignment="1">
      <alignment horizontal="left" wrapText="1"/>
    </xf>
    <xf numFmtId="0" fontId="0" fillId="3" borderId="43" xfId="0" applyFill="1" applyBorder="1"/>
    <xf numFmtId="174" fontId="0" fillId="5" borderId="16" xfId="0" applyNumberFormat="1" applyFill="1" applyBorder="1" applyAlignment="1">
      <alignment horizontal="right"/>
    </xf>
    <xf numFmtId="0" fontId="0" fillId="3" borderId="37" xfId="0" applyFill="1" applyBorder="1"/>
    <xf numFmtId="174" fontId="0" fillId="5" borderId="18" xfId="0" applyNumberFormat="1" applyFill="1" applyBorder="1" applyAlignment="1">
      <alignment horizontal="right"/>
    </xf>
    <xf numFmtId="0" fontId="0" fillId="3" borderId="44" xfId="0" applyFill="1" applyBorder="1"/>
    <xf numFmtId="174" fontId="0" fillId="5" borderId="21" xfId="0" applyNumberFormat="1" applyFill="1" applyBorder="1" applyAlignment="1">
      <alignment horizontal="right"/>
    </xf>
    <xf numFmtId="176" fontId="9" fillId="5" borderId="45" xfId="0" applyNumberFormat="1" applyFont="1" applyFill="1" applyBorder="1" applyAlignment="1">
      <alignment horizontal="right"/>
    </xf>
    <xf numFmtId="0" fontId="3" fillId="3" borderId="14" xfId="0" applyFont="1" applyFill="1" applyBorder="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0" fillId="5" borderId="17" xfId="0" applyFill="1" applyBorder="1" applyAlignment="1">
      <alignment horizontal="center"/>
    </xf>
    <xf numFmtId="0" fontId="0" fillId="5" borderId="41" xfId="0" applyFill="1" applyBorder="1" applyAlignment="1">
      <alignment horizontal="left"/>
    </xf>
    <xf numFmtId="0" fontId="0" fillId="5" borderId="18" xfId="0" applyFill="1" applyBorder="1" applyAlignment="1">
      <alignment horizontal="left"/>
    </xf>
    <xf numFmtId="0" fontId="0" fillId="5" borderId="19" xfId="0" applyFill="1" applyBorder="1" applyAlignment="1">
      <alignment horizontal="center"/>
    </xf>
    <xf numFmtId="174" fontId="0" fillId="5" borderId="20" xfId="0" applyNumberFormat="1" applyFill="1" applyBorder="1" applyAlignment="1">
      <alignment horizontal="right"/>
    </xf>
    <xf numFmtId="0" fontId="0" fillId="5" borderId="21" xfId="0" applyFill="1" applyBorder="1" applyAlignment="1">
      <alignment horizontal="left"/>
    </xf>
    <xf numFmtId="0" fontId="0" fillId="5" borderId="13" xfId="0" applyFill="1" applyBorder="1" applyAlignment="1">
      <alignment horizontal="left"/>
    </xf>
    <xf numFmtId="0" fontId="3" fillId="3" borderId="24" xfId="0" applyFont="1" applyFill="1" applyBorder="1" applyAlignment="1">
      <alignment horizontal="center"/>
    </xf>
    <xf numFmtId="0" fontId="3" fillId="3" borderId="25" xfId="0" applyFont="1" applyFill="1" applyBorder="1" applyAlignment="1">
      <alignment horizontal="center"/>
    </xf>
    <xf numFmtId="0" fontId="3" fillId="3" borderId="26" xfId="0" applyFont="1" applyFill="1" applyBorder="1" applyAlignment="1">
      <alignment horizontal="center"/>
    </xf>
    <xf numFmtId="170" fontId="0" fillId="5" borderId="15" xfId="0" applyNumberFormat="1" applyFill="1" applyBorder="1" applyAlignment="1" applyProtection="1">
      <alignment horizontal="right"/>
      <protection locked="0"/>
    </xf>
    <xf numFmtId="178" fontId="0" fillId="5" borderId="5" xfId="0" applyNumberFormat="1" applyFill="1" applyBorder="1" applyAlignment="1" applyProtection="1">
      <alignment horizontal="right"/>
      <protection locked="0"/>
    </xf>
    <xf numFmtId="178" fontId="0" fillId="5" borderId="2" xfId="0" applyNumberFormat="1" applyFill="1" applyBorder="1" applyAlignment="1" applyProtection="1">
      <alignment horizontal="right"/>
      <protection locked="0"/>
    </xf>
    <xf numFmtId="2" fontId="0" fillId="5" borderId="13" xfId="0" applyNumberFormat="1" applyFill="1" applyBorder="1"/>
    <xf numFmtId="174" fontId="0" fillId="7" borderId="0" xfId="0" applyNumberFormat="1" applyFill="1" applyAlignment="1" applyProtection="1">
      <alignment horizontal="right"/>
      <protection locked="0"/>
    </xf>
    <xf numFmtId="174" fontId="0" fillId="7" borderId="0" xfId="3" applyNumberFormat="1" applyFont="1" applyFill="1" applyBorder="1" applyAlignment="1" applyProtection="1">
      <alignment horizontal="right"/>
      <protection locked="0"/>
    </xf>
    <xf numFmtId="0" fontId="0" fillId="5" borderId="11" xfId="0" applyFill="1" applyBorder="1" applyAlignment="1" applyProtection="1">
      <alignment horizontal="left"/>
      <protection locked="0"/>
    </xf>
    <xf numFmtId="0" fontId="0" fillId="5" borderId="18" xfId="0" applyFill="1" applyBorder="1" applyAlignment="1" applyProtection="1">
      <alignment horizontal="left"/>
      <protection locked="0"/>
    </xf>
    <xf numFmtId="49" fontId="0" fillId="5" borderId="25" xfId="0" applyNumberFormat="1" applyFill="1" applyBorder="1" applyProtection="1">
      <protection locked="0"/>
    </xf>
    <xf numFmtId="49" fontId="0" fillId="5" borderId="26" xfId="0" applyNumberFormat="1" applyFill="1" applyBorder="1" applyProtection="1">
      <protection locked="0"/>
    </xf>
    <xf numFmtId="0" fontId="0" fillId="5" borderId="11"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20" xfId="0" applyFill="1" applyBorder="1" applyAlignment="1" applyProtection="1">
      <alignment horizontal="center" vertical="top" wrapText="1"/>
      <protection locked="0"/>
    </xf>
    <xf numFmtId="0" fontId="0" fillId="5" borderId="21"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5"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15" xfId="0" applyNumberFormat="1" applyFill="1" applyBorder="1" applyAlignment="1" applyProtection="1">
      <alignment horizontal="right"/>
      <protection locked="0"/>
    </xf>
    <xf numFmtId="49" fontId="0" fillId="5" borderId="16" xfId="0" applyNumberFormat="1" applyFill="1" applyBorder="1" applyAlignment="1" applyProtection="1">
      <alignment horizontal="right"/>
      <protection locked="0"/>
    </xf>
    <xf numFmtId="1" fontId="0" fillId="5" borderId="11" xfId="0" applyNumberFormat="1" applyFill="1" applyBorder="1" applyAlignment="1" applyProtection="1">
      <alignment horizontal="right"/>
      <protection locked="0"/>
    </xf>
    <xf numFmtId="1" fontId="0" fillId="5" borderId="18" xfId="0" applyNumberFormat="1" applyFill="1" applyBorder="1" applyAlignment="1" applyProtection="1">
      <alignment horizontal="right"/>
      <protection locked="0"/>
    </xf>
    <xf numFmtId="49" fontId="0" fillId="5" borderId="20" xfId="0" applyNumberFormat="1" applyFill="1" applyBorder="1" applyAlignment="1" applyProtection="1">
      <alignment horizontal="right"/>
      <protection locked="0"/>
    </xf>
    <xf numFmtId="49" fontId="0" fillId="5" borderId="21" xfId="0" applyNumberFormat="1" applyFill="1" applyBorder="1" applyAlignment="1" applyProtection="1">
      <alignment horizontal="right"/>
      <protection locked="0"/>
    </xf>
    <xf numFmtId="0" fontId="0" fillId="5" borderId="11" xfId="0" applyFill="1" applyBorder="1" applyAlignment="1" applyProtection="1">
      <alignment horizontal="right"/>
      <protection locked="0"/>
    </xf>
    <xf numFmtId="0" fontId="0" fillId="5" borderId="20" xfId="0" applyFill="1" applyBorder="1" applyAlignment="1" applyProtection="1">
      <alignment horizontal="right"/>
      <protection locked="0"/>
    </xf>
    <xf numFmtId="0" fontId="3" fillId="3" borderId="25" xfId="0" applyFont="1" applyFill="1" applyBorder="1" applyAlignment="1">
      <alignment horizontal="center" vertical="top" wrapText="1"/>
    </xf>
    <xf numFmtId="0" fontId="0" fillId="5" borderId="13" xfId="0" applyFill="1" applyBorder="1" applyAlignment="1" applyProtection="1">
      <alignment horizontal="right" wrapText="1"/>
      <protection locked="0"/>
    </xf>
    <xf numFmtId="0" fontId="5" fillId="5" borderId="34" xfId="0" applyFont="1" applyFill="1" applyBorder="1" applyAlignment="1" applyProtection="1">
      <alignment horizontal="left" wrapText="1"/>
      <protection locked="0"/>
    </xf>
    <xf numFmtId="0" fontId="5" fillId="5" borderId="35" xfId="0" applyFont="1" applyFill="1" applyBorder="1" applyAlignment="1" applyProtection="1">
      <alignment horizontal="left" wrapText="1"/>
      <protection locked="0"/>
    </xf>
    <xf numFmtId="0" fontId="5" fillId="5" borderId="36" xfId="0" applyFont="1" applyFill="1" applyBorder="1" applyAlignment="1" applyProtection="1">
      <alignment horizontal="left" wrapText="1"/>
      <protection locked="0"/>
    </xf>
    <xf numFmtId="49" fontId="5" fillId="3" borderId="15" xfId="0" applyNumberFormat="1" applyFont="1" applyFill="1" applyBorder="1" applyAlignment="1">
      <alignment horizontal="right"/>
    </xf>
    <xf numFmtId="166" fontId="5" fillId="3" borderId="11" xfId="0" applyNumberFormat="1" applyFont="1" applyFill="1" applyBorder="1" applyAlignment="1">
      <alignment horizontal="right"/>
    </xf>
    <xf numFmtId="0" fontId="5" fillId="5" borderId="11" xfId="0" applyFont="1" applyFill="1" applyBorder="1" applyAlignment="1" applyProtection="1">
      <alignment horizontal="right"/>
      <protection locked="0"/>
    </xf>
    <xf numFmtId="168" fontId="5" fillId="5" borderId="11" xfId="0" applyNumberFormat="1" applyFont="1" applyFill="1" applyBorder="1" applyAlignment="1" applyProtection="1">
      <alignment horizontal="right"/>
      <protection locked="0"/>
    </xf>
    <xf numFmtId="49" fontId="5" fillId="5" borderId="11" xfId="0" applyNumberFormat="1" applyFon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49" fontId="5" fillId="5" borderId="34" xfId="0" applyNumberFormat="1" applyFont="1" applyFill="1" applyBorder="1" applyAlignment="1" applyProtection="1">
      <alignment horizontal="left" wrapText="1"/>
      <protection locked="0"/>
    </xf>
    <xf numFmtId="49" fontId="5" fillId="5" borderId="35" xfId="0" applyNumberFormat="1" applyFont="1" applyFill="1" applyBorder="1" applyAlignment="1" applyProtection="1">
      <alignment horizontal="left" wrapText="1"/>
      <protection locked="0"/>
    </xf>
    <xf numFmtId="49" fontId="5" fillId="5" borderId="36"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7" xfId="0" applyFont="1" applyFill="1" applyBorder="1" applyAlignment="1">
      <alignment horizontal="left"/>
    </xf>
    <xf numFmtId="0" fontId="5" fillId="3" borderId="4" xfId="0" applyFont="1" applyFill="1" applyBorder="1" applyAlignment="1">
      <alignment horizontal="left"/>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11" xfId="0" applyFont="1" applyFill="1" applyBorder="1" applyAlignment="1">
      <alignment horizontal="right"/>
    </xf>
    <xf numFmtId="49" fontId="0" fillId="5" borderId="11" xfId="0" applyNumberFormat="1" applyFill="1" applyBorder="1" applyAlignment="1" applyProtection="1">
      <alignment wrapText="1"/>
      <protection locked="0"/>
    </xf>
    <xf numFmtId="0" fontId="3" fillId="3" borderId="38" xfId="0" applyFont="1" applyFill="1" applyBorder="1"/>
    <xf numFmtId="0" fontId="3" fillId="3" borderId="46" xfId="0" applyFont="1" applyFill="1" applyBorder="1"/>
    <xf numFmtId="49" fontId="0" fillId="5" borderId="13" xfId="0" applyNumberFormat="1" applyFill="1" applyBorder="1" applyAlignment="1" applyProtection="1">
      <alignment wrapText="1"/>
      <protection locked="0"/>
    </xf>
    <xf numFmtId="0" fontId="5" fillId="5" borderId="34" xfId="0" applyFont="1" applyFill="1" applyBorder="1" applyAlignment="1">
      <alignment wrapText="1"/>
    </xf>
    <xf numFmtId="0" fontId="5" fillId="5" borderId="35" xfId="0" applyFont="1" applyFill="1" applyBorder="1" applyAlignment="1">
      <alignment wrapText="1"/>
    </xf>
    <xf numFmtId="0" fontId="5" fillId="5" borderId="36" xfId="0" applyFont="1" applyFill="1" applyBorder="1" applyAlignment="1">
      <alignment wrapText="1"/>
    </xf>
    <xf numFmtId="0" fontId="5" fillId="3" borderId="15" xfId="0" applyFont="1" applyFill="1" applyBorder="1" applyAlignment="1">
      <alignment horizontal="right"/>
    </xf>
    <xf numFmtId="0" fontId="5" fillId="5" borderId="11" xfId="0" applyFont="1" applyFill="1" applyBorder="1" applyAlignment="1">
      <alignment horizontal="right"/>
    </xf>
    <xf numFmtId="168" fontId="5" fillId="5" borderId="11"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0" fontId="12" fillId="8" borderId="0" xfId="1" applyFont="1" applyFill="1" applyBorder="1"/>
    <xf numFmtId="168" fontId="5" fillId="5" borderId="2" xfId="0" applyNumberFormat="1" applyFont="1" applyFill="1" applyBorder="1" applyAlignment="1">
      <alignment horizontal="left"/>
    </xf>
    <xf numFmtId="168" fontId="5" fillId="5" borderId="3" xfId="0" applyNumberFormat="1" applyFont="1" applyFill="1" applyBorder="1" applyAlignment="1">
      <alignment horizontal="left"/>
    </xf>
    <xf numFmtId="168" fontId="5" fillId="5" borderId="41" xfId="0" applyNumberFormat="1" applyFont="1" applyFill="1" applyBorder="1" applyAlignment="1">
      <alignment horizontal="left"/>
    </xf>
    <xf numFmtId="0" fontId="5" fillId="5" borderId="7" xfId="0" applyFont="1" applyFill="1" applyBorder="1" applyAlignment="1">
      <alignment wrapText="1"/>
    </xf>
    <xf numFmtId="0" fontId="5" fillId="5" borderId="6" xfId="0" applyFont="1" applyFill="1" applyBorder="1" applyAlignment="1">
      <alignment wrapText="1"/>
    </xf>
    <xf numFmtId="0" fontId="5" fillId="5" borderId="42" xfId="0" applyFont="1" applyFill="1" applyBorder="1" applyAlignment="1">
      <alignment wrapText="1"/>
    </xf>
    <xf numFmtId="0" fontId="5" fillId="5" borderId="2" xfId="0" applyFont="1" applyFill="1" applyBorder="1" applyAlignment="1">
      <alignment wrapText="1"/>
    </xf>
    <xf numFmtId="0" fontId="5" fillId="5" borderId="3" xfId="0" applyFont="1" applyFill="1" applyBorder="1" applyAlignment="1">
      <alignment wrapText="1"/>
    </xf>
    <xf numFmtId="0" fontId="5" fillId="5" borderId="41" xfId="0" applyFont="1" applyFill="1" applyBorder="1" applyAlignment="1">
      <alignment wrapText="1"/>
    </xf>
    <xf numFmtId="0" fontId="5" fillId="5" borderId="34" xfId="0" applyFont="1" applyFill="1" applyBorder="1" applyAlignment="1">
      <alignment horizontal="left" wrapText="1"/>
    </xf>
    <xf numFmtId="0" fontId="5" fillId="5" borderId="35" xfId="0" applyFont="1" applyFill="1" applyBorder="1" applyAlignment="1">
      <alignment horizontal="left" wrapText="1"/>
    </xf>
    <xf numFmtId="0" fontId="5" fillId="5" borderId="36" xfId="0" applyFont="1" applyFill="1" applyBorder="1" applyAlignment="1">
      <alignment horizontal="left" wrapText="1"/>
    </xf>
    <xf numFmtId="49" fontId="5" fillId="5" borderId="11"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zoomScale="80" zoomScaleNormal="80" workbookViewId="0">
      <selection activeCell="B12" sqref="B12:E14"/>
    </sheetView>
  </sheetViews>
  <sheetFormatPr defaultColWidth="9.21875" defaultRowHeight="14.4" x14ac:dyDescent="0.3"/>
  <cols>
    <col min="1" max="1" width="22.77734375" style="49" customWidth="1"/>
    <col min="2" max="2" width="12.77734375" style="49" customWidth="1"/>
    <col min="3" max="5" width="10.77734375" style="49" customWidth="1"/>
    <col min="6" max="6" width="32.77734375" style="49" customWidth="1"/>
    <col min="7" max="7" width="9.21875" style="49"/>
    <col min="8" max="9" width="9.21875" style="49" customWidth="1"/>
    <col min="10" max="16384" width="9.21875" style="49"/>
  </cols>
  <sheetData>
    <row r="1" spans="1:9" ht="31.2" x14ac:dyDescent="0.6">
      <c r="A1" s="175" t="s">
        <v>0</v>
      </c>
      <c r="B1" s="175"/>
      <c r="C1" s="175"/>
      <c r="D1" s="175"/>
      <c r="E1" s="175"/>
      <c r="F1" s="48"/>
      <c r="G1" s="48"/>
      <c r="H1" s="48"/>
    </row>
    <row r="2" spans="1:9" ht="15.75" customHeight="1" x14ac:dyDescent="0.4">
      <c r="A2" s="50"/>
      <c r="D2" s="48"/>
      <c r="E2" s="48"/>
      <c r="F2" s="48"/>
      <c r="G2" s="48"/>
      <c r="H2" s="48"/>
    </row>
    <row r="3" spans="1:9" ht="15" thickBot="1" x14ac:dyDescent="0.35">
      <c r="A3" s="51" t="s">
        <v>69</v>
      </c>
      <c r="D3" s="48"/>
      <c r="E3" s="48"/>
    </row>
    <row r="4" spans="1:9" x14ac:dyDescent="0.3">
      <c r="A4" s="17" t="s">
        <v>1</v>
      </c>
      <c r="B4" s="178" t="s">
        <v>192</v>
      </c>
      <c r="C4" s="179"/>
      <c r="H4" s="52"/>
      <c r="I4" s="52"/>
    </row>
    <row r="5" spans="1:9" x14ac:dyDescent="0.3">
      <c r="A5" s="18" t="s">
        <v>2</v>
      </c>
      <c r="B5" s="180">
        <v>6</v>
      </c>
      <c r="C5" s="181"/>
      <c r="H5" s="52"/>
      <c r="I5" s="52"/>
    </row>
    <row r="6" spans="1:9" x14ac:dyDescent="0.3">
      <c r="A6" s="18" t="s">
        <v>3</v>
      </c>
      <c r="B6" s="180">
        <v>1</v>
      </c>
      <c r="C6" s="181"/>
    </row>
    <row r="7" spans="1:9" ht="15" thickBot="1" x14ac:dyDescent="0.35">
      <c r="A7" s="20" t="s">
        <v>125</v>
      </c>
      <c r="B7" s="182" t="s">
        <v>196</v>
      </c>
      <c r="C7" s="183"/>
    </row>
    <row r="9" spans="1:9" ht="15" thickBot="1" x14ac:dyDescent="0.35">
      <c r="A9" s="51" t="s">
        <v>72</v>
      </c>
    </row>
    <row r="10" spans="1:9" x14ac:dyDescent="0.3">
      <c r="A10" s="17" t="s">
        <v>10</v>
      </c>
      <c r="B10" s="176" t="s">
        <v>22</v>
      </c>
      <c r="C10" s="176"/>
      <c r="D10" s="176"/>
      <c r="E10" s="177"/>
    </row>
    <row r="11" spans="1:9" x14ac:dyDescent="0.3">
      <c r="A11" s="18" t="s">
        <v>12</v>
      </c>
      <c r="B11" s="167" t="s">
        <v>13</v>
      </c>
      <c r="C11" s="167"/>
      <c r="D11" s="167"/>
      <c r="E11" s="168"/>
    </row>
    <row r="12" spans="1:9" x14ac:dyDescent="0.3">
      <c r="A12" s="22" t="s">
        <v>14</v>
      </c>
      <c r="B12" s="171" t="s">
        <v>204</v>
      </c>
      <c r="C12" s="171"/>
      <c r="D12" s="171"/>
      <c r="E12" s="172"/>
    </row>
    <row r="13" spans="1:9" x14ac:dyDescent="0.3">
      <c r="A13" s="22"/>
      <c r="B13" s="171"/>
      <c r="C13" s="171"/>
      <c r="D13" s="171"/>
      <c r="E13" s="172"/>
    </row>
    <row r="14" spans="1:9" ht="15" thickBot="1" x14ac:dyDescent="0.35">
      <c r="A14" s="23"/>
      <c r="B14" s="173"/>
      <c r="C14" s="173"/>
      <c r="D14" s="173"/>
      <c r="E14" s="174"/>
    </row>
    <row r="15" spans="1:9" x14ac:dyDescent="0.3">
      <c r="A15" s="54"/>
      <c r="B15" s="55"/>
      <c r="C15" s="55"/>
      <c r="D15" s="55"/>
      <c r="E15" s="55"/>
    </row>
    <row r="16" spans="1:9" ht="15" thickBot="1" x14ac:dyDescent="0.35">
      <c r="A16" s="51" t="s">
        <v>70</v>
      </c>
    </row>
    <row r="17" spans="1:6" x14ac:dyDescent="0.3">
      <c r="A17" s="17" t="s">
        <v>180</v>
      </c>
      <c r="B17" s="67">
        <v>43210</v>
      </c>
      <c r="C17" s="56"/>
    </row>
    <row r="18" spans="1:6" ht="15" thickBot="1" x14ac:dyDescent="0.35">
      <c r="A18" s="18" t="s">
        <v>181</v>
      </c>
      <c r="B18" s="68"/>
      <c r="C18" s="57"/>
      <c r="D18" s="58"/>
      <c r="E18" s="59"/>
    </row>
    <row r="19" spans="1:6" x14ac:dyDescent="0.3">
      <c r="A19" s="53"/>
      <c r="B19" s="60"/>
      <c r="C19" s="11" t="s">
        <v>7</v>
      </c>
      <c r="D19" s="11" t="s">
        <v>8</v>
      </c>
      <c r="E19" s="19" t="s">
        <v>9</v>
      </c>
    </row>
    <row r="20" spans="1:6" x14ac:dyDescent="0.3">
      <c r="A20" s="18" t="s">
        <v>39</v>
      </c>
      <c r="B20" s="10"/>
      <c r="C20" s="45">
        <v>78</v>
      </c>
      <c r="D20" s="45">
        <v>56.851999999999997</v>
      </c>
      <c r="E20" s="69"/>
      <c r="F20" s="49" t="s">
        <v>194</v>
      </c>
    </row>
    <row r="21" spans="1:6" ht="15" thickBot="1" x14ac:dyDescent="0.35">
      <c r="A21" s="20" t="s">
        <v>40</v>
      </c>
      <c r="B21" s="21"/>
      <c r="C21" s="70">
        <v>12</v>
      </c>
      <c r="D21" s="70">
        <v>22.216999999999999</v>
      </c>
      <c r="E21" s="71"/>
    </row>
    <row r="23" spans="1:6" ht="15" thickBot="1" x14ac:dyDescent="0.35">
      <c r="A23" s="51" t="s">
        <v>71</v>
      </c>
      <c r="B23" s="61"/>
      <c r="E23" s="62"/>
    </row>
    <row r="24" spans="1:6" x14ac:dyDescent="0.3">
      <c r="A24" s="17" t="s">
        <v>43</v>
      </c>
      <c r="B24" s="67"/>
      <c r="C24" s="56"/>
    </row>
    <row r="25" spans="1:6" ht="15" thickBot="1" x14ac:dyDescent="0.35">
      <c r="A25" s="18" t="s">
        <v>44</v>
      </c>
      <c r="B25" s="68"/>
      <c r="C25" s="57"/>
      <c r="D25" s="58"/>
      <c r="E25" s="59"/>
    </row>
    <row r="26" spans="1:6" x14ac:dyDescent="0.3">
      <c r="A26" s="53"/>
      <c r="B26" s="60"/>
      <c r="C26" s="11" t="s">
        <v>7</v>
      </c>
      <c r="D26" s="11" t="s">
        <v>8</v>
      </c>
      <c r="E26" s="19" t="s">
        <v>9</v>
      </c>
    </row>
    <row r="27" spans="1:6" x14ac:dyDescent="0.3">
      <c r="A27" s="18" t="s">
        <v>41</v>
      </c>
      <c r="B27" s="10"/>
      <c r="C27" s="45"/>
      <c r="D27" s="45"/>
      <c r="E27" s="69"/>
      <c r="F27" s="49" t="s">
        <v>195</v>
      </c>
    </row>
    <row r="28" spans="1:6" ht="15" thickBot="1" x14ac:dyDescent="0.35">
      <c r="A28" s="20" t="s">
        <v>42</v>
      </c>
      <c r="B28" s="21"/>
      <c r="C28" s="70"/>
      <c r="D28" s="70"/>
      <c r="E28" s="71"/>
    </row>
    <row r="29" spans="1:6" ht="15" thickBot="1" x14ac:dyDescent="0.35">
      <c r="B29" s="63"/>
      <c r="C29" s="64"/>
    </row>
    <row r="30" spans="1:6" ht="15" thickBot="1" x14ac:dyDescent="0.35">
      <c r="A30" s="47" t="s">
        <v>179</v>
      </c>
      <c r="B30" s="169" t="s">
        <v>67</v>
      </c>
      <c r="C30" s="169"/>
      <c r="D30" s="169"/>
      <c r="E30" s="170"/>
    </row>
    <row r="31" spans="1:6" ht="15" thickBot="1" x14ac:dyDescent="0.35"/>
    <row r="32" spans="1:6" ht="30" customHeight="1" thickBot="1" x14ac:dyDescent="0.35">
      <c r="A32" s="65"/>
      <c r="B32" s="186" t="s">
        <v>178</v>
      </c>
      <c r="C32" s="186"/>
      <c r="D32" s="186" t="s">
        <v>177</v>
      </c>
      <c r="E32" s="186"/>
      <c r="F32" s="16" t="s">
        <v>15</v>
      </c>
    </row>
    <row r="33" spans="1:6" ht="30" customHeight="1" x14ac:dyDescent="0.3">
      <c r="A33" s="15" t="s">
        <v>182</v>
      </c>
      <c r="B33" s="187"/>
      <c r="C33" s="187"/>
      <c r="D33" s="187"/>
      <c r="E33" s="187"/>
      <c r="F33" s="72"/>
    </row>
    <row r="34" spans="1:6" ht="30" customHeight="1" x14ac:dyDescent="0.3">
      <c r="A34" s="13" t="s">
        <v>182</v>
      </c>
      <c r="B34" s="184"/>
      <c r="C34" s="184"/>
      <c r="D34" s="184"/>
      <c r="E34" s="184"/>
      <c r="F34" s="73"/>
    </row>
    <row r="35" spans="1:6" ht="30" customHeight="1" x14ac:dyDescent="0.3">
      <c r="A35" s="13" t="s">
        <v>182</v>
      </c>
      <c r="B35" s="184"/>
      <c r="C35" s="184"/>
      <c r="D35" s="184"/>
      <c r="E35" s="184"/>
      <c r="F35" s="73"/>
    </row>
    <row r="36" spans="1:6" ht="30" customHeight="1" x14ac:dyDescent="0.3">
      <c r="A36" s="13" t="s">
        <v>182</v>
      </c>
      <c r="B36" s="184"/>
      <c r="C36" s="184"/>
      <c r="D36" s="184"/>
      <c r="E36" s="184"/>
      <c r="F36" s="73"/>
    </row>
    <row r="37" spans="1:6" ht="30" customHeight="1" thickBot="1" x14ac:dyDescent="0.35">
      <c r="A37" s="14" t="s">
        <v>182</v>
      </c>
      <c r="B37" s="185"/>
      <c r="C37" s="185"/>
      <c r="D37" s="185"/>
      <c r="E37" s="185"/>
      <c r="F37" s="74"/>
    </row>
    <row r="38" spans="1:6" x14ac:dyDescent="0.3">
      <c r="B38" s="66"/>
      <c r="C38" s="66"/>
      <c r="D38" s="66"/>
      <c r="E38" s="66"/>
      <c r="F38" s="66"/>
    </row>
    <row r="39" spans="1:6" x14ac:dyDescent="0.3">
      <c r="B39" s="66"/>
      <c r="C39" s="66"/>
      <c r="D39" s="66"/>
      <c r="E39" s="66"/>
      <c r="F39" s="66"/>
    </row>
    <row r="40" spans="1:6" x14ac:dyDescent="0.3">
      <c r="B40" s="66"/>
      <c r="C40" s="66"/>
      <c r="D40" s="66"/>
      <c r="E40" s="66"/>
      <c r="F40" s="66"/>
    </row>
    <row r="41" spans="1:6" x14ac:dyDescent="0.3">
      <c r="B41" s="66"/>
      <c r="C41" s="66"/>
      <c r="D41" s="66"/>
      <c r="E41" s="66"/>
      <c r="F41" s="66"/>
    </row>
    <row r="42" spans="1:6" x14ac:dyDescent="0.3">
      <c r="B42" s="66"/>
      <c r="C42" s="66"/>
      <c r="D42" s="66"/>
      <c r="E42" s="66"/>
      <c r="F42" s="66"/>
    </row>
    <row r="43" spans="1:6" x14ac:dyDescent="0.3">
      <c r="B43" s="66"/>
      <c r="C43" s="66"/>
      <c r="D43" s="66"/>
      <c r="E43" s="66"/>
      <c r="F43" s="66"/>
    </row>
    <row r="44" spans="1:6" x14ac:dyDescent="0.3">
      <c r="B44" s="66"/>
      <c r="C44" s="66"/>
      <c r="D44" s="66"/>
      <c r="E44" s="66"/>
      <c r="F44" s="66"/>
    </row>
    <row r="45" spans="1:6" x14ac:dyDescent="0.3">
      <c r="B45" s="66"/>
      <c r="C45" s="66"/>
      <c r="D45" s="66"/>
      <c r="E45" s="66"/>
      <c r="F45" s="66"/>
    </row>
    <row r="46" spans="1:6" x14ac:dyDescent="0.3">
      <c r="B46" s="66"/>
      <c r="C46" s="66"/>
      <c r="D46" s="66"/>
      <c r="E46" s="66"/>
      <c r="F46" s="66"/>
    </row>
  </sheetData>
  <mergeCells count="21">
    <mergeCell ref="D32:E32"/>
    <mergeCell ref="D33:E33"/>
    <mergeCell ref="B32:C32"/>
    <mergeCell ref="B33:C33"/>
    <mergeCell ref="B34:C34"/>
    <mergeCell ref="B35:C35"/>
    <mergeCell ref="B36:C36"/>
    <mergeCell ref="B37:C37"/>
    <mergeCell ref="D34:E34"/>
    <mergeCell ref="D35:E35"/>
    <mergeCell ref="D36:E36"/>
    <mergeCell ref="D37:E37"/>
    <mergeCell ref="B11:E11"/>
    <mergeCell ref="B30:E30"/>
    <mergeCell ref="B12:E14"/>
    <mergeCell ref="A1:E1"/>
    <mergeCell ref="B10:E10"/>
    <mergeCell ref="B4:C4"/>
    <mergeCell ref="B5:C5"/>
    <mergeCell ref="B6:C6"/>
    <mergeCell ref="B7:C7"/>
  </mergeCells>
  <dataValidations xWindow="396" yWindow="605" count="26">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date" allowBlank="1" showInputMessage="1" showErrorMessage="1" error="Wrong data format or year. Enter as DD.MM.YY" promptTitle="Ice Station Ending Time" prompt="Leave blank if equal to Starting Date. Give date, month and year according to reginal settings (e.g. dd.mm.yy in Norway)." sqref="B24" xr:uid="{00000000-0002-0000-0000-000015000000}">
      <formula1>36526</formula1>
      <formula2>43831</formula2>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date" allowBlank="1" showInputMessage="1" showErrorMessage="1" errorTitle="Ice Station Starting Date" error="Wrong data format or year. Enter as DD.MM.YY" promptTitle="Ice Station Starting Date" prompt="Give date, month and year according to reginal settings (e.g. dd.mm.yy in Norway)." sqref="B17" xr:uid="{00000000-0002-0000-0000-000017000000}">
      <formula1>36526</formula1>
      <formula2>43831</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O42"/>
  <sheetViews>
    <sheetView zoomScale="80" zoomScaleNormal="80" workbookViewId="0">
      <selection activeCell="B5" sqref="B5:C5"/>
    </sheetView>
  </sheetViews>
  <sheetFormatPr defaultColWidth="9.21875" defaultRowHeight="14.4" x14ac:dyDescent="0.3"/>
  <cols>
    <col min="1" max="1" width="21.44140625" style="49" customWidth="1"/>
    <col min="2" max="10" width="15.77734375" style="49" customWidth="1"/>
    <col min="11" max="11" width="36.77734375" style="49" customWidth="1"/>
    <col min="12" max="12" width="8.5546875" style="49" customWidth="1"/>
    <col min="13" max="13" width="9.21875" style="49" customWidth="1"/>
    <col min="14" max="16384" width="9.21875" style="49"/>
  </cols>
  <sheetData>
    <row r="1" spans="1:15" ht="31.8" thickBot="1" x14ac:dyDescent="0.65">
      <c r="A1" s="175" t="s">
        <v>5</v>
      </c>
      <c r="B1" s="175"/>
      <c r="C1" s="175"/>
      <c r="D1" s="175"/>
    </row>
    <row r="2" spans="1:15" ht="15" customHeight="1" x14ac:dyDescent="0.3">
      <c r="A2" s="25" t="s">
        <v>17</v>
      </c>
      <c r="B2" s="191" t="str">
        <f>CONCATENATE(ExpID,"-",StnNum,"-",StnDay)</f>
        <v>KF2018-6-1</v>
      </c>
      <c r="C2" s="191"/>
      <c r="D2" s="75"/>
      <c r="E2" s="76"/>
      <c r="F2" s="76"/>
      <c r="G2" s="76"/>
      <c r="H2" s="76"/>
      <c r="I2" s="77"/>
      <c r="J2" s="78"/>
      <c r="K2" s="77"/>
    </row>
    <row r="3" spans="1:15" x14ac:dyDescent="0.3">
      <c r="A3" s="26" t="s">
        <v>153</v>
      </c>
      <c r="B3" s="193"/>
      <c r="C3" s="193"/>
      <c r="D3" s="79"/>
      <c r="E3" s="76"/>
      <c r="F3" s="76"/>
      <c r="G3" s="76"/>
      <c r="H3" s="76"/>
      <c r="I3" s="77"/>
      <c r="J3" s="78"/>
      <c r="K3" s="77"/>
    </row>
    <row r="4" spans="1:15" x14ac:dyDescent="0.3">
      <c r="A4" s="26" t="s">
        <v>4</v>
      </c>
      <c r="B4" s="192">
        <f>ObsDate</f>
        <v>43210</v>
      </c>
      <c r="C4" s="192"/>
      <c r="D4" s="79"/>
      <c r="E4" s="76"/>
      <c r="F4" s="76"/>
      <c r="G4" s="76"/>
      <c r="H4" s="76"/>
      <c r="I4" s="76"/>
      <c r="J4" s="78"/>
      <c r="K4" s="77"/>
    </row>
    <row r="5" spans="1:15" x14ac:dyDescent="0.3">
      <c r="A5" s="27" t="s">
        <v>98</v>
      </c>
      <c r="B5" s="194"/>
      <c r="C5" s="194"/>
      <c r="D5" s="79"/>
      <c r="E5" s="76"/>
      <c r="F5" s="76"/>
      <c r="G5" s="76"/>
      <c r="H5" s="76"/>
      <c r="I5" s="76"/>
      <c r="J5" s="78"/>
      <c r="K5" s="77"/>
    </row>
    <row r="6" spans="1:15" x14ac:dyDescent="0.3">
      <c r="A6" s="27" t="s">
        <v>125</v>
      </c>
      <c r="B6" s="195"/>
      <c r="C6" s="195"/>
      <c r="D6" s="79"/>
      <c r="E6" s="76"/>
      <c r="F6" s="76"/>
      <c r="G6" s="76"/>
      <c r="H6" s="76"/>
      <c r="I6" s="76"/>
      <c r="J6" s="78"/>
      <c r="K6" s="77"/>
    </row>
    <row r="7" spans="1:15" x14ac:dyDescent="0.3">
      <c r="A7" s="27" t="s">
        <v>129</v>
      </c>
      <c r="B7" s="195"/>
      <c r="C7" s="195"/>
      <c r="D7" s="79"/>
      <c r="E7" s="76"/>
      <c r="F7" s="76"/>
      <c r="G7" s="76"/>
      <c r="H7" s="76"/>
      <c r="I7" s="76"/>
      <c r="J7" s="78"/>
      <c r="K7" s="77"/>
    </row>
    <row r="8" spans="1:15" x14ac:dyDescent="0.3">
      <c r="A8" s="27" t="s">
        <v>176</v>
      </c>
      <c r="B8" s="196"/>
      <c r="C8" s="197"/>
      <c r="D8" s="79"/>
      <c r="E8" s="76"/>
      <c r="F8" s="76"/>
      <c r="G8" s="76"/>
      <c r="H8" s="76"/>
      <c r="I8" s="76"/>
      <c r="J8" s="78"/>
      <c r="K8" s="77"/>
    </row>
    <row r="9" spans="1:15" x14ac:dyDescent="0.3">
      <c r="A9" s="27" t="s">
        <v>130</v>
      </c>
      <c r="B9" s="193"/>
      <c r="C9" s="193"/>
      <c r="D9" s="79"/>
      <c r="E9" s="76"/>
      <c r="F9" s="76"/>
      <c r="G9" s="76"/>
      <c r="H9" s="76"/>
      <c r="I9" s="76"/>
      <c r="J9" s="78"/>
      <c r="K9" s="77"/>
    </row>
    <row r="10" spans="1:15" ht="45" customHeight="1" thickBot="1" x14ac:dyDescent="0.35">
      <c r="A10" s="28" t="s">
        <v>16</v>
      </c>
      <c r="B10" s="188"/>
      <c r="C10" s="189"/>
      <c r="D10" s="190"/>
      <c r="E10" s="77"/>
      <c r="F10" s="77"/>
      <c r="G10" s="77"/>
      <c r="H10" s="77"/>
      <c r="I10" s="77"/>
      <c r="J10" s="77"/>
      <c r="M10" s="77"/>
    </row>
    <row r="11" spans="1:15" ht="15" thickBot="1" x14ac:dyDescent="0.35">
      <c r="A11" s="77"/>
      <c r="B11" s="77"/>
      <c r="C11" s="77"/>
      <c r="D11" s="77"/>
      <c r="E11" s="77"/>
      <c r="F11" s="77"/>
      <c r="G11" s="77"/>
      <c r="H11" s="77"/>
      <c r="I11" s="77"/>
      <c r="J11" s="77"/>
      <c r="M11" s="77"/>
    </row>
    <row r="12" spans="1:15" s="81" customFormat="1" ht="43.8" thickBot="1" x14ac:dyDescent="0.35">
      <c r="A12" s="29" t="s">
        <v>18</v>
      </c>
      <c r="B12" s="30" t="s">
        <v>127</v>
      </c>
      <c r="C12" s="30" t="s">
        <v>128</v>
      </c>
      <c r="D12" s="30" t="s">
        <v>19</v>
      </c>
      <c r="E12" s="31" t="s">
        <v>126</v>
      </c>
      <c r="F12" s="31" t="s">
        <v>154</v>
      </c>
      <c r="G12" s="31" t="s">
        <v>155</v>
      </c>
      <c r="H12" s="31" t="s">
        <v>156</v>
      </c>
      <c r="I12" s="30" t="s">
        <v>157</v>
      </c>
      <c r="J12" s="30" t="s">
        <v>158</v>
      </c>
      <c r="K12" s="32" t="s">
        <v>14</v>
      </c>
      <c r="L12" s="80"/>
      <c r="M12" s="80"/>
      <c r="N12" s="80"/>
      <c r="O12" s="80"/>
    </row>
    <row r="13" spans="1:15" x14ac:dyDescent="0.3">
      <c r="A13" s="82"/>
      <c r="B13" s="83"/>
      <c r="C13" s="83"/>
      <c r="D13" s="84"/>
      <c r="E13" s="83"/>
      <c r="F13" s="84"/>
      <c r="G13" s="84"/>
      <c r="H13" s="84"/>
      <c r="I13" s="84"/>
      <c r="J13" s="84"/>
      <c r="K13" s="85"/>
      <c r="L13" s="77"/>
      <c r="M13" s="77"/>
    </row>
    <row r="14" spans="1:15" x14ac:dyDescent="0.3">
      <c r="A14" s="86"/>
      <c r="B14" s="87"/>
      <c r="C14" s="87"/>
      <c r="D14" s="46"/>
      <c r="E14" s="87"/>
      <c r="F14" s="46"/>
      <c r="G14" s="46"/>
      <c r="H14" s="46"/>
      <c r="I14" s="46"/>
      <c r="J14" s="46"/>
      <c r="K14" s="88"/>
      <c r="L14" s="77"/>
      <c r="M14" s="77"/>
    </row>
    <row r="15" spans="1:15" x14ac:dyDescent="0.3">
      <c r="A15" s="86"/>
      <c r="B15" s="87"/>
      <c r="C15" s="87"/>
      <c r="D15" s="46"/>
      <c r="E15" s="87"/>
      <c r="F15" s="46"/>
      <c r="G15" s="46"/>
      <c r="H15" s="46"/>
      <c r="I15" s="46"/>
      <c r="J15" s="46"/>
      <c r="K15" s="88"/>
      <c r="L15" s="77"/>
      <c r="M15" s="77"/>
    </row>
    <row r="16" spans="1:15" x14ac:dyDescent="0.3">
      <c r="A16" s="86"/>
      <c r="B16" s="87"/>
      <c r="C16" s="87"/>
      <c r="D16" s="46"/>
      <c r="E16" s="87"/>
      <c r="F16" s="46"/>
      <c r="G16" s="46"/>
      <c r="H16" s="46"/>
      <c r="I16" s="46"/>
      <c r="J16" s="46"/>
      <c r="K16" s="88"/>
      <c r="L16" s="77"/>
      <c r="M16" s="77"/>
    </row>
    <row r="17" spans="1:13" x14ac:dyDescent="0.3">
      <c r="A17" s="86"/>
      <c r="B17" s="87"/>
      <c r="C17" s="87"/>
      <c r="D17" s="46"/>
      <c r="E17" s="87"/>
      <c r="F17" s="46"/>
      <c r="G17" s="46"/>
      <c r="H17" s="46"/>
      <c r="I17" s="46"/>
      <c r="J17" s="46"/>
      <c r="K17" s="88"/>
      <c r="L17" s="77"/>
      <c r="M17" s="77"/>
    </row>
    <row r="18" spans="1:13" x14ac:dyDescent="0.3">
      <c r="A18" s="86"/>
      <c r="B18" s="87"/>
      <c r="C18" s="87"/>
      <c r="D18" s="46"/>
      <c r="E18" s="87"/>
      <c r="F18" s="46"/>
      <c r="G18" s="46"/>
      <c r="H18" s="46"/>
      <c r="I18" s="46"/>
      <c r="J18" s="46"/>
      <c r="K18" s="88"/>
      <c r="L18" s="77"/>
      <c r="M18" s="77"/>
    </row>
    <row r="19" spans="1:13" x14ac:dyDescent="0.3">
      <c r="A19" s="86"/>
      <c r="B19" s="87"/>
      <c r="C19" s="87"/>
      <c r="D19" s="46"/>
      <c r="E19" s="87"/>
      <c r="F19" s="46"/>
      <c r="G19" s="46"/>
      <c r="H19" s="46"/>
      <c r="I19" s="46"/>
      <c r="J19" s="46"/>
      <c r="K19" s="88"/>
      <c r="L19" s="77"/>
      <c r="M19" s="77"/>
    </row>
    <row r="20" spans="1:13" x14ac:dyDescent="0.3">
      <c r="A20" s="86"/>
      <c r="B20" s="87"/>
      <c r="C20" s="87"/>
      <c r="D20" s="46"/>
      <c r="E20" s="87"/>
      <c r="F20" s="46"/>
      <c r="G20" s="46"/>
      <c r="H20" s="46"/>
      <c r="I20" s="46"/>
      <c r="J20" s="46"/>
      <c r="K20" s="88"/>
      <c r="L20" s="77"/>
      <c r="M20" s="77"/>
    </row>
    <row r="21" spans="1:13" x14ac:dyDescent="0.3">
      <c r="A21" s="86"/>
      <c r="B21" s="87"/>
      <c r="C21" s="87"/>
      <c r="D21" s="46"/>
      <c r="E21" s="87"/>
      <c r="F21" s="46"/>
      <c r="G21" s="46"/>
      <c r="H21" s="46"/>
      <c r="I21" s="46"/>
      <c r="J21" s="46"/>
      <c r="K21" s="88"/>
      <c r="L21" s="77"/>
      <c r="M21" s="77"/>
    </row>
    <row r="22" spans="1:13" x14ac:dyDescent="0.3">
      <c r="A22" s="86"/>
      <c r="B22" s="87"/>
      <c r="C22" s="87"/>
      <c r="D22" s="46"/>
      <c r="E22" s="87"/>
      <c r="F22" s="46"/>
      <c r="G22" s="46"/>
      <c r="H22" s="46"/>
      <c r="I22" s="46"/>
      <c r="J22" s="46"/>
      <c r="K22" s="88"/>
      <c r="L22" s="77"/>
      <c r="M22" s="77"/>
    </row>
    <row r="23" spans="1:13" x14ac:dyDescent="0.3">
      <c r="A23" s="86"/>
      <c r="B23" s="87"/>
      <c r="C23" s="87"/>
      <c r="D23" s="46"/>
      <c r="E23" s="87"/>
      <c r="F23" s="46"/>
      <c r="G23" s="46"/>
      <c r="H23" s="46"/>
      <c r="I23" s="46"/>
      <c r="J23" s="46"/>
      <c r="K23" s="88"/>
      <c r="L23" s="77"/>
      <c r="M23" s="77"/>
    </row>
    <row r="24" spans="1:13" x14ac:dyDescent="0.3">
      <c r="A24" s="86"/>
      <c r="B24" s="87"/>
      <c r="C24" s="87"/>
      <c r="D24" s="46"/>
      <c r="E24" s="87"/>
      <c r="F24" s="46"/>
      <c r="G24" s="46"/>
      <c r="H24" s="46"/>
      <c r="I24" s="46"/>
      <c r="J24" s="46"/>
      <c r="K24" s="88"/>
      <c r="L24" s="77"/>
      <c r="M24" s="77"/>
    </row>
    <row r="25" spans="1:13" x14ac:dyDescent="0.3">
      <c r="A25" s="86"/>
      <c r="B25" s="87"/>
      <c r="C25" s="87"/>
      <c r="D25" s="46"/>
      <c r="E25" s="87"/>
      <c r="F25" s="46"/>
      <c r="G25" s="46"/>
      <c r="H25" s="46"/>
      <c r="I25" s="46"/>
      <c r="J25" s="46"/>
      <c r="K25" s="88"/>
      <c r="L25" s="77"/>
      <c r="M25" s="77"/>
    </row>
    <row r="26" spans="1:13" x14ac:dyDescent="0.3">
      <c r="A26" s="86"/>
      <c r="B26" s="87"/>
      <c r="C26" s="87"/>
      <c r="D26" s="46"/>
      <c r="E26" s="87"/>
      <c r="F26" s="46"/>
      <c r="G26" s="46"/>
      <c r="H26" s="46"/>
      <c r="I26" s="46"/>
      <c r="J26" s="46"/>
      <c r="K26" s="88"/>
    </row>
    <row r="27" spans="1:13" x14ac:dyDescent="0.3">
      <c r="A27" s="86"/>
      <c r="B27" s="87"/>
      <c r="C27" s="87"/>
      <c r="D27" s="46"/>
      <c r="E27" s="87"/>
      <c r="F27" s="46"/>
      <c r="G27" s="46"/>
      <c r="H27" s="46"/>
      <c r="I27" s="46"/>
      <c r="J27" s="46"/>
      <c r="K27" s="88"/>
    </row>
    <row r="28" spans="1:13" x14ac:dyDescent="0.3">
      <c r="A28" s="86"/>
      <c r="B28" s="87"/>
      <c r="C28" s="87"/>
      <c r="D28" s="46"/>
      <c r="E28" s="87"/>
      <c r="F28" s="46"/>
      <c r="G28" s="46"/>
      <c r="H28" s="46"/>
      <c r="I28" s="46"/>
      <c r="J28" s="46"/>
      <c r="K28" s="88"/>
    </row>
    <row r="29" spans="1:13" x14ac:dyDescent="0.3">
      <c r="A29" s="86"/>
      <c r="B29" s="87"/>
      <c r="C29" s="87"/>
      <c r="D29" s="46"/>
      <c r="E29" s="87"/>
      <c r="F29" s="46"/>
      <c r="G29" s="46"/>
      <c r="H29" s="46"/>
      <c r="I29" s="46"/>
      <c r="J29" s="46"/>
      <c r="K29" s="88"/>
    </row>
    <row r="30" spans="1:13" x14ac:dyDescent="0.3">
      <c r="A30" s="86"/>
      <c r="B30" s="87"/>
      <c r="C30" s="87"/>
      <c r="D30" s="46"/>
      <c r="E30" s="87"/>
      <c r="F30" s="46"/>
      <c r="G30" s="46"/>
      <c r="H30" s="46"/>
      <c r="I30" s="46"/>
      <c r="J30" s="46"/>
      <c r="K30" s="88"/>
    </row>
    <row r="31" spans="1:13" x14ac:dyDescent="0.3">
      <c r="A31" s="86"/>
      <c r="B31" s="87"/>
      <c r="C31" s="87"/>
      <c r="D31" s="46"/>
      <c r="E31" s="87"/>
      <c r="F31" s="46"/>
      <c r="G31" s="46"/>
      <c r="H31" s="46"/>
      <c r="I31" s="46"/>
      <c r="J31" s="46"/>
      <c r="K31" s="88"/>
    </row>
    <row r="32" spans="1:13" x14ac:dyDescent="0.3">
      <c r="A32" s="86"/>
      <c r="B32" s="87"/>
      <c r="C32" s="87"/>
      <c r="D32" s="46"/>
      <c r="E32" s="87"/>
      <c r="F32" s="46"/>
      <c r="G32" s="46"/>
      <c r="H32" s="46"/>
      <c r="I32" s="46"/>
      <c r="J32" s="46"/>
      <c r="K32" s="88"/>
    </row>
    <row r="33" spans="1:11" x14ac:dyDescent="0.3">
      <c r="A33" s="86"/>
      <c r="B33" s="87"/>
      <c r="C33" s="87"/>
      <c r="D33" s="46"/>
      <c r="E33" s="87"/>
      <c r="F33" s="46"/>
      <c r="G33" s="46"/>
      <c r="H33" s="46"/>
      <c r="I33" s="46"/>
      <c r="J33" s="46"/>
      <c r="K33" s="88"/>
    </row>
    <row r="34" spans="1:11" x14ac:dyDescent="0.3">
      <c r="A34" s="86"/>
      <c r="B34" s="87"/>
      <c r="C34" s="87"/>
      <c r="D34" s="46"/>
      <c r="E34" s="87"/>
      <c r="F34" s="46"/>
      <c r="G34" s="46"/>
      <c r="H34" s="46"/>
      <c r="I34" s="46"/>
      <c r="J34" s="46"/>
      <c r="K34" s="88"/>
    </row>
    <row r="35" spans="1:11" x14ac:dyDescent="0.3">
      <c r="A35" s="86"/>
      <c r="B35" s="87"/>
      <c r="C35" s="87"/>
      <c r="D35" s="46"/>
      <c r="E35" s="87"/>
      <c r="F35" s="46"/>
      <c r="G35" s="46"/>
      <c r="H35" s="46"/>
      <c r="I35" s="46"/>
      <c r="J35" s="46"/>
      <c r="K35" s="88"/>
    </row>
    <row r="36" spans="1:11" x14ac:dyDescent="0.3">
      <c r="A36" s="86"/>
      <c r="B36" s="87"/>
      <c r="C36" s="87"/>
      <c r="D36" s="46"/>
      <c r="E36" s="87"/>
      <c r="F36" s="46"/>
      <c r="G36" s="46"/>
      <c r="H36" s="46"/>
      <c r="I36" s="46"/>
      <c r="J36" s="46"/>
      <c r="K36" s="88"/>
    </row>
    <row r="37" spans="1:11" x14ac:dyDescent="0.3">
      <c r="A37" s="86"/>
      <c r="B37" s="87"/>
      <c r="C37" s="87"/>
      <c r="D37" s="46"/>
      <c r="E37" s="87"/>
      <c r="F37" s="46"/>
      <c r="G37" s="46"/>
      <c r="H37" s="46"/>
      <c r="I37" s="46"/>
      <c r="J37" s="46"/>
      <c r="K37" s="88"/>
    </row>
    <row r="38" spans="1:11" x14ac:dyDescent="0.3">
      <c r="A38" s="86"/>
      <c r="B38" s="87"/>
      <c r="C38" s="87"/>
      <c r="D38" s="46"/>
      <c r="E38" s="87"/>
      <c r="F38" s="46"/>
      <c r="G38" s="46"/>
      <c r="H38" s="46"/>
      <c r="I38" s="46"/>
      <c r="J38" s="46"/>
      <c r="K38" s="88"/>
    </row>
    <row r="39" spans="1:11" x14ac:dyDescent="0.3">
      <c r="A39" s="86"/>
      <c r="B39" s="87"/>
      <c r="C39" s="87"/>
      <c r="D39" s="46"/>
      <c r="E39" s="87"/>
      <c r="F39" s="46"/>
      <c r="G39" s="46"/>
      <c r="H39" s="46"/>
      <c r="I39" s="46"/>
      <c r="J39" s="46"/>
      <c r="K39" s="88"/>
    </row>
    <row r="40" spans="1:11" x14ac:dyDescent="0.3">
      <c r="A40" s="86"/>
      <c r="B40" s="87"/>
      <c r="C40" s="87"/>
      <c r="D40" s="46"/>
      <c r="E40" s="87"/>
      <c r="F40" s="46"/>
      <c r="G40" s="46"/>
      <c r="H40" s="46"/>
      <c r="I40" s="46"/>
      <c r="J40" s="46"/>
      <c r="K40" s="88"/>
    </row>
    <row r="41" spans="1:11" x14ac:dyDescent="0.3">
      <c r="A41" s="86"/>
      <c r="B41" s="87"/>
      <c r="C41" s="87"/>
      <c r="D41" s="46"/>
      <c r="E41" s="87"/>
      <c r="F41" s="46"/>
      <c r="G41" s="46"/>
      <c r="H41" s="46"/>
      <c r="I41" s="46"/>
      <c r="J41" s="46"/>
      <c r="K41" s="88"/>
    </row>
    <row r="42" spans="1:11" x14ac:dyDescent="0.3">
      <c r="A42" s="86"/>
      <c r="B42" s="87"/>
      <c r="C42" s="87"/>
      <c r="D42" s="46"/>
      <c r="E42" s="87"/>
      <c r="F42" s="46"/>
      <c r="G42" s="46"/>
      <c r="H42" s="46"/>
      <c r="I42" s="46"/>
      <c r="J42" s="46"/>
      <c r="K42" s="88"/>
    </row>
  </sheetData>
  <mergeCells count="10">
    <mergeCell ref="A1:D1"/>
    <mergeCell ref="B10:D10"/>
    <mergeCell ref="B2:C2"/>
    <mergeCell ref="B4:C4"/>
    <mergeCell ref="B3:C3"/>
    <mergeCell ref="B5:C5"/>
    <mergeCell ref="B6:C6"/>
    <mergeCell ref="B7:C7"/>
    <mergeCell ref="B9:C9"/>
    <mergeCell ref="B8:C8"/>
  </mergeCells>
  <dataValidations count="4">
    <dataValidation type="decimal" operator="notEqual" allowBlank="1" showErrorMessage="1" error="Must enter a number" promptTitle="Start here" prompt="Enter the distance along the profile in this column.  The rows with entries in this column will then be ready for data in the other columns." sqref="A13:A42" xr:uid="{00000000-0002-0000-0100-000000000000}">
      <formula1>-1874525.21548457</formula1>
    </dataValidation>
    <dataValidation type="decimal" operator="greaterThanOrEqual" allowBlank="1" showInputMessage="1" showErrorMessage="1" error="Must be a positive number" promptTitle="Snow thickness" sqref="B13:B42" xr:uid="{00000000-0002-0000-0100-000001000000}">
      <formula1>0</formula1>
    </dataValidation>
    <dataValidation type="decimal" operator="greaterThanOrEqual" allowBlank="1" showErrorMessage="1" error="Must enter a positive number" promptTitle="EM Observation" prompt="Enter the data value recorded from the EM-31" sqref="C13:C42" xr:uid="{00000000-0002-0000-0100-000002000000}">
      <formula1>0</formula1>
    </dataValidation>
    <dataValidation allowBlank="1" showErrorMessage="1" promptTitle="Snow Thickness" prompt="Enter the measured snow thickness (in cm)." sqref="D13:D42" xr:uid="{00000000-0002-0000-0100-000003000000}"/>
  </dataValidations>
  <pageMargins left="0.7" right="0.7" top="0.75" bottom="0.75" header="0.3" footer="0.3"/>
  <pageSetup paperSize="9" scale="6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tabSelected="1" topLeftCell="A7" zoomScale="80" zoomScaleNormal="80" workbookViewId="0">
      <selection activeCell="J14" sqref="J14"/>
    </sheetView>
  </sheetViews>
  <sheetFormatPr defaultColWidth="9.21875" defaultRowHeight="14.4" x14ac:dyDescent="0.3"/>
  <cols>
    <col min="1" max="1" width="23.77734375" style="49" bestFit="1" customWidth="1"/>
    <col min="2" max="2" width="16.44140625" style="49" bestFit="1" customWidth="1"/>
    <col min="3" max="3" width="12.77734375" style="49" customWidth="1"/>
    <col min="4" max="4" width="29.44140625" style="49" bestFit="1" customWidth="1"/>
    <col min="5" max="5" width="18.77734375" style="49" customWidth="1"/>
    <col min="6" max="6" width="20.21875" style="49" bestFit="1" customWidth="1"/>
    <col min="7" max="7" width="18.77734375" style="49" customWidth="1"/>
    <col min="8" max="8" width="36.77734375" style="49" customWidth="1"/>
    <col min="9" max="16384" width="9.21875" style="49"/>
  </cols>
  <sheetData>
    <row r="1" spans="1:9" ht="34.200000000000003" thickBot="1" x14ac:dyDescent="0.7">
      <c r="A1" s="201" t="s">
        <v>112</v>
      </c>
      <c r="B1" s="201"/>
      <c r="C1" s="201"/>
      <c r="D1" s="201"/>
    </row>
    <row r="2" spans="1:9" x14ac:dyDescent="0.3">
      <c r="A2" s="33" t="s">
        <v>17</v>
      </c>
      <c r="B2" s="191" t="str">
        <f>CONCATENATE(ExpID,"-",StnNum,"-",StnDay)</f>
        <v>KF2018-6-1</v>
      </c>
      <c r="C2" s="191"/>
      <c r="D2" s="75"/>
    </row>
    <row r="3" spans="1:9" x14ac:dyDescent="0.3">
      <c r="A3" s="34" t="s">
        <v>153</v>
      </c>
      <c r="B3" s="193"/>
      <c r="C3" s="193"/>
      <c r="D3" s="79"/>
    </row>
    <row r="4" spans="1:9" x14ac:dyDescent="0.3">
      <c r="A4" s="34" t="s">
        <v>4</v>
      </c>
      <c r="B4" s="192">
        <f>ObsDate</f>
        <v>43210</v>
      </c>
      <c r="C4" s="192"/>
      <c r="D4" s="79"/>
    </row>
    <row r="5" spans="1:9" x14ac:dyDescent="0.3">
      <c r="A5" s="35" t="s">
        <v>98</v>
      </c>
      <c r="B5" s="194"/>
      <c r="C5" s="194"/>
      <c r="D5" s="79"/>
    </row>
    <row r="6" spans="1:9" x14ac:dyDescent="0.3">
      <c r="A6" s="35" t="s">
        <v>125</v>
      </c>
      <c r="B6" s="196"/>
      <c r="C6" s="197"/>
      <c r="D6" s="79"/>
    </row>
    <row r="7" spans="1:9" x14ac:dyDescent="0.3">
      <c r="A7" s="202" t="s">
        <v>186</v>
      </c>
      <c r="B7" s="203"/>
      <c r="C7" s="41" t="s">
        <v>191</v>
      </c>
      <c r="D7" s="79"/>
      <c r="E7" s="90"/>
      <c r="F7" s="76"/>
      <c r="G7" s="76"/>
      <c r="H7" s="78"/>
      <c r="I7" s="77"/>
    </row>
    <row r="8" spans="1:9" ht="30" customHeight="1" thickBot="1" x14ac:dyDescent="0.35">
      <c r="A8" s="36" t="s">
        <v>16</v>
      </c>
      <c r="B8" s="198" t="s">
        <v>198</v>
      </c>
      <c r="C8" s="199"/>
      <c r="D8" s="200"/>
    </row>
    <row r="10" spans="1:9" ht="15" thickBot="1" x14ac:dyDescent="0.35">
      <c r="A10" s="51" t="s">
        <v>75</v>
      </c>
      <c r="D10" s="51" t="s">
        <v>113</v>
      </c>
    </row>
    <row r="11" spans="1:9" x14ac:dyDescent="0.3">
      <c r="A11" s="17" t="s">
        <v>131</v>
      </c>
      <c r="B11" s="95"/>
      <c r="D11" s="17" t="s">
        <v>160</v>
      </c>
      <c r="E11" s="98"/>
    </row>
    <row r="12" spans="1:9" x14ac:dyDescent="0.3">
      <c r="A12" s="18" t="s">
        <v>132</v>
      </c>
      <c r="B12" s="96">
        <v>-3.2</v>
      </c>
      <c r="D12" s="18" t="s">
        <v>161</v>
      </c>
      <c r="E12" s="99">
        <v>45</v>
      </c>
    </row>
    <row r="13" spans="1:9" x14ac:dyDescent="0.3">
      <c r="A13" s="18" t="s">
        <v>133</v>
      </c>
      <c r="B13" s="96">
        <v>-3.4</v>
      </c>
      <c r="D13" s="18" t="s">
        <v>162</v>
      </c>
      <c r="E13" s="99">
        <v>43.5</v>
      </c>
    </row>
    <row r="14" spans="1:9" ht="15" thickBot="1" x14ac:dyDescent="0.35">
      <c r="A14" s="20" t="s">
        <v>134</v>
      </c>
      <c r="B14" s="97">
        <v>-1.5</v>
      </c>
      <c r="D14" s="18" t="s">
        <v>157</v>
      </c>
      <c r="E14" s="99"/>
    </row>
    <row r="15" spans="1:9" x14ac:dyDescent="0.3">
      <c r="D15" s="18" t="s">
        <v>159</v>
      </c>
      <c r="E15" s="99"/>
    </row>
    <row r="16" spans="1:9" ht="15" thickBot="1" x14ac:dyDescent="0.35">
      <c r="D16" s="20" t="s">
        <v>171</v>
      </c>
      <c r="E16" s="100">
        <v>8</v>
      </c>
    </row>
    <row r="17" spans="1:8" ht="15" thickBot="1" x14ac:dyDescent="0.35"/>
    <row r="18" spans="1:8" x14ac:dyDescent="0.3">
      <c r="D18" s="17" t="s">
        <v>187</v>
      </c>
      <c r="E18" s="101">
        <v>46</v>
      </c>
      <c r="F18" s="91"/>
      <c r="G18" s="92"/>
    </row>
    <row r="19" spans="1:8" x14ac:dyDescent="0.3">
      <c r="D19" s="18" t="s">
        <v>136</v>
      </c>
      <c r="E19" s="102">
        <v>2</v>
      </c>
      <c r="F19" s="60"/>
      <c r="G19" s="93"/>
    </row>
    <row r="20" spans="1:8" ht="15" thickBot="1" x14ac:dyDescent="0.35">
      <c r="D20" s="20" t="s">
        <v>135</v>
      </c>
      <c r="E20" s="94"/>
      <c r="F20" s="94"/>
      <c r="G20" s="37">
        <v>46</v>
      </c>
    </row>
    <row r="21" spans="1:8" ht="15" thickBot="1" x14ac:dyDescent="0.35"/>
    <row r="22" spans="1:8" ht="15" thickBot="1" x14ac:dyDescent="0.35">
      <c r="A22" s="38" t="s">
        <v>189</v>
      </c>
      <c r="B22" s="39" t="s">
        <v>114</v>
      </c>
      <c r="D22" s="38" t="s">
        <v>122</v>
      </c>
      <c r="E22" s="40" t="s">
        <v>163</v>
      </c>
      <c r="F22" s="40" t="s">
        <v>164</v>
      </c>
      <c r="G22" s="40" t="s">
        <v>165</v>
      </c>
      <c r="H22" s="39" t="s">
        <v>14</v>
      </c>
    </row>
    <row r="23" spans="1:8" x14ac:dyDescent="0.3">
      <c r="A23" s="162">
        <v>2</v>
      </c>
      <c r="B23" s="161">
        <v>-3.2</v>
      </c>
      <c r="D23" s="104">
        <v>1</v>
      </c>
      <c r="E23" s="105">
        <v>0</v>
      </c>
      <c r="F23" s="105">
        <v>42</v>
      </c>
      <c r="G23" s="105"/>
      <c r="H23" s="89" t="s">
        <v>197</v>
      </c>
    </row>
    <row r="24" spans="1:8" x14ac:dyDescent="0.3">
      <c r="A24" s="163">
        <v>7</v>
      </c>
      <c r="B24" s="115">
        <v>-3.1</v>
      </c>
      <c r="D24" s="106">
        <v>2</v>
      </c>
      <c r="E24" s="107"/>
      <c r="F24" s="107">
        <v>46</v>
      </c>
      <c r="G24" s="107"/>
      <c r="H24" s="45"/>
    </row>
    <row r="25" spans="1:8" x14ac:dyDescent="0.3">
      <c r="A25" s="163">
        <v>12</v>
      </c>
      <c r="B25" s="115">
        <v>-2.9</v>
      </c>
      <c r="D25" s="106"/>
      <c r="E25" s="107"/>
      <c r="F25" s="107"/>
      <c r="G25" s="107"/>
      <c r="H25" s="45"/>
    </row>
    <row r="26" spans="1:8" x14ac:dyDescent="0.3">
      <c r="A26" s="163">
        <v>17</v>
      </c>
      <c r="B26" s="115">
        <v>-2.6</v>
      </c>
      <c r="D26" s="106"/>
      <c r="E26" s="107"/>
      <c r="F26" s="107"/>
      <c r="G26" s="107"/>
      <c r="H26" s="45"/>
    </row>
    <row r="27" spans="1:8" x14ac:dyDescent="0.3">
      <c r="A27" s="163">
        <v>22</v>
      </c>
      <c r="B27" s="115">
        <v>-2.5</v>
      </c>
      <c r="D27" s="106"/>
      <c r="E27" s="107"/>
      <c r="F27" s="107"/>
      <c r="G27" s="107"/>
      <c r="H27" s="45"/>
    </row>
    <row r="28" spans="1:8" x14ac:dyDescent="0.3">
      <c r="A28" s="163">
        <v>27</v>
      </c>
      <c r="B28" s="115">
        <v>-2.1</v>
      </c>
      <c r="D28" s="106"/>
      <c r="E28" s="107"/>
      <c r="F28" s="107"/>
      <c r="G28" s="107"/>
      <c r="H28" s="45"/>
    </row>
    <row r="29" spans="1:8" x14ac:dyDescent="0.3">
      <c r="A29" s="163">
        <v>32</v>
      </c>
      <c r="B29" s="115">
        <v>-1.7</v>
      </c>
      <c r="D29" s="106"/>
      <c r="E29" s="107"/>
      <c r="F29" s="107"/>
      <c r="G29" s="107"/>
      <c r="H29" s="45"/>
    </row>
    <row r="30" spans="1:8" x14ac:dyDescent="0.3">
      <c r="A30" s="103">
        <v>37</v>
      </c>
      <c r="B30" s="115">
        <v>-1.5</v>
      </c>
      <c r="D30" s="106"/>
      <c r="E30" s="107"/>
      <c r="F30" s="107"/>
      <c r="G30" s="107"/>
      <c r="H30" s="45"/>
    </row>
    <row r="31" spans="1:8" x14ac:dyDescent="0.3">
      <c r="A31" s="103">
        <v>41</v>
      </c>
      <c r="B31" s="115">
        <v>-1.5</v>
      </c>
      <c r="D31" s="106"/>
      <c r="E31" s="107"/>
      <c r="F31" s="107"/>
      <c r="G31" s="107"/>
      <c r="H31" s="45"/>
    </row>
    <row r="32" spans="1:8" x14ac:dyDescent="0.3">
      <c r="A32" s="103">
        <v>44</v>
      </c>
      <c r="B32" s="115">
        <v>-1.5</v>
      </c>
      <c r="D32" s="106"/>
      <c r="E32" s="107"/>
      <c r="F32" s="107"/>
      <c r="G32" s="107"/>
      <c r="H32" s="45"/>
    </row>
    <row r="33" spans="1:8" x14ac:dyDescent="0.3">
      <c r="A33" s="103"/>
      <c r="B33" s="115"/>
      <c r="D33" s="106"/>
      <c r="E33" s="107"/>
      <c r="F33" s="107"/>
      <c r="G33" s="107"/>
      <c r="H33" s="45"/>
    </row>
    <row r="34" spans="1:8" x14ac:dyDescent="0.3">
      <c r="A34" s="103"/>
      <c r="B34" s="115"/>
      <c r="D34" s="106"/>
      <c r="E34" s="107"/>
      <c r="F34" s="107"/>
      <c r="G34" s="107"/>
      <c r="H34" s="45"/>
    </row>
    <row r="35" spans="1:8" x14ac:dyDescent="0.3">
      <c r="A35" s="103"/>
      <c r="B35" s="115"/>
      <c r="D35" s="106"/>
      <c r="E35" s="107"/>
      <c r="F35" s="107"/>
      <c r="G35" s="107"/>
      <c r="H35" s="45"/>
    </row>
    <row r="36" spans="1:8" x14ac:dyDescent="0.3">
      <c r="A36" s="103"/>
      <c r="B36" s="115"/>
      <c r="D36" s="106"/>
      <c r="E36" s="107"/>
      <c r="F36" s="107"/>
      <c r="G36" s="107"/>
      <c r="H36" s="45"/>
    </row>
    <row r="37" spans="1:8" x14ac:dyDescent="0.3">
      <c r="A37" s="103"/>
      <c r="B37" s="115"/>
      <c r="D37" s="106"/>
      <c r="E37" s="107"/>
      <c r="F37" s="107"/>
      <c r="G37" s="107"/>
      <c r="H37" s="45"/>
    </row>
    <row r="38" spans="1:8" x14ac:dyDescent="0.3">
      <c r="A38" s="103"/>
      <c r="B38" s="115"/>
      <c r="D38" s="106"/>
      <c r="E38" s="107"/>
      <c r="F38" s="107"/>
      <c r="G38" s="107"/>
      <c r="H38" s="45"/>
    </row>
    <row r="39" spans="1:8" x14ac:dyDescent="0.3">
      <c r="A39" s="103"/>
      <c r="B39" s="115"/>
      <c r="D39" s="106"/>
      <c r="E39" s="107"/>
      <c r="F39" s="107"/>
      <c r="G39" s="107"/>
      <c r="H39" s="45"/>
    </row>
    <row r="40" spans="1:8" x14ac:dyDescent="0.3">
      <c r="A40" s="103"/>
      <c r="B40" s="115"/>
      <c r="D40" s="106"/>
      <c r="E40" s="107"/>
      <c r="F40" s="107"/>
      <c r="G40" s="107"/>
      <c r="H40" s="45"/>
    </row>
    <row r="41" spans="1:8" x14ac:dyDescent="0.3">
      <c r="A41" s="103"/>
      <c r="B41" s="115"/>
      <c r="D41" s="106"/>
      <c r="E41" s="107"/>
      <c r="F41" s="107"/>
      <c r="G41" s="107"/>
      <c r="H41" s="45"/>
    </row>
    <row r="42" spans="1:8" x14ac:dyDescent="0.3">
      <c r="A42" s="103"/>
      <c r="B42" s="115"/>
      <c r="D42" s="106"/>
      <c r="E42" s="107"/>
      <c r="F42" s="107"/>
      <c r="G42" s="107"/>
      <c r="H42" s="45"/>
    </row>
    <row r="43" spans="1:8" x14ac:dyDescent="0.3">
      <c r="A43" s="103"/>
      <c r="B43" s="115"/>
      <c r="D43" s="106"/>
      <c r="E43" s="107"/>
      <c r="F43" s="107"/>
      <c r="G43" s="107"/>
      <c r="H43" s="45"/>
    </row>
    <row r="44" spans="1:8" x14ac:dyDescent="0.3">
      <c r="A44" s="103"/>
      <c r="B44" s="115"/>
      <c r="D44" s="106"/>
      <c r="E44" s="107"/>
      <c r="F44" s="107"/>
      <c r="G44" s="107"/>
      <c r="H44" s="45"/>
    </row>
    <row r="45" spans="1:8" x14ac:dyDescent="0.3">
      <c r="A45" s="103"/>
      <c r="B45" s="115"/>
      <c r="D45" s="106"/>
      <c r="E45" s="107"/>
      <c r="F45" s="107"/>
      <c r="G45" s="107"/>
      <c r="H45" s="45"/>
    </row>
    <row r="46" spans="1:8" x14ac:dyDescent="0.3">
      <c r="A46" s="103"/>
      <c r="B46" s="115"/>
      <c r="D46" s="106"/>
      <c r="E46" s="107"/>
      <c r="F46" s="107"/>
      <c r="G46" s="107"/>
      <c r="H46" s="45"/>
    </row>
    <row r="47" spans="1:8" x14ac:dyDescent="0.3">
      <c r="A47" s="103"/>
      <c r="B47" s="115"/>
      <c r="D47" s="106"/>
      <c r="E47" s="107"/>
      <c r="F47" s="107"/>
      <c r="G47" s="107"/>
      <c r="H47" s="45"/>
    </row>
  </sheetData>
  <mergeCells count="8">
    <mergeCell ref="B8:D8"/>
    <mergeCell ref="A1:D1"/>
    <mergeCell ref="B2:C2"/>
    <mergeCell ref="B3:C3"/>
    <mergeCell ref="B4:C4"/>
    <mergeCell ref="B5:C5"/>
    <mergeCell ref="B6:C6"/>
    <mergeCell ref="A7:B7"/>
  </mergeCells>
  <dataValidations disablePrompts="1"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topLeftCell="A4" zoomScale="80" zoomScaleNormal="80" workbookViewId="0">
      <selection activeCell="I20" sqref="I20"/>
    </sheetView>
  </sheetViews>
  <sheetFormatPr defaultColWidth="9.21875" defaultRowHeight="14.4" x14ac:dyDescent="0.3"/>
  <cols>
    <col min="1" max="1" width="29.44140625" style="49" bestFit="1" customWidth="1"/>
    <col min="2" max="8" width="15.77734375" style="49" customWidth="1"/>
    <col min="9" max="9" width="36.77734375" style="49" customWidth="1"/>
    <col min="10" max="10" width="9.21875" style="49"/>
    <col min="11" max="13" width="15.77734375" style="49" customWidth="1"/>
    <col min="14" max="14" width="36.77734375" style="49" customWidth="1"/>
    <col min="15" max="16384" width="9.21875" style="49"/>
  </cols>
  <sheetData>
    <row r="1" spans="1:13" ht="31.2" x14ac:dyDescent="0.6">
      <c r="A1" s="206" t="s">
        <v>115</v>
      </c>
      <c r="B1" s="206"/>
      <c r="C1" s="206"/>
      <c r="D1" s="206"/>
    </row>
    <row r="2" spans="1:13" x14ac:dyDescent="0.3">
      <c r="A2" s="4" t="s">
        <v>17</v>
      </c>
      <c r="B2" s="210" t="str">
        <f>CONCATENATE(ExpID,"-",StnNum,"-",StnDay)</f>
        <v>KF2018-6-1</v>
      </c>
      <c r="C2" s="210"/>
      <c r="D2" s="113"/>
    </row>
    <row r="3" spans="1:13" x14ac:dyDescent="0.3">
      <c r="A3" s="4" t="s">
        <v>153</v>
      </c>
      <c r="B3" s="193"/>
      <c r="C3" s="193"/>
      <c r="D3" s="114"/>
    </row>
    <row r="4" spans="1:13" x14ac:dyDescent="0.3">
      <c r="A4" s="4" t="s">
        <v>4</v>
      </c>
      <c r="B4" s="192">
        <f>ObsDate</f>
        <v>43210</v>
      </c>
      <c r="C4" s="192"/>
      <c r="D4" s="114"/>
    </row>
    <row r="5" spans="1:13" x14ac:dyDescent="0.3">
      <c r="A5" s="6" t="s">
        <v>98</v>
      </c>
      <c r="B5" s="194"/>
      <c r="C5" s="194"/>
      <c r="D5" s="114"/>
    </row>
    <row r="6" spans="1:13" x14ac:dyDescent="0.3">
      <c r="A6" s="6" t="s">
        <v>125</v>
      </c>
      <c r="B6" s="195"/>
      <c r="C6" s="195"/>
      <c r="D6" s="114"/>
      <c r="E6" s="76"/>
    </row>
    <row r="7" spans="1:13" ht="30" customHeight="1" x14ac:dyDescent="0.3">
      <c r="A7" s="7" t="s">
        <v>16</v>
      </c>
      <c r="B7" s="207" t="s">
        <v>203</v>
      </c>
      <c r="C7" s="208"/>
      <c r="D7" s="209"/>
    </row>
    <row r="9" spans="1:13" x14ac:dyDescent="0.3">
      <c r="A9" s="51" t="s">
        <v>113</v>
      </c>
    </row>
    <row r="10" spans="1:13" x14ac:dyDescent="0.3">
      <c r="A10" s="9" t="s">
        <v>160</v>
      </c>
      <c r="B10" s="109"/>
      <c r="K10" s="204" t="s">
        <v>187</v>
      </c>
      <c r="L10" s="205"/>
      <c r="M10" s="46">
        <v>46.5</v>
      </c>
    </row>
    <row r="11" spans="1:13" x14ac:dyDescent="0.3">
      <c r="A11" s="9" t="s">
        <v>161</v>
      </c>
      <c r="B11" s="109"/>
      <c r="K11" s="204" t="s">
        <v>136</v>
      </c>
      <c r="L11" s="205"/>
      <c r="M11" s="45">
        <v>2</v>
      </c>
    </row>
    <row r="12" spans="1:13" x14ac:dyDescent="0.3">
      <c r="A12" s="9" t="s">
        <v>162</v>
      </c>
      <c r="B12" s="109">
        <v>43</v>
      </c>
      <c r="K12" s="9" t="s">
        <v>135</v>
      </c>
      <c r="L12" s="9"/>
      <c r="M12" s="44">
        <v>46.5</v>
      </c>
    </row>
    <row r="13" spans="1:13" x14ac:dyDescent="0.3">
      <c r="A13" s="9" t="s">
        <v>157</v>
      </c>
      <c r="B13" s="109"/>
    </row>
    <row r="14" spans="1:13" x14ac:dyDescent="0.3">
      <c r="A14" s="9" t="s">
        <v>159</v>
      </c>
      <c r="B14" s="109">
        <v>44</v>
      </c>
    </row>
    <row r="15" spans="1:13" x14ac:dyDescent="0.3">
      <c r="A15" s="9" t="s">
        <v>171</v>
      </c>
      <c r="B15" s="109" t="s">
        <v>199</v>
      </c>
    </row>
    <row r="17" spans="1:14" s="81" customFormat="1" ht="28.8" x14ac:dyDescent="0.3">
      <c r="A17" s="12" t="s">
        <v>117</v>
      </c>
      <c r="B17" s="12" t="s">
        <v>166</v>
      </c>
      <c r="C17" s="12" t="s">
        <v>167</v>
      </c>
      <c r="D17" s="12" t="s">
        <v>118</v>
      </c>
      <c r="E17" s="12" t="s">
        <v>119</v>
      </c>
      <c r="F17" s="12" t="s">
        <v>120</v>
      </c>
      <c r="G17" s="12" t="s">
        <v>168</v>
      </c>
      <c r="H17" s="12" t="s">
        <v>121</v>
      </c>
      <c r="I17" s="12" t="s">
        <v>14</v>
      </c>
      <c r="K17" s="12" t="s">
        <v>122</v>
      </c>
      <c r="L17" s="12" t="s">
        <v>169</v>
      </c>
      <c r="M17" s="12" t="s">
        <v>170</v>
      </c>
      <c r="N17" s="12" t="s">
        <v>14</v>
      </c>
    </row>
    <row r="18" spans="1:14" x14ac:dyDescent="0.3">
      <c r="A18" s="110" t="s">
        <v>205</v>
      </c>
      <c r="B18" s="109">
        <v>0</v>
      </c>
      <c r="C18" s="109">
        <f>B18+G18</f>
        <v>10.5</v>
      </c>
      <c r="D18" s="87">
        <v>5.8</v>
      </c>
      <c r="E18" s="87">
        <v>10.39</v>
      </c>
      <c r="F18" s="111">
        <v>16.600000000000001</v>
      </c>
      <c r="G18" s="109">
        <v>10.5</v>
      </c>
      <c r="H18" s="87"/>
      <c r="I18" s="112"/>
      <c r="K18" s="110">
        <v>1</v>
      </c>
      <c r="L18" s="109">
        <v>18</v>
      </c>
      <c r="M18" s="109">
        <v>18</v>
      </c>
      <c r="N18" s="112"/>
    </row>
    <row r="19" spans="1:14" x14ac:dyDescent="0.3">
      <c r="A19" s="110" t="s">
        <v>206</v>
      </c>
      <c r="B19" s="109">
        <f>C18</f>
        <v>10.5</v>
      </c>
      <c r="C19" s="109">
        <f>B19+G19</f>
        <v>20</v>
      </c>
      <c r="D19" s="87">
        <v>6</v>
      </c>
      <c r="E19" s="87">
        <v>10.69</v>
      </c>
      <c r="F19" s="111">
        <v>16.3</v>
      </c>
      <c r="G19" s="109">
        <v>9.5</v>
      </c>
      <c r="H19" s="87"/>
      <c r="I19" s="112"/>
      <c r="K19" s="110">
        <v>2</v>
      </c>
      <c r="L19" s="109">
        <v>46.5</v>
      </c>
      <c r="M19" s="109">
        <v>28.5</v>
      </c>
      <c r="N19" s="112"/>
    </row>
    <row r="20" spans="1:14" x14ac:dyDescent="0.3">
      <c r="A20" s="110" t="s">
        <v>207</v>
      </c>
      <c r="B20" s="109">
        <f t="shared" ref="B20:B22" si="0">C19</f>
        <v>20</v>
      </c>
      <c r="C20" s="109">
        <f t="shared" ref="C20:C22" si="1">B20+G20</f>
        <v>29.5</v>
      </c>
      <c r="D20" s="87">
        <v>5.2</v>
      </c>
      <c r="E20" s="87">
        <v>9.43</v>
      </c>
      <c r="F20" s="111">
        <v>15.1</v>
      </c>
      <c r="G20" s="109">
        <v>9.5</v>
      </c>
      <c r="H20" s="87"/>
      <c r="I20" s="112" t="s">
        <v>210</v>
      </c>
      <c r="K20" s="110"/>
      <c r="L20" s="109"/>
      <c r="M20" s="109"/>
      <c r="N20" s="112"/>
    </row>
    <row r="21" spans="1:14" x14ac:dyDescent="0.3">
      <c r="A21" s="110" t="s">
        <v>208</v>
      </c>
      <c r="B21" s="109">
        <f t="shared" si="0"/>
        <v>29.5</v>
      </c>
      <c r="C21" s="109">
        <f t="shared" si="1"/>
        <v>39.5</v>
      </c>
      <c r="D21" s="87">
        <v>4.7</v>
      </c>
      <c r="E21" s="87">
        <v>8.58</v>
      </c>
      <c r="F21" s="111">
        <v>15.8</v>
      </c>
      <c r="G21" s="109">
        <v>10</v>
      </c>
      <c r="H21" s="87"/>
      <c r="I21" s="112"/>
      <c r="K21" s="110"/>
      <c r="L21" s="109"/>
      <c r="M21" s="109"/>
      <c r="N21" s="112"/>
    </row>
    <row r="22" spans="1:14" x14ac:dyDescent="0.3">
      <c r="A22" s="110" t="s">
        <v>209</v>
      </c>
      <c r="B22" s="109">
        <f t="shared" si="0"/>
        <v>39.5</v>
      </c>
      <c r="C22" s="109">
        <f t="shared" si="1"/>
        <v>46</v>
      </c>
      <c r="D22" s="87">
        <v>6.6</v>
      </c>
      <c r="E22" s="87">
        <v>11.67</v>
      </c>
      <c r="F22" s="111">
        <v>16.899999999999999</v>
      </c>
      <c r="G22" s="109">
        <v>6.5</v>
      </c>
      <c r="H22" s="87"/>
      <c r="I22" s="112"/>
      <c r="K22" s="110"/>
      <c r="L22" s="109"/>
      <c r="M22" s="109"/>
      <c r="N22" s="112"/>
    </row>
    <row r="23" spans="1:14" x14ac:dyDescent="0.3">
      <c r="A23" s="110"/>
      <c r="B23" s="109"/>
      <c r="C23" s="109"/>
      <c r="D23" s="87"/>
      <c r="E23" s="87"/>
      <c r="F23" s="111"/>
      <c r="G23" s="109"/>
      <c r="H23" s="87"/>
      <c r="I23" s="112"/>
      <c r="K23" s="110"/>
      <c r="L23" s="109"/>
      <c r="M23" s="109"/>
      <c r="N23" s="112"/>
    </row>
    <row r="24" spans="1:14" x14ac:dyDescent="0.3">
      <c r="A24" s="110"/>
      <c r="B24" s="109"/>
      <c r="C24" s="109"/>
      <c r="D24" s="87"/>
      <c r="E24" s="87"/>
      <c r="F24" s="111"/>
      <c r="G24" s="109"/>
      <c r="H24" s="87"/>
      <c r="I24" s="112"/>
      <c r="K24" s="110"/>
      <c r="L24" s="109"/>
      <c r="M24" s="109"/>
      <c r="N24" s="112"/>
    </row>
    <row r="25" spans="1:14" x14ac:dyDescent="0.3">
      <c r="A25" s="110"/>
      <c r="B25" s="109"/>
      <c r="C25" s="109"/>
      <c r="D25" s="87"/>
      <c r="E25" s="87"/>
      <c r="F25" s="111"/>
      <c r="G25" s="109"/>
      <c r="H25" s="87"/>
      <c r="I25" s="112"/>
      <c r="K25" s="110"/>
      <c r="L25" s="109"/>
      <c r="M25" s="109"/>
      <c r="N25" s="112"/>
    </row>
    <row r="26" spans="1:14" x14ac:dyDescent="0.3">
      <c r="A26" s="110"/>
      <c r="B26" s="109"/>
      <c r="C26" s="109"/>
      <c r="D26" s="87"/>
      <c r="E26" s="87"/>
      <c r="F26" s="111"/>
      <c r="G26" s="109"/>
      <c r="H26" s="87"/>
      <c r="I26" s="112"/>
      <c r="K26" s="110"/>
      <c r="L26" s="109"/>
      <c r="M26" s="109"/>
      <c r="N26" s="112"/>
    </row>
    <row r="27" spans="1:14" x14ac:dyDescent="0.3">
      <c r="A27" s="110"/>
      <c r="B27" s="109"/>
      <c r="C27" s="109"/>
      <c r="D27" s="87"/>
      <c r="E27" s="87"/>
      <c r="F27" s="111"/>
      <c r="G27" s="109"/>
      <c r="H27" s="87"/>
      <c r="I27" s="112"/>
      <c r="K27" s="110"/>
      <c r="L27" s="109"/>
      <c r="M27" s="109"/>
      <c r="N27" s="112"/>
    </row>
    <row r="28" spans="1:14" x14ac:dyDescent="0.3">
      <c r="A28" s="110"/>
      <c r="B28" s="109"/>
      <c r="C28" s="109"/>
      <c r="D28" s="87"/>
      <c r="E28" s="87"/>
      <c r="F28" s="111"/>
      <c r="G28" s="109"/>
      <c r="H28" s="87"/>
      <c r="I28" s="112"/>
      <c r="K28" s="110"/>
      <c r="L28" s="109"/>
      <c r="M28" s="109"/>
      <c r="N28" s="112"/>
    </row>
    <row r="29" spans="1:14" x14ac:dyDescent="0.3">
      <c r="A29" s="110"/>
      <c r="B29" s="109"/>
      <c r="C29" s="109"/>
      <c r="D29" s="87"/>
      <c r="E29" s="87"/>
      <c r="F29" s="111"/>
      <c r="G29" s="109"/>
      <c r="H29" s="87"/>
      <c r="I29" s="112"/>
      <c r="K29" s="110"/>
      <c r="L29" s="109"/>
      <c r="M29" s="109"/>
      <c r="N29" s="112"/>
    </row>
    <row r="30" spans="1:14" x14ac:dyDescent="0.3">
      <c r="A30" s="110"/>
      <c r="B30" s="109"/>
      <c r="C30" s="109"/>
      <c r="D30" s="87"/>
      <c r="E30" s="87"/>
      <c r="F30" s="111"/>
      <c r="G30" s="109"/>
      <c r="H30" s="87"/>
      <c r="I30" s="112"/>
      <c r="K30" s="110"/>
      <c r="L30" s="109"/>
      <c r="M30" s="109"/>
      <c r="N30" s="112"/>
    </row>
    <row r="31" spans="1:14" x14ac:dyDescent="0.3">
      <c r="A31" s="110"/>
      <c r="B31" s="109"/>
      <c r="C31" s="109"/>
      <c r="D31" s="87"/>
      <c r="E31" s="87"/>
      <c r="F31" s="111"/>
      <c r="G31" s="109"/>
      <c r="H31" s="87"/>
      <c r="I31" s="112"/>
      <c r="K31" s="110"/>
      <c r="L31" s="109"/>
      <c r="M31" s="109"/>
      <c r="N31" s="112"/>
    </row>
    <row r="32" spans="1:14" x14ac:dyDescent="0.3">
      <c r="A32" s="110"/>
      <c r="B32" s="109"/>
      <c r="C32" s="109"/>
      <c r="D32" s="87"/>
      <c r="E32" s="87"/>
      <c r="F32" s="111"/>
      <c r="G32" s="109"/>
      <c r="H32" s="87"/>
      <c r="I32" s="112"/>
      <c r="K32" s="110"/>
      <c r="L32" s="109"/>
      <c r="M32" s="109"/>
      <c r="N32" s="112"/>
    </row>
    <row r="33" spans="1:14" x14ac:dyDescent="0.3">
      <c r="A33" s="110"/>
      <c r="B33" s="109"/>
      <c r="C33" s="109"/>
      <c r="D33" s="87"/>
      <c r="E33" s="87"/>
      <c r="F33" s="111"/>
      <c r="G33" s="109"/>
      <c r="H33" s="87"/>
      <c r="I33" s="112"/>
      <c r="K33" s="110"/>
      <c r="L33" s="109"/>
      <c r="M33" s="109"/>
      <c r="N33" s="112"/>
    </row>
    <row r="34" spans="1:14" x14ac:dyDescent="0.3">
      <c r="A34" s="110"/>
      <c r="B34" s="109"/>
      <c r="C34" s="109"/>
      <c r="D34" s="87"/>
      <c r="E34" s="87"/>
      <c r="F34" s="111"/>
      <c r="G34" s="109"/>
      <c r="H34" s="87"/>
      <c r="I34" s="112"/>
      <c r="K34" s="110"/>
      <c r="L34" s="109"/>
      <c r="M34" s="109"/>
      <c r="N34" s="112"/>
    </row>
    <row r="35" spans="1:14" x14ac:dyDescent="0.3">
      <c r="A35" s="110"/>
      <c r="B35" s="109"/>
      <c r="C35" s="109"/>
      <c r="D35" s="87"/>
      <c r="E35" s="87"/>
      <c r="F35" s="111"/>
      <c r="G35" s="109"/>
      <c r="H35" s="87"/>
      <c r="I35" s="112"/>
      <c r="K35" s="110"/>
      <c r="L35" s="109"/>
      <c r="M35" s="109"/>
      <c r="N35" s="112"/>
    </row>
    <row r="36" spans="1:14" x14ac:dyDescent="0.3">
      <c r="A36" s="110"/>
      <c r="B36" s="109"/>
      <c r="C36" s="109"/>
      <c r="D36" s="87"/>
      <c r="E36" s="87"/>
      <c r="F36" s="111"/>
      <c r="G36" s="109"/>
      <c r="H36" s="87"/>
      <c r="I36" s="112"/>
      <c r="K36" s="110"/>
      <c r="L36" s="109"/>
      <c r="M36" s="109"/>
      <c r="N36" s="112"/>
    </row>
    <row r="37" spans="1:14" x14ac:dyDescent="0.3">
      <c r="A37" s="110"/>
      <c r="B37" s="109"/>
      <c r="C37" s="109"/>
      <c r="D37" s="87"/>
      <c r="E37" s="87"/>
      <c r="F37" s="111"/>
      <c r="G37" s="109"/>
      <c r="H37" s="87"/>
      <c r="I37" s="112"/>
      <c r="K37" s="110"/>
      <c r="L37" s="109"/>
      <c r="M37" s="109"/>
      <c r="N37" s="112"/>
    </row>
    <row r="38" spans="1:14" x14ac:dyDescent="0.3">
      <c r="A38" s="110"/>
      <c r="B38" s="109"/>
      <c r="C38" s="109"/>
      <c r="D38" s="87"/>
      <c r="E38" s="87"/>
      <c r="F38" s="111"/>
      <c r="G38" s="109"/>
      <c r="H38" s="87"/>
      <c r="I38" s="112"/>
      <c r="K38" s="110"/>
      <c r="L38" s="109"/>
      <c r="M38" s="109"/>
      <c r="N38" s="112"/>
    </row>
    <row r="39" spans="1:14" x14ac:dyDescent="0.3">
      <c r="A39" s="110"/>
      <c r="B39" s="109"/>
      <c r="C39" s="109"/>
      <c r="D39" s="87"/>
      <c r="E39" s="87"/>
      <c r="F39" s="111"/>
      <c r="G39" s="109"/>
      <c r="H39" s="87"/>
      <c r="I39" s="112"/>
      <c r="K39" s="110"/>
      <c r="L39" s="109"/>
      <c r="M39" s="109"/>
      <c r="N39" s="112"/>
    </row>
    <row r="40" spans="1:14" x14ac:dyDescent="0.3">
      <c r="A40" s="110"/>
      <c r="B40" s="109"/>
      <c r="C40" s="109"/>
      <c r="D40" s="87"/>
      <c r="E40" s="87"/>
      <c r="F40" s="111"/>
      <c r="G40" s="109"/>
      <c r="H40" s="87"/>
      <c r="I40" s="112"/>
      <c r="K40" s="110"/>
      <c r="L40" s="109"/>
      <c r="M40" s="109"/>
      <c r="N40" s="112"/>
    </row>
    <row r="41" spans="1:14" x14ac:dyDescent="0.3">
      <c r="A41" s="110"/>
      <c r="B41" s="109"/>
      <c r="C41" s="109"/>
      <c r="D41" s="87"/>
      <c r="E41" s="87"/>
      <c r="F41" s="111"/>
      <c r="G41" s="109"/>
      <c r="H41" s="87"/>
      <c r="I41" s="112"/>
      <c r="K41" s="110"/>
      <c r="L41" s="109"/>
      <c r="M41" s="109"/>
      <c r="N41" s="112"/>
    </row>
    <row r="42" spans="1:14" x14ac:dyDescent="0.3">
      <c r="A42" s="110"/>
      <c r="B42" s="109"/>
      <c r="C42" s="109"/>
      <c r="D42" s="87"/>
      <c r="E42" s="87"/>
      <c r="F42" s="111"/>
      <c r="G42" s="109"/>
      <c r="H42" s="87"/>
      <c r="I42" s="112"/>
      <c r="K42" s="110"/>
      <c r="L42" s="109"/>
      <c r="M42" s="109"/>
      <c r="N42" s="112"/>
    </row>
    <row r="43" spans="1:14" x14ac:dyDescent="0.3">
      <c r="A43" s="110"/>
      <c r="B43" s="109"/>
      <c r="C43" s="109"/>
      <c r="D43" s="87"/>
      <c r="E43" s="87"/>
      <c r="F43" s="111"/>
      <c r="G43" s="109"/>
      <c r="H43" s="87"/>
      <c r="I43" s="112"/>
      <c r="K43" s="110"/>
      <c r="L43" s="109"/>
      <c r="M43" s="109"/>
      <c r="N43" s="112"/>
    </row>
    <row r="44" spans="1:14" x14ac:dyDescent="0.3">
      <c r="A44" s="110"/>
      <c r="B44" s="109"/>
      <c r="C44" s="109"/>
      <c r="D44" s="87"/>
      <c r="E44" s="87"/>
      <c r="F44" s="111"/>
      <c r="G44" s="109"/>
      <c r="H44" s="87"/>
      <c r="I44" s="112"/>
      <c r="K44" s="110"/>
      <c r="L44" s="109"/>
      <c r="M44" s="109"/>
      <c r="N44" s="112"/>
    </row>
    <row r="45" spans="1:14" x14ac:dyDescent="0.3">
      <c r="A45" s="110"/>
      <c r="B45" s="109"/>
      <c r="C45" s="109"/>
      <c r="D45" s="87"/>
      <c r="E45" s="87"/>
      <c r="F45" s="111"/>
      <c r="G45" s="109"/>
      <c r="H45" s="87"/>
      <c r="I45" s="112"/>
      <c r="K45" s="110"/>
      <c r="L45" s="109"/>
      <c r="M45" s="109"/>
      <c r="N45" s="112"/>
    </row>
    <row r="46" spans="1:14" x14ac:dyDescent="0.3">
      <c r="A46" s="110"/>
      <c r="B46" s="109"/>
      <c r="C46" s="109"/>
      <c r="D46" s="87"/>
      <c r="E46" s="87"/>
      <c r="F46" s="111"/>
      <c r="G46" s="109"/>
      <c r="H46" s="87"/>
      <c r="I46" s="112"/>
      <c r="K46" s="110"/>
      <c r="L46" s="109"/>
      <c r="M46" s="109"/>
      <c r="N46" s="112"/>
    </row>
    <row r="47" spans="1:14" x14ac:dyDescent="0.3">
      <c r="A47" s="110"/>
      <c r="B47" s="109"/>
      <c r="C47" s="109"/>
      <c r="D47" s="87"/>
      <c r="E47" s="87"/>
      <c r="F47" s="111"/>
      <c r="G47" s="109"/>
      <c r="H47" s="87"/>
      <c r="I47" s="112"/>
      <c r="K47" s="110"/>
      <c r="L47" s="109"/>
      <c r="M47" s="109"/>
      <c r="N47" s="112"/>
    </row>
    <row r="48" spans="1:14" x14ac:dyDescent="0.3">
      <c r="A48" s="110"/>
      <c r="B48" s="109"/>
      <c r="C48" s="109"/>
      <c r="D48" s="87"/>
      <c r="E48" s="87"/>
      <c r="F48" s="111"/>
      <c r="G48" s="109"/>
      <c r="H48" s="87"/>
      <c r="I48" s="112"/>
      <c r="K48" s="110"/>
      <c r="L48" s="109"/>
      <c r="M48" s="109"/>
      <c r="N48" s="112"/>
    </row>
    <row r="49" spans="1:14" x14ac:dyDescent="0.3">
      <c r="A49" s="110"/>
      <c r="B49" s="109"/>
      <c r="C49" s="109"/>
      <c r="D49" s="87"/>
      <c r="E49" s="87"/>
      <c r="F49" s="111"/>
      <c r="G49" s="109"/>
      <c r="H49" s="87"/>
      <c r="I49" s="112"/>
      <c r="K49" s="110"/>
      <c r="L49" s="109"/>
      <c r="M49" s="109"/>
      <c r="N49" s="112"/>
    </row>
    <row r="50" spans="1:14" x14ac:dyDescent="0.3">
      <c r="A50" s="110"/>
      <c r="B50" s="109"/>
      <c r="C50" s="109"/>
      <c r="D50" s="87"/>
      <c r="E50" s="87"/>
      <c r="F50" s="111"/>
      <c r="G50" s="109"/>
      <c r="H50" s="87"/>
      <c r="I50" s="112"/>
      <c r="K50" s="110"/>
      <c r="L50" s="109"/>
      <c r="M50" s="109"/>
      <c r="N50" s="112"/>
    </row>
  </sheetData>
  <mergeCells count="9">
    <mergeCell ref="K11:L11"/>
    <mergeCell ref="K10:L10"/>
    <mergeCell ref="A1:D1"/>
    <mergeCell ref="B7:D7"/>
    <mergeCell ref="B2:C2"/>
    <mergeCell ref="B3:C3"/>
    <mergeCell ref="B4:C4"/>
    <mergeCell ref="B5:C5"/>
    <mergeCell ref="B6:C6"/>
  </mergeCells>
  <pageMargins left="0.7" right="0.7" top="0.75" bottom="0.75" header="0.3" footer="0.3"/>
  <pageSetup paperSize="9" scale="49" fitToHeight="0" orientation="landscape" verticalDpi="0" r:id="rId1"/>
  <ignoredErrors>
    <ignoredError sqref="C18 B19:C19 B20:C22"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F47"/>
  <sheetViews>
    <sheetView topLeftCell="A7" workbookViewId="0">
      <selection activeCell="D31" sqref="D31"/>
    </sheetView>
  </sheetViews>
  <sheetFormatPr defaultRowHeight="14.4" x14ac:dyDescent="0.3"/>
  <cols>
    <col min="1" max="1" width="25.5546875" customWidth="1"/>
    <col min="2" max="2" width="23.44140625" customWidth="1"/>
    <col min="4" max="4" width="25" customWidth="1"/>
  </cols>
  <sheetData>
    <row r="1" spans="1:6" ht="34.200000000000003" thickBot="1" x14ac:dyDescent="0.7">
      <c r="A1" s="201" t="s">
        <v>193</v>
      </c>
      <c r="B1" s="201"/>
      <c r="C1" s="201"/>
      <c r="D1" s="201"/>
      <c r="E1" s="49"/>
      <c r="F1" s="49"/>
    </row>
    <row r="2" spans="1:6" x14ac:dyDescent="0.3">
      <c r="A2" s="33" t="s">
        <v>17</v>
      </c>
      <c r="B2" s="191" t="str">
        <f>CONCATENATE(ExpID,"-",StnNum,"-",StnDay)</f>
        <v>KF2018-6-1</v>
      </c>
      <c r="C2" s="191"/>
      <c r="D2" s="75"/>
      <c r="E2" s="49"/>
      <c r="F2" s="49"/>
    </row>
    <row r="3" spans="1:6" x14ac:dyDescent="0.3">
      <c r="A3" s="34" t="s">
        <v>153</v>
      </c>
      <c r="B3" s="193"/>
      <c r="C3" s="193"/>
      <c r="D3" s="79"/>
      <c r="E3" s="49"/>
      <c r="F3" s="49"/>
    </row>
    <row r="4" spans="1:6" x14ac:dyDescent="0.3">
      <c r="A4" s="34" t="s">
        <v>4</v>
      </c>
      <c r="B4" s="192">
        <f>ObsDate</f>
        <v>43210</v>
      </c>
      <c r="C4" s="192"/>
      <c r="D4" s="79"/>
      <c r="E4" s="49"/>
      <c r="F4" s="49"/>
    </row>
    <row r="5" spans="1:6" x14ac:dyDescent="0.3">
      <c r="A5" s="35" t="s">
        <v>98</v>
      </c>
      <c r="B5" s="194"/>
      <c r="C5" s="194"/>
      <c r="D5" s="79"/>
      <c r="E5" s="49"/>
      <c r="F5" s="49"/>
    </row>
    <row r="6" spans="1:6" x14ac:dyDescent="0.3">
      <c r="A6" s="35" t="s">
        <v>125</v>
      </c>
      <c r="B6" s="196"/>
      <c r="C6" s="197"/>
      <c r="D6" s="79"/>
      <c r="E6" s="49"/>
      <c r="F6" s="49"/>
    </row>
    <row r="7" spans="1:6" x14ac:dyDescent="0.3">
      <c r="A7" s="202" t="s">
        <v>186</v>
      </c>
      <c r="B7" s="203"/>
      <c r="C7" s="41" t="s">
        <v>185</v>
      </c>
      <c r="D7" s="79"/>
      <c r="E7" s="90"/>
      <c r="F7" s="76"/>
    </row>
    <row r="8" spans="1:6" ht="15" thickBot="1" x14ac:dyDescent="0.35">
      <c r="A8" s="36" t="s">
        <v>16</v>
      </c>
      <c r="B8" s="198" t="s">
        <v>200</v>
      </c>
      <c r="C8" s="199"/>
      <c r="D8" s="200"/>
      <c r="E8" s="49"/>
      <c r="F8" s="49"/>
    </row>
    <row r="9" spans="1:6" x14ac:dyDescent="0.3">
      <c r="A9" s="49"/>
      <c r="B9" s="49"/>
      <c r="C9" s="49"/>
      <c r="D9" s="49"/>
      <c r="E9" s="49"/>
      <c r="F9" s="49"/>
    </row>
    <row r="10" spans="1:6" ht="15" thickBot="1" x14ac:dyDescent="0.35">
      <c r="A10" s="51" t="s">
        <v>75</v>
      </c>
      <c r="B10" s="49"/>
      <c r="C10" s="49"/>
      <c r="D10" s="51" t="s">
        <v>113</v>
      </c>
      <c r="E10" s="49"/>
      <c r="F10" s="49"/>
    </row>
    <row r="11" spans="1:6" x14ac:dyDescent="0.3">
      <c r="A11" s="17" t="s">
        <v>131</v>
      </c>
      <c r="B11" s="95"/>
      <c r="C11" s="49"/>
      <c r="D11" s="17" t="s">
        <v>160</v>
      </c>
      <c r="E11" s="98"/>
      <c r="F11" s="49"/>
    </row>
    <row r="12" spans="1:6" x14ac:dyDescent="0.3">
      <c r="A12" s="18" t="s">
        <v>132</v>
      </c>
      <c r="B12" s="96"/>
      <c r="C12" s="49"/>
      <c r="D12" s="18" t="s">
        <v>161</v>
      </c>
      <c r="E12" s="99"/>
      <c r="F12" s="49"/>
    </row>
    <row r="13" spans="1:6" x14ac:dyDescent="0.3">
      <c r="A13" s="18" t="s">
        <v>133</v>
      </c>
      <c r="B13" s="96"/>
      <c r="C13" s="49"/>
      <c r="D13" s="18" t="s">
        <v>162</v>
      </c>
      <c r="E13" s="99">
        <v>43</v>
      </c>
      <c r="F13" s="49"/>
    </row>
    <row r="14" spans="1:6" ht="15" thickBot="1" x14ac:dyDescent="0.35">
      <c r="A14" s="20" t="s">
        <v>134</v>
      </c>
      <c r="B14" s="97"/>
      <c r="C14" s="49"/>
      <c r="D14" s="18" t="s">
        <v>157</v>
      </c>
      <c r="E14" s="99"/>
      <c r="F14" s="49"/>
    </row>
    <row r="15" spans="1:6" x14ac:dyDescent="0.3">
      <c r="A15" s="49"/>
      <c r="B15" s="49"/>
      <c r="C15" s="49"/>
      <c r="D15" s="18" t="s">
        <v>159</v>
      </c>
      <c r="E15" s="99">
        <v>45</v>
      </c>
      <c r="F15" s="49"/>
    </row>
    <row r="16" spans="1:6" ht="15" thickBot="1" x14ac:dyDescent="0.35">
      <c r="A16" s="49"/>
      <c r="B16" s="49"/>
      <c r="C16" s="49"/>
      <c r="D16" s="20" t="s">
        <v>171</v>
      </c>
      <c r="E16" s="109" t="s">
        <v>199</v>
      </c>
      <c r="F16" s="49"/>
    </row>
    <row r="17" spans="1:6" ht="15" thickBot="1" x14ac:dyDescent="0.35">
      <c r="A17" s="49"/>
      <c r="B17" s="49"/>
      <c r="C17" s="49"/>
      <c r="D17" s="49"/>
      <c r="E17" s="49"/>
      <c r="F17" s="49"/>
    </row>
    <row r="18" spans="1:6" x14ac:dyDescent="0.3">
      <c r="A18" s="17" t="s">
        <v>187</v>
      </c>
      <c r="B18" s="101"/>
      <c r="C18" s="91"/>
      <c r="D18" s="92"/>
      <c r="E18" s="49"/>
      <c r="F18" s="49"/>
    </row>
    <row r="19" spans="1:6" x14ac:dyDescent="0.3">
      <c r="A19" s="18" t="s">
        <v>136</v>
      </c>
      <c r="B19" s="102">
        <v>1</v>
      </c>
      <c r="C19" s="60"/>
      <c r="D19" s="93"/>
      <c r="E19" s="49"/>
      <c r="F19" s="49"/>
    </row>
    <row r="20" spans="1:6" ht="15" thickBot="1" x14ac:dyDescent="0.35">
      <c r="A20" s="20" t="s">
        <v>135</v>
      </c>
      <c r="B20" s="94"/>
      <c r="C20" s="94"/>
      <c r="D20" s="37">
        <f>SUM(G23:G52)</f>
        <v>0</v>
      </c>
      <c r="E20" s="49"/>
      <c r="F20" s="49"/>
    </row>
    <row r="21" spans="1:6" ht="15" thickBot="1" x14ac:dyDescent="0.35">
      <c r="A21" s="49"/>
      <c r="B21" s="49"/>
      <c r="C21" s="49"/>
      <c r="D21" s="49"/>
      <c r="E21" s="49"/>
      <c r="F21" s="49"/>
    </row>
    <row r="22" spans="1:6" ht="15" thickBot="1" x14ac:dyDescent="0.35">
      <c r="A22" s="38" t="s">
        <v>122</v>
      </c>
      <c r="B22" s="40" t="s">
        <v>163</v>
      </c>
      <c r="C22" s="40" t="s">
        <v>164</v>
      </c>
      <c r="D22" s="40" t="s">
        <v>165</v>
      </c>
      <c r="E22" s="212" t="s">
        <v>14</v>
      </c>
      <c r="F22" s="213"/>
    </row>
    <row r="23" spans="1:6" x14ac:dyDescent="0.3">
      <c r="A23" s="104"/>
      <c r="B23" s="105"/>
      <c r="C23" s="105"/>
      <c r="D23" s="105"/>
      <c r="E23" s="214"/>
      <c r="F23" s="214"/>
    </row>
    <row r="24" spans="1:6" x14ac:dyDescent="0.3">
      <c r="A24" s="106"/>
      <c r="B24" s="107"/>
      <c r="C24" s="107"/>
      <c r="D24" s="107"/>
      <c r="E24" s="211"/>
      <c r="F24" s="211"/>
    </row>
    <row r="25" spans="1:6" x14ac:dyDescent="0.3">
      <c r="A25" s="106"/>
      <c r="B25" s="107"/>
      <c r="C25" s="107"/>
      <c r="D25" s="107"/>
      <c r="E25" s="211"/>
      <c r="F25" s="211"/>
    </row>
    <row r="26" spans="1:6" x14ac:dyDescent="0.3">
      <c r="A26" s="106"/>
      <c r="B26" s="107"/>
      <c r="C26" s="107"/>
      <c r="D26" s="107"/>
      <c r="E26" s="211"/>
      <c r="F26" s="211"/>
    </row>
    <row r="27" spans="1:6" x14ac:dyDescent="0.3">
      <c r="A27" s="106"/>
      <c r="B27" s="107"/>
      <c r="C27" s="107"/>
      <c r="D27" s="107"/>
      <c r="E27" s="211"/>
      <c r="F27" s="211"/>
    </row>
    <row r="28" spans="1:6" x14ac:dyDescent="0.3">
      <c r="A28" s="106"/>
      <c r="B28" s="107"/>
      <c r="C28" s="107"/>
      <c r="D28" s="107"/>
      <c r="E28" s="211"/>
      <c r="F28" s="211"/>
    </row>
    <row r="29" spans="1:6" x14ac:dyDescent="0.3">
      <c r="A29" s="106"/>
      <c r="B29" s="107"/>
      <c r="C29" s="107"/>
      <c r="D29" s="107"/>
      <c r="E29" s="211"/>
      <c r="F29" s="211"/>
    </row>
    <row r="30" spans="1:6" x14ac:dyDescent="0.3">
      <c r="A30" s="106"/>
      <c r="B30" s="107"/>
      <c r="C30" s="107"/>
      <c r="D30" s="107"/>
      <c r="E30" s="211"/>
      <c r="F30" s="211"/>
    </row>
    <row r="31" spans="1:6" x14ac:dyDescent="0.3">
      <c r="A31" s="106"/>
      <c r="B31" s="107"/>
      <c r="C31" s="107"/>
      <c r="D31" s="107"/>
      <c r="E31" s="211"/>
      <c r="F31" s="211"/>
    </row>
    <row r="32" spans="1:6" x14ac:dyDescent="0.3">
      <c r="A32" s="106"/>
      <c r="B32" s="107"/>
      <c r="C32" s="107"/>
      <c r="D32" s="107"/>
      <c r="E32" s="211"/>
      <c r="F32" s="211"/>
    </row>
    <row r="33" spans="1:6" x14ac:dyDescent="0.3">
      <c r="A33" s="106"/>
      <c r="B33" s="107"/>
      <c r="C33" s="107"/>
      <c r="D33" s="107"/>
      <c r="E33" s="211"/>
      <c r="F33" s="211"/>
    </row>
    <row r="34" spans="1:6" x14ac:dyDescent="0.3">
      <c r="A34" s="106"/>
      <c r="B34" s="107"/>
      <c r="C34" s="107"/>
      <c r="D34" s="107"/>
      <c r="E34" s="211"/>
      <c r="F34" s="211"/>
    </row>
    <row r="35" spans="1:6" x14ac:dyDescent="0.3">
      <c r="A35" s="106"/>
      <c r="B35" s="107"/>
      <c r="C35" s="107"/>
      <c r="D35" s="107"/>
      <c r="E35" s="211"/>
      <c r="F35" s="211"/>
    </row>
    <row r="36" spans="1:6" x14ac:dyDescent="0.3">
      <c r="A36" s="106"/>
      <c r="B36" s="107"/>
      <c r="C36" s="107"/>
      <c r="D36" s="107"/>
      <c r="E36" s="211"/>
      <c r="F36" s="211"/>
    </row>
    <row r="37" spans="1:6" x14ac:dyDescent="0.3">
      <c r="A37" s="106"/>
      <c r="B37" s="107"/>
      <c r="C37" s="107"/>
      <c r="D37" s="107"/>
      <c r="E37" s="211"/>
      <c r="F37" s="211"/>
    </row>
    <row r="38" spans="1:6" x14ac:dyDescent="0.3">
      <c r="A38" s="106"/>
      <c r="B38" s="107"/>
      <c r="C38" s="107"/>
      <c r="D38" s="107"/>
      <c r="E38" s="211"/>
      <c r="F38" s="211"/>
    </row>
    <row r="39" spans="1:6" x14ac:dyDescent="0.3">
      <c r="A39" s="106"/>
      <c r="B39" s="107"/>
      <c r="C39" s="107"/>
      <c r="D39" s="107"/>
      <c r="E39" s="211"/>
      <c r="F39" s="211"/>
    </row>
    <row r="40" spans="1:6" x14ac:dyDescent="0.3">
      <c r="A40" s="106"/>
      <c r="B40" s="107"/>
      <c r="C40" s="107"/>
      <c r="D40" s="107"/>
      <c r="E40" s="211"/>
      <c r="F40" s="211"/>
    </row>
    <row r="41" spans="1:6" x14ac:dyDescent="0.3">
      <c r="A41" s="106"/>
      <c r="B41" s="107"/>
      <c r="C41" s="107"/>
      <c r="D41" s="107"/>
      <c r="E41" s="211"/>
      <c r="F41" s="211"/>
    </row>
    <row r="42" spans="1:6" x14ac:dyDescent="0.3">
      <c r="A42" s="106"/>
      <c r="B42" s="107"/>
      <c r="C42" s="107"/>
      <c r="D42" s="107"/>
      <c r="E42" s="211"/>
      <c r="F42" s="211"/>
    </row>
    <row r="43" spans="1:6" x14ac:dyDescent="0.3">
      <c r="A43" s="106"/>
      <c r="B43" s="107"/>
      <c r="C43" s="107"/>
      <c r="D43" s="107"/>
      <c r="E43" s="211"/>
      <c r="F43" s="211"/>
    </row>
    <row r="44" spans="1:6" x14ac:dyDescent="0.3">
      <c r="A44" s="106"/>
      <c r="B44" s="107"/>
      <c r="C44" s="107"/>
      <c r="D44" s="107"/>
      <c r="E44" s="211"/>
      <c r="F44" s="211"/>
    </row>
    <row r="45" spans="1:6" x14ac:dyDescent="0.3">
      <c r="A45" s="106"/>
      <c r="B45" s="107"/>
      <c r="C45" s="107"/>
      <c r="D45" s="107"/>
      <c r="E45" s="211"/>
      <c r="F45" s="211"/>
    </row>
    <row r="46" spans="1:6" x14ac:dyDescent="0.3">
      <c r="A46" s="106"/>
      <c r="B46" s="107"/>
      <c r="C46" s="107"/>
      <c r="D46" s="107"/>
      <c r="E46" s="211"/>
      <c r="F46" s="211"/>
    </row>
    <row r="47" spans="1:6" x14ac:dyDescent="0.3">
      <c r="A47" s="106"/>
      <c r="B47" s="107"/>
      <c r="C47" s="107"/>
      <c r="D47" s="107"/>
      <c r="E47" s="211"/>
      <c r="F47" s="211"/>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00000000-0002-0000-0600-000000000000}">
      <formula1>Yes_No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I47"/>
  <sheetViews>
    <sheetView zoomScale="80" zoomScaleNormal="80" workbookViewId="0">
      <selection activeCell="E13" sqref="E13:E16"/>
    </sheetView>
  </sheetViews>
  <sheetFormatPr defaultColWidth="9.21875" defaultRowHeight="14.4" x14ac:dyDescent="0.3"/>
  <cols>
    <col min="1" max="1" width="23.77734375" style="49" bestFit="1" customWidth="1"/>
    <col min="2" max="2" width="16.77734375" style="49" bestFit="1" customWidth="1"/>
    <col min="3" max="3" width="20.44140625" style="49" bestFit="1" customWidth="1"/>
    <col min="4" max="4" width="27" style="49" bestFit="1" customWidth="1"/>
    <col min="5" max="5" width="18.77734375" style="49" customWidth="1"/>
    <col min="6" max="6" width="20.21875" style="49" bestFit="1" customWidth="1"/>
    <col min="7" max="7" width="18.77734375" style="49" customWidth="1"/>
    <col min="8" max="8" width="36.77734375" style="49" customWidth="1"/>
    <col min="9" max="16384" width="9.21875" style="49"/>
  </cols>
  <sheetData>
    <row r="1" spans="1:9" ht="34.200000000000003" thickBot="1" x14ac:dyDescent="0.7">
      <c r="A1" s="201" t="s">
        <v>202</v>
      </c>
      <c r="B1" s="201"/>
      <c r="C1" s="201"/>
      <c r="D1" s="201"/>
    </row>
    <row r="2" spans="1:9" x14ac:dyDescent="0.3">
      <c r="A2" s="33" t="s">
        <v>17</v>
      </c>
      <c r="B2" s="191" t="str">
        <f>CONCATENATE(ExpID,"-",StnNum,"-",StnDay)</f>
        <v>KF2018-6-1</v>
      </c>
      <c r="C2" s="191"/>
      <c r="D2" s="75"/>
    </row>
    <row r="3" spans="1:9" x14ac:dyDescent="0.3">
      <c r="A3" s="34" t="s">
        <v>153</v>
      </c>
      <c r="B3" s="193"/>
      <c r="C3" s="193"/>
      <c r="D3" s="79"/>
    </row>
    <row r="4" spans="1:9" x14ac:dyDescent="0.3">
      <c r="A4" s="34" t="s">
        <v>4</v>
      </c>
      <c r="B4" s="192">
        <f>ObsDate</f>
        <v>43210</v>
      </c>
      <c r="C4" s="192"/>
      <c r="D4" s="79"/>
    </row>
    <row r="5" spans="1:9" x14ac:dyDescent="0.3">
      <c r="A5" s="35" t="s">
        <v>98</v>
      </c>
      <c r="B5" s="194"/>
      <c r="C5" s="194"/>
      <c r="D5" s="79"/>
    </row>
    <row r="6" spans="1:9" x14ac:dyDescent="0.3">
      <c r="A6" s="35" t="s">
        <v>125</v>
      </c>
      <c r="B6" s="196"/>
      <c r="C6" s="197"/>
      <c r="D6" s="79"/>
    </row>
    <row r="7" spans="1:9" x14ac:dyDescent="0.3">
      <c r="A7" s="202" t="s">
        <v>186</v>
      </c>
      <c r="B7" s="203"/>
      <c r="C7" s="41" t="s">
        <v>185</v>
      </c>
      <c r="D7" s="79"/>
      <c r="E7" s="90"/>
      <c r="F7" s="76"/>
      <c r="G7" s="76"/>
      <c r="H7" s="78"/>
      <c r="I7" s="77"/>
    </row>
    <row r="8" spans="1:9" ht="30" customHeight="1" thickBot="1" x14ac:dyDescent="0.35">
      <c r="A8" s="36" t="s">
        <v>16</v>
      </c>
      <c r="B8" s="198" t="s">
        <v>211</v>
      </c>
      <c r="C8" s="199"/>
      <c r="D8" s="200"/>
    </row>
    <row r="10" spans="1:9" ht="15" thickBot="1" x14ac:dyDescent="0.35">
      <c r="A10" s="51" t="s">
        <v>75</v>
      </c>
      <c r="D10" s="51" t="s">
        <v>113</v>
      </c>
    </row>
    <row r="11" spans="1:9" x14ac:dyDescent="0.3">
      <c r="A11" s="17" t="s">
        <v>131</v>
      </c>
      <c r="B11" s="95"/>
      <c r="D11" s="17" t="s">
        <v>160</v>
      </c>
      <c r="E11" s="98"/>
    </row>
    <row r="12" spans="1:9" x14ac:dyDescent="0.3">
      <c r="A12" s="18" t="s">
        <v>132</v>
      </c>
      <c r="B12" s="96"/>
      <c r="D12" s="18" t="s">
        <v>161</v>
      </c>
      <c r="E12" s="99"/>
    </row>
    <row r="13" spans="1:9" x14ac:dyDescent="0.3">
      <c r="A13" s="18" t="s">
        <v>133</v>
      </c>
      <c r="B13" s="96"/>
      <c r="D13" s="18" t="s">
        <v>162</v>
      </c>
      <c r="E13" s="99">
        <v>44</v>
      </c>
    </row>
    <row r="14" spans="1:9" ht="15" thickBot="1" x14ac:dyDescent="0.35">
      <c r="A14" s="20" t="s">
        <v>134</v>
      </c>
      <c r="B14" s="97"/>
      <c r="D14" s="18" t="s">
        <v>157</v>
      </c>
      <c r="E14" s="99"/>
    </row>
    <row r="15" spans="1:9" x14ac:dyDescent="0.3">
      <c r="D15" s="18" t="s">
        <v>159</v>
      </c>
      <c r="E15" s="99">
        <v>45.5</v>
      </c>
    </row>
    <row r="16" spans="1:9" ht="15" thickBot="1" x14ac:dyDescent="0.35">
      <c r="D16" s="20" t="s">
        <v>171</v>
      </c>
      <c r="E16" s="109" t="s">
        <v>199</v>
      </c>
    </row>
    <row r="17" spans="1:6" ht="15" thickBot="1" x14ac:dyDescent="0.35"/>
    <row r="18" spans="1:6" x14ac:dyDescent="0.3">
      <c r="A18" s="17" t="s">
        <v>187</v>
      </c>
      <c r="B18" s="101"/>
      <c r="C18" s="91"/>
      <c r="D18" s="92"/>
    </row>
    <row r="19" spans="1:6" x14ac:dyDescent="0.3">
      <c r="A19" s="18" t="s">
        <v>136</v>
      </c>
      <c r="B19" s="102">
        <v>1</v>
      </c>
      <c r="C19" s="60"/>
      <c r="D19" s="93"/>
    </row>
    <row r="20" spans="1:6" ht="15" thickBot="1" x14ac:dyDescent="0.35">
      <c r="A20" s="20" t="s">
        <v>135</v>
      </c>
      <c r="B20" s="94"/>
      <c r="C20" s="94"/>
      <c r="D20" s="37">
        <f>SUM(G23:G52)</f>
        <v>0</v>
      </c>
    </row>
    <row r="21" spans="1:6" ht="15" thickBot="1" x14ac:dyDescent="0.35"/>
    <row r="22" spans="1:6" ht="15" thickBot="1" x14ac:dyDescent="0.35">
      <c r="A22" s="38" t="s">
        <v>122</v>
      </c>
      <c r="B22" s="40" t="s">
        <v>163</v>
      </c>
      <c r="C22" s="40" t="s">
        <v>164</v>
      </c>
      <c r="D22" s="40" t="s">
        <v>165</v>
      </c>
      <c r="E22" s="212" t="s">
        <v>14</v>
      </c>
      <c r="F22" s="213"/>
    </row>
    <row r="23" spans="1:6" x14ac:dyDescent="0.3">
      <c r="A23" s="104"/>
      <c r="B23" s="105"/>
      <c r="C23" s="105"/>
      <c r="D23" s="105"/>
      <c r="E23" s="214"/>
      <c r="F23" s="214"/>
    </row>
    <row r="24" spans="1:6" x14ac:dyDescent="0.3">
      <c r="A24" s="106"/>
      <c r="B24" s="107"/>
      <c r="C24" s="107"/>
      <c r="D24" s="107"/>
      <c r="E24" s="211"/>
      <c r="F24" s="211"/>
    </row>
    <row r="25" spans="1:6" x14ac:dyDescent="0.3">
      <c r="A25" s="106"/>
      <c r="B25" s="107"/>
      <c r="C25" s="107"/>
      <c r="D25" s="107"/>
      <c r="E25" s="211"/>
      <c r="F25" s="211"/>
    </row>
    <row r="26" spans="1:6" x14ac:dyDescent="0.3">
      <c r="A26" s="106"/>
      <c r="B26" s="107"/>
      <c r="C26" s="107"/>
      <c r="D26" s="107"/>
      <c r="E26" s="211"/>
      <c r="F26" s="211"/>
    </row>
    <row r="27" spans="1:6" x14ac:dyDescent="0.3">
      <c r="A27" s="106"/>
      <c r="B27" s="107"/>
      <c r="C27" s="107"/>
      <c r="D27" s="107"/>
      <c r="E27" s="211"/>
      <c r="F27" s="211"/>
    </row>
    <row r="28" spans="1:6" x14ac:dyDescent="0.3">
      <c r="A28" s="106"/>
      <c r="B28" s="107"/>
      <c r="C28" s="107"/>
      <c r="D28" s="107"/>
      <c r="E28" s="211"/>
      <c r="F28" s="211"/>
    </row>
    <row r="29" spans="1:6" x14ac:dyDescent="0.3">
      <c r="A29" s="106"/>
      <c r="B29" s="107"/>
      <c r="C29" s="107"/>
      <c r="D29" s="107"/>
      <c r="E29" s="211"/>
      <c r="F29" s="211"/>
    </row>
    <row r="30" spans="1:6" x14ac:dyDescent="0.3">
      <c r="A30" s="106"/>
      <c r="B30" s="107"/>
      <c r="C30" s="107"/>
      <c r="D30" s="107"/>
      <c r="E30" s="211"/>
      <c r="F30" s="211"/>
    </row>
    <row r="31" spans="1:6" x14ac:dyDescent="0.3">
      <c r="A31" s="106"/>
      <c r="B31" s="107"/>
      <c r="C31" s="107"/>
      <c r="D31" s="107"/>
      <c r="E31" s="211"/>
      <c r="F31" s="211"/>
    </row>
    <row r="32" spans="1:6" x14ac:dyDescent="0.3">
      <c r="A32" s="106"/>
      <c r="B32" s="107"/>
      <c r="C32" s="107"/>
      <c r="D32" s="107"/>
      <c r="E32" s="211"/>
      <c r="F32" s="211"/>
    </row>
    <row r="33" spans="1:6" x14ac:dyDescent="0.3">
      <c r="A33" s="106"/>
      <c r="B33" s="107"/>
      <c r="C33" s="107"/>
      <c r="D33" s="107"/>
      <c r="E33" s="211"/>
      <c r="F33" s="211"/>
    </row>
    <row r="34" spans="1:6" x14ac:dyDescent="0.3">
      <c r="A34" s="106"/>
      <c r="B34" s="107"/>
      <c r="C34" s="107"/>
      <c r="D34" s="107"/>
      <c r="E34" s="211"/>
      <c r="F34" s="211"/>
    </row>
    <row r="35" spans="1:6" x14ac:dyDescent="0.3">
      <c r="A35" s="106"/>
      <c r="B35" s="107"/>
      <c r="C35" s="107"/>
      <c r="D35" s="107"/>
      <c r="E35" s="211"/>
      <c r="F35" s="211"/>
    </row>
    <row r="36" spans="1:6" x14ac:dyDescent="0.3">
      <c r="A36" s="106"/>
      <c r="B36" s="107"/>
      <c r="C36" s="107"/>
      <c r="D36" s="107"/>
      <c r="E36" s="211"/>
      <c r="F36" s="211"/>
    </row>
    <row r="37" spans="1:6" x14ac:dyDescent="0.3">
      <c r="A37" s="106"/>
      <c r="B37" s="107"/>
      <c r="C37" s="107"/>
      <c r="D37" s="107"/>
      <c r="E37" s="211"/>
      <c r="F37" s="211"/>
    </row>
    <row r="38" spans="1:6" x14ac:dyDescent="0.3">
      <c r="A38" s="106"/>
      <c r="B38" s="107"/>
      <c r="C38" s="107"/>
      <c r="D38" s="107"/>
      <c r="E38" s="211"/>
      <c r="F38" s="211"/>
    </row>
    <row r="39" spans="1:6" x14ac:dyDescent="0.3">
      <c r="A39" s="106"/>
      <c r="B39" s="107"/>
      <c r="C39" s="107"/>
      <c r="D39" s="107"/>
      <c r="E39" s="211"/>
      <c r="F39" s="211"/>
    </row>
    <row r="40" spans="1:6" x14ac:dyDescent="0.3">
      <c r="A40" s="106"/>
      <c r="B40" s="107"/>
      <c r="C40" s="107"/>
      <c r="D40" s="107"/>
      <c r="E40" s="211"/>
      <c r="F40" s="211"/>
    </row>
    <row r="41" spans="1:6" x14ac:dyDescent="0.3">
      <c r="A41" s="106"/>
      <c r="B41" s="107"/>
      <c r="C41" s="107"/>
      <c r="D41" s="107"/>
      <c r="E41" s="211"/>
      <c r="F41" s="211"/>
    </row>
    <row r="42" spans="1:6" x14ac:dyDescent="0.3">
      <c r="A42" s="106"/>
      <c r="B42" s="107"/>
      <c r="C42" s="107"/>
      <c r="D42" s="107"/>
      <c r="E42" s="211"/>
      <c r="F42" s="211"/>
    </row>
    <row r="43" spans="1:6" x14ac:dyDescent="0.3">
      <c r="A43" s="106"/>
      <c r="B43" s="107"/>
      <c r="C43" s="107"/>
      <c r="D43" s="107"/>
      <c r="E43" s="211"/>
      <c r="F43" s="211"/>
    </row>
    <row r="44" spans="1:6" x14ac:dyDescent="0.3">
      <c r="A44" s="106"/>
      <c r="B44" s="107"/>
      <c r="C44" s="107"/>
      <c r="D44" s="107"/>
      <c r="E44" s="211"/>
      <c r="F44" s="211"/>
    </row>
    <row r="45" spans="1:6" x14ac:dyDescent="0.3">
      <c r="A45" s="106"/>
      <c r="B45" s="107"/>
      <c r="C45" s="107"/>
      <c r="D45" s="107"/>
      <c r="E45" s="211"/>
      <c r="F45" s="211"/>
    </row>
    <row r="46" spans="1:6" x14ac:dyDescent="0.3">
      <c r="A46" s="106"/>
      <c r="B46" s="107"/>
      <c r="C46" s="107"/>
      <c r="D46" s="107"/>
      <c r="E46" s="211"/>
      <c r="F46" s="211"/>
    </row>
    <row r="47" spans="1:6" x14ac:dyDescent="0.3">
      <c r="A47" s="106"/>
      <c r="B47" s="107"/>
      <c r="C47" s="107"/>
      <c r="D47" s="107"/>
      <c r="E47" s="211"/>
      <c r="F47" s="211"/>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700-000000000000}">
      <formula1>Yes_No</formula1>
    </dataValidation>
  </dataValidations>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L41"/>
  <sheetViews>
    <sheetView topLeftCell="A10" zoomScale="80" zoomScaleNormal="80" workbookViewId="0">
      <selection activeCell="K21" sqref="K21"/>
    </sheetView>
  </sheetViews>
  <sheetFormatPr defaultColWidth="9.21875" defaultRowHeight="14.4" x14ac:dyDescent="0.3"/>
  <cols>
    <col min="1" max="1" width="21.77734375" style="49" customWidth="1"/>
    <col min="2" max="3" width="15.77734375" style="49" customWidth="1"/>
    <col min="4" max="5" width="18.77734375" style="49" customWidth="1"/>
    <col min="6" max="6" width="19.5546875" style="49" bestFit="1" customWidth="1"/>
    <col min="7" max="7" width="19.77734375" style="49" bestFit="1" customWidth="1"/>
    <col min="8" max="8" width="19.5546875" style="49" bestFit="1" customWidth="1"/>
    <col min="9" max="9" width="36.77734375" style="131" customWidth="1"/>
    <col min="10" max="16384" width="9.21875" style="49"/>
  </cols>
  <sheetData>
    <row r="1" spans="1:9" ht="34.200000000000003" thickBot="1" x14ac:dyDescent="0.7">
      <c r="A1" s="201" t="s">
        <v>124</v>
      </c>
      <c r="B1" s="201"/>
      <c r="C1" s="201"/>
      <c r="D1" s="116"/>
    </row>
    <row r="2" spans="1:9" x14ac:dyDescent="0.3">
      <c r="A2" s="33" t="s">
        <v>17</v>
      </c>
      <c r="B2" s="218" t="str">
        <f>CONCATENATE(ExpID,"-",StnNum,"-",StnDay)</f>
        <v>KF2018-6-1</v>
      </c>
      <c r="C2" s="218"/>
      <c r="D2" s="75"/>
    </row>
    <row r="3" spans="1:9" x14ac:dyDescent="0.3">
      <c r="A3" s="34" t="s">
        <v>153</v>
      </c>
      <c r="B3" s="219"/>
      <c r="C3" s="219"/>
      <c r="D3" s="79"/>
    </row>
    <row r="4" spans="1:9" x14ac:dyDescent="0.3">
      <c r="A4" s="34" t="s">
        <v>4</v>
      </c>
      <c r="B4" s="192">
        <f>ObsDate</f>
        <v>43210</v>
      </c>
      <c r="C4" s="192"/>
      <c r="D4" s="79"/>
    </row>
    <row r="5" spans="1:9" x14ac:dyDescent="0.3">
      <c r="A5" s="35" t="s">
        <v>98</v>
      </c>
      <c r="B5" s="220"/>
      <c r="C5" s="220"/>
      <c r="D5" s="79"/>
    </row>
    <row r="6" spans="1:9" x14ac:dyDescent="0.3">
      <c r="A6" s="35" t="s">
        <v>125</v>
      </c>
      <c r="B6" s="221"/>
      <c r="C6" s="222"/>
      <c r="D6" s="79"/>
      <c r="E6" s="76"/>
      <c r="F6" s="76"/>
      <c r="G6" s="78"/>
      <c r="H6" s="77"/>
    </row>
    <row r="7" spans="1:9" ht="30" customHeight="1" thickBot="1" x14ac:dyDescent="0.35">
      <c r="A7" s="36" t="s">
        <v>16</v>
      </c>
      <c r="B7" s="215" t="s">
        <v>211</v>
      </c>
      <c r="C7" s="216"/>
      <c r="D7" s="217"/>
      <c r="F7" s="49" t="s">
        <v>217</v>
      </c>
      <c r="G7" s="49">
        <v>-18.7</v>
      </c>
    </row>
    <row r="8" spans="1:9" x14ac:dyDescent="0.3">
      <c r="F8" s="49" t="s">
        <v>218</v>
      </c>
      <c r="G8" s="49">
        <v>0.83599999999999997</v>
      </c>
    </row>
    <row r="9" spans="1:9" ht="15" thickBot="1" x14ac:dyDescent="0.35">
      <c r="A9" s="51" t="s">
        <v>113</v>
      </c>
    </row>
    <row r="10" spans="1:9" x14ac:dyDescent="0.3">
      <c r="A10" s="141" t="s">
        <v>171</v>
      </c>
      <c r="B10" s="142">
        <v>8</v>
      </c>
      <c r="F10" s="148" t="s">
        <v>122</v>
      </c>
      <c r="G10" s="149" t="s">
        <v>169</v>
      </c>
      <c r="H10" s="149" t="s">
        <v>170</v>
      </c>
      <c r="I10" s="150" t="s">
        <v>14</v>
      </c>
    </row>
    <row r="11" spans="1:9" x14ac:dyDescent="0.3">
      <c r="A11" s="143" t="s">
        <v>159</v>
      </c>
      <c r="B11" s="144">
        <v>46</v>
      </c>
      <c r="F11" s="151">
        <v>1</v>
      </c>
      <c r="G11" s="134"/>
      <c r="H11" s="43">
        <v>46.5</v>
      </c>
      <c r="I11" s="152" t="s">
        <v>219</v>
      </c>
    </row>
    <row r="12" spans="1:9" x14ac:dyDescent="0.3">
      <c r="A12" s="143" t="s">
        <v>172</v>
      </c>
      <c r="B12" s="144">
        <v>44</v>
      </c>
      <c r="D12" s="165"/>
      <c r="F12" s="151"/>
      <c r="G12" s="43"/>
      <c r="H12" s="135"/>
      <c r="I12" s="153"/>
    </row>
    <row r="13" spans="1:9" x14ac:dyDescent="0.3">
      <c r="A13" s="143" t="s">
        <v>157</v>
      </c>
      <c r="B13" s="144">
        <v>2</v>
      </c>
      <c r="D13" s="165"/>
      <c r="F13" s="151"/>
      <c r="G13" s="43"/>
      <c r="H13" s="43"/>
      <c r="I13" s="153"/>
    </row>
    <row r="14" spans="1:9" ht="15" thickBot="1" x14ac:dyDescent="0.35">
      <c r="A14" s="145" t="s">
        <v>173</v>
      </c>
      <c r="B14" s="146"/>
      <c r="D14" s="165"/>
      <c r="F14" s="151"/>
      <c r="G14" s="43"/>
      <c r="H14" s="43"/>
      <c r="I14" s="153"/>
    </row>
    <row r="15" spans="1:9" x14ac:dyDescent="0.3">
      <c r="D15" s="166"/>
      <c r="F15" s="151"/>
      <c r="G15" s="43"/>
      <c r="H15" s="43"/>
      <c r="I15" s="153"/>
    </row>
    <row r="16" spans="1:9" ht="15" thickBot="1" x14ac:dyDescent="0.35">
      <c r="A16" s="51" t="s">
        <v>116</v>
      </c>
      <c r="F16" s="151"/>
      <c r="G16" s="43"/>
      <c r="H16" s="43"/>
      <c r="I16" s="153"/>
    </row>
    <row r="17" spans="1:12" x14ac:dyDescent="0.3">
      <c r="A17" s="141" t="s">
        <v>174</v>
      </c>
      <c r="B17" s="142"/>
      <c r="F17" s="151"/>
      <c r="G17" s="43"/>
      <c r="H17" s="43"/>
      <c r="I17" s="153"/>
    </row>
    <row r="18" spans="1:12" ht="15" thickBot="1" x14ac:dyDescent="0.35">
      <c r="A18" s="20" t="s">
        <v>175</v>
      </c>
      <c r="B18" s="147"/>
      <c r="F18" s="151"/>
      <c r="G18" s="43"/>
      <c r="H18" s="43"/>
      <c r="I18" s="153"/>
    </row>
    <row r="19" spans="1:12" ht="15" thickBot="1" x14ac:dyDescent="0.35">
      <c r="B19" s="132"/>
      <c r="F19" s="154"/>
      <c r="G19" s="155"/>
      <c r="H19" s="155"/>
      <c r="I19" s="156"/>
    </row>
    <row r="21" spans="1:12" ht="15" thickBot="1" x14ac:dyDescent="0.35"/>
    <row r="22" spans="1:12" s="133" customFormat="1" ht="43.8" thickBot="1" x14ac:dyDescent="0.35">
      <c r="A22" s="158" t="s">
        <v>166</v>
      </c>
      <c r="B22" s="159" t="s">
        <v>167</v>
      </c>
      <c r="C22" s="159" t="s">
        <v>123</v>
      </c>
      <c r="D22" s="159" t="s">
        <v>212</v>
      </c>
      <c r="E22" s="159" t="s">
        <v>213</v>
      </c>
      <c r="F22" s="159" t="s">
        <v>214</v>
      </c>
      <c r="G22" s="159" t="s">
        <v>215</v>
      </c>
      <c r="H22" s="159" t="s">
        <v>216</v>
      </c>
      <c r="I22" s="160" t="s">
        <v>14</v>
      </c>
      <c r="J22" s="12" t="s">
        <v>118</v>
      </c>
      <c r="K22" s="12" t="s">
        <v>119</v>
      </c>
      <c r="L22" s="12" t="s">
        <v>120</v>
      </c>
    </row>
    <row r="23" spans="1:12" x14ac:dyDescent="0.3">
      <c r="A23" s="138">
        <v>0</v>
      </c>
      <c r="B23" s="138">
        <v>5</v>
      </c>
      <c r="C23" s="120"/>
      <c r="D23" s="120">
        <v>150.11000000000001</v>
      </c>
      <c r="E23" s="164">
        <v>12.34</v>
      </c>
      <c r="F23" s="138" t="s">
        <v>220</v>
      </c>
      <c r="G23" s="138">
        <f>(A23+B23)/2</f>
        <v>2.5</v>
      </c>
      <c r="H23" s="120">
        <f>0.836*D23/(D23-E23)</f>
        <v>0.91088016258982363</v>
      </c>
      <c r="I23" s="157"/>
      <c r="J23" s="49">
        <v>4.5</v>
      </c>
      <c r="K23" s="49">
        <v>8.1300000000000008</v>
      </c>
      <c r="L23" s="49">
        <v>15.3</v>
      </c>
    </row>
    <row r="24" spans="1:12" x14ac:dyDescent="0.3">
      <c r="A24" s="42">
        <v>5</v>
      </c>
      <c r="B24" s="42">
        <v>10</v>
      </c>
      <c r="C24" s="42"/>
      <c r="D24" s="42">
        <v>145.9</v>
      </c>
      <c r="E24" s="42">
        <v>12.37</v>
      </c>
      <c r="F24" s="42" t="s">
        <v>221</v>
      </c>
      <c r="G24" s="138">
        <f t="shared" ref="G24:G31" si="0">(A24+B24)/2</f>
        <v>7.5</v>
      </c>
      <c r="H24" s="120">
        <f t="shared" ref="H24:H30" si="1">0.836*D24/(D24-E24)</f>
        <v>0.91344566764023061</v>
      </c>
      <c r="I24" s="136"/>
      <c r="J24" s="49">
        <v>6.2</v>
      </c>
      <c r="K24" s="49">
        <v>10.97</v>
      </c>
      <c r="L24" s="49">
        <v>15.3</v>
      </c>
    </row>
    <row r="25" spans="1:12" x14ac:dyDescent="0.3">
      <c r="A25" s="42">
        <v>10</v>
      </c>
      <c r="B25" s="42">
        <v>15</v>
      </c>
      <c r="C25" s="120"/>
      <c r="D25" s="42">
        <v>149.31</v>
      </c>
      <c r="E25" s="42">
        <v>12.8</v>
      </c>
      <c r="F25" s="42" t="s">
        <v>222</v>
      </c>
      <c r="G25" s="138">
        <f t="shared" si="0"/>
        <v>12.5</v>
      </c>
      <c r="H25" s="120">
        <f t="shared" si="1"/>
        <v>0.91438839645447223</v>
      </c>
      <c r="I25" s="136"/>
      <c r="J25" s="49">
        <v>5.0999999999999996</v>
      </c>
      <c r="K25" s="49">
        <v>9.24</v>
      </c>
      <c r="L25" s="49">
        <v>15.3</v>
      </c>
    </row>
    <row r="26" spans="1:12" x14ac:dyDescent="0.3">
      <c r="A26" s="138">
        <v>15</v>
      </c>
      <c r="B26" s="138">
        <v>20</v>
      </c>
      <c r="C26" s="42"/>
      <c r="D26" s="42">
        <v>143.36000000000001</v>
      </c>
      <c r="E26" s="42">
        <v>12.26</v>
      </c>
      <c r="F26" s="138" t="s">
        <v>223</v>
      </c>
      <c r="G26" s="138">
        <f t="shared" si="0"/>
        <v>17.5</v>
      </c>
      <c r="H26" s="120">
        <f t="shared" si="1"/>
        <v>0.91417971014492738</v>
      </c>
      <c r="I26" s="136"/>
      <c r="J26" s="49">
        <v>5.8</v>
      </c>
      <c r="K26" s="49">
        <v>10.41</v>
      </c>
      <c r="L26" s="49">
        <v>15.2</v>
      </c>
    </row>
    <row r="27" spans="1:12" x14ac:dyDescent="0.3">
      <c r="A27" s="42">
        <v>20</v>
      </c>
      <c r="B27" s="42">
        <v>26</v>
      </c>
      <c r="C27" s="120"/>
      <c r="D27" s="42">
        <v>162.30000000000001</v>
      </c>
      <c r="E27" s="42">
        <v>13.83</v>
      </c>
      <c r="F27" s="42" t="s">
        <v>224</v>
      </c>
      <c r="G27" s="138">
        <f t="shared" si="0"/>
        <v>23</v>
      </c>
      <c r="H27" s="120">
        <f t="shared" si="1"/>
        <v>0.91387350979995974</v>
      </c>
      <c r="I27" s="136"/>
      <c r="J27" s="49">
        <v>5.7</v>
      </c>
      <c r="K27" s="49">
        <v>10.27</v>
      </c>
      <c r="L27" s="49">
        <v>15.2</v>
      </c>
    </row>
    <row r="28" spans="1:12" x14ac:dyDescent="0.3">
      <c r="A28" s="42">
        <v>26</v>
      </c>
      <c r="B28" s="42">
        <v>32</v>
      </c>
      <c r="C28" s="42"/>
      <c r="D28" s="42">
        <v>139.13</v>
      </c>
      <c r="E28" s="42">
        <v>11.78</v>
      </c>
      <c r="F28" s="42" t="s">
        <v>225</v>
      </c>
      <c r="G28" s="138">
        <f t="shared" si="0"/>
        <v>29</v>
      </c>
      <c r="H28" s="120">
        <f t="shared" si="1"/>
        <v>0.91333082057322335</v>
      </c>
      <c r="I28" s="136"/>
      <c r="J28" s="49">
        <v>5.5</v>
      </c>
      <c r="K28" s="49">
        <v>9.94</v>
      </c>
      <c r="L28" s="49">
        <v>15.2</v>
      </c>
    </row>
    <row r="29" spans="1:12" x14ac:dyDescent="0.3">
      <c r="A29" s="138">
        <v>32</v>
      </c>
      <c r="B29" s="138">
        <v>37</v>
      </c>
      <c r="C29" s="120"/>
      <c r="D29" s="42">
        <v>136.58000000000001</v>
      </c>
      <c r="E29" s="42">
        <v>11.21</v>
      </c>
      <c r="F29" s="138" t="s">
        <v>226</v>
      </c>
      <c r="G29" s="138">
        <f t="shared" si="0"/>
        <v>34.5</v>
      </c>
      <c r="H29" s="120">
        <f t="shared" si="1"/>
        <v>0.91075121639945755</v>
      </c>
      <c r="I29" s="136"/>
      <c r="J29" s="49">
        <v>4.4000000000000004</v>
      </c>
      <c r="K29" s="49">
        <v>8</v>
      </c>
      <c r="L29" s="49">
        <v>15.4</v>
      </c>
    </row>
    <row r="30" spans="1:12" x14ac:dyDescent="0.3">
      <c r="A30" s="42">
        <v>37</v>
      </c>
      <c r="B30" s="42">
        <v>42</v>
      </c>
      <c r="C30" s="120"/>
      <c r="D30" s="42">
        <v>139.30000000000001</v>
      </c>
      <c r="E30" s="42">
        <v>11.44</v>
      </c>
      <c r="F30" s="42" t="s">
        <v>227</v>
      </c>
      <c r="G30" s="138">
        <f t="shared" si="0"/>
        <v>39.5</v>
      </c>
      <c r="H30" s="120">
        <f t="shared" si="1"/>
        <v>0.91079931174722351</v>
      </c>
      <c r="I30" s="136"/>
      <c r="J30" s="49">
        <v>4.5999999999999996</v>
      </c>
      <c r="K30" s="49">
        <v>8.39</v>
      </c>
      <c r="L30" s="49">
        <v>15.3</v>
      </c>
    </row>
    <row r="31" spans="1:12" x14ac:dyDescent="0.3">
      <c r="A31" s="42">
        <v>42</v>
      </c>
      <c r="B31" s="42">
        <v>46.5</v>
      </c>
      <c r="C31" s="42"/>
      <c r="D31" s="42">
        <v>141.27000000000001</v>
      </c>
      <c r="E31" s="42">
        <v>11.75</v>
      </c>
      <c r="F31" s="42" t="s">
        <v>228</v>
      </c>
      <c r="G31" s="138">
        <f t="shared" si="0"/>
        <v>44.25</v>
      </c>
      <c r="H31" s="120">
        <f>0.836*D31/(D31-E31)</f>
        <v>0.9118415688696726</v>
      </c>
      <c r="I31" s="136"/>
      <c r="J31" s="49">
        <v>7</v>
      </c>
      <c r="K31" s="49">
        <v>12.35</v>
      </c>
      <c r="L31" s="49">
        <v>15.3</v>
      </c>
    </row>
    <row r="32" spans="1:12" x14ac:dyDescent="0.3">
      <c r="A32" s="138"/>
      <c r="B32" s="138"/>
      <c r="C32" s="120"/>
      <c r="D32" s="42"/>
      <c r="E32" s="42"/>
      <c r="F32" s="42"/>
      <c r="G32" s="138"/>
      <c r="H32" s="120"/>
      <c r="I32" s="136"/>
    </row>
    <row r="33" spans="1:9" x14ac:dyDescent="0.3">
      <c r="A33" s="42"/>
      <c r="B33" s="42"/>
      <c r="C33" s="42"/>
      <c r="D33" s="42"/>
      <c r="E33" s="42"/>
      <c r="F33" s="42"/>
      <c r="G33" s="42"/>
      <c r="H33" s="42"/>
      <c r="I33" s="136"/>
    </row>
    <row r="34" spans="1:9" x14ac:dyDescent="0.3">
      <c r="A34" s="42"/>
      <c r="B34" s="42"/>
      <c r="C34" s="42"/>
      <c r="D34" s="42"/>
      <c r="E34" s="42"/>
      <c r="F34" s="42"/>
      <c r="G34" s="42"/>
      <c r="H34" s="42"/>
      <c r="I34" s="136"/>
    </row>
    <row r="35" spans="1:9" x14ac:dyDescent="0.3">
      <c r="A35" s="42"/>
      <c r="B35" s="42"/>
      <c r="C35" s="42"/>
      <c r="D35" s="42"/>
      <c r="E35" s="42"/>
      <c r="F35" s="42"/>
      <c r="G35" s="42"/>
      <c r="H35" s="42"/>
      <c r="I35" s="136"/>
    </row>
    <row r="36" spans="1:9" x14ac:dyDescent="0.3">
      <c r="A36" s="42"/>
      <c r="B36" s="42"/>
      <c r="C36" s="42"/>
      <c r="D36" s="42"/>
      <c r="E36" s="42"/>
      <c r="F36" s="42"/>
      <c r="G36" s="42"/>
      <c r="H36" s="42"/>
      <c r="I36" s="136"/>
    </row>
    <row r="37" spans="1:9" x14ac:dyDescent="0.3">
      <c r="A37" s="42"/>
      <c r="B37" s="42"/>
      <c r="C37" s="42"/>
      <c r="D37" s="42"/>
      <c r="E37" s="42"/>
      <c r="F37" s="42"/>
      <c r="G37" s="42"/>
      <c r="H37" s="42"/>
      <c r="I37" s="136"/>
    </row>
    <row r="38" spans="1:9" x14ac:dyDescent="0.3">
      <c r="A38" s="42"/>
      <c r="B38" s="42"/>
      <c r="C38" s="42"/>
      <c r="D38" s="42"/>
      <c r="E38" s="42"/>
      <c r="F38" s="42"/>
      <c r="G38" s="42"/>
      <c r="H38" s="42"/>
      <c r="I38" s="136"/>
    </row>
    <row r="39" spans="1:9" x14ac:dyDescent="0.3">
      <c r="A39" s="42"/>
      <c r="B39" s="42"/>
      <c r="C39" s="42"/>
      <c r="D39" s="42"/>
      <c r="E39" s="42"/>
      <c r="F39" s="42"/>
      <c r="G39" s="42"/>
      <c r="H39" s="42"/>
      <c r="I39" s="136"/>
    </row>
    <row r="40" spans="1:9" x14ac:dyDescent="0.3">
      <c r="A40" s="42"/>
      <c r="B40" s="42"/>
      <c r="C40" s="42"/>
      <c r="D40" s="42"/>
      <c r="E40" s="42"/>
      <c r="F40" s="42"/>
      <c r="G40" s="42"/>
      <c r="H40" s="42"/>
      <c r="I40" s="136"/>
    </row>
    <row r="41" spans="1:9" x14ac:dyDescent="0.3">
      <c r="A41" s="42"/>
      <c r="B41" s="42"/>
      <c r="C41" s="42"/>
      <c r="D41" s="42"/>
      <c r="E41" s="42"/>
      <c r="F41" s="42"/>
      <c r="G41" s="42"/>
      <c r="H41" s="42"/>
      <c r="I41" s="136"/>
    </row>
  </sheetData>
  <mergeCells count="7">
    <mergeCell ref="A1:C1"/>
    <mergeCell ref="B7:D7"/>
    <mergeCell ref="B2:C2"/>
    <mergeCell ref="B3:C3"/>
    <mergeCell ref="B4:C4"/>
    <mergeCell ref="B5:C5"/>
    <mergeCell ref="B6:C6"/>
  </mergeCells>
  <phoneticPr fontId="15" type="noConversion"/>
  <pageMargins left="0.7" right="0.7" top="0.75" bottom="0.75" header="0.3" footer="0.3"/>
  <pageSetup paperSize="9" scale="66"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I47"/>
  <sheetViews>
    <sheetView zoomScale="80" zoomScaleNormal="80" workbookViewId="0">
      <selection activeCell="B8" sqref="B8:D8"/>
    </sheetView>
  </sheetViews>
  <sheetFormatPr defaultColWidth="9.21875" defaultRowHeight="14.4" x14ac:dyDescent="0.3"/>
  <cols>
    <col min="1" max="1" width="23.77734375" style="49" bestFit="1" customWidth="1"/>
    <col min="2" max="2" width="16.77734375" style="49" bestFit="1" customWidth="1"/>
    <col min="3" max="3" width="20.44140625" style="49" bestFit="1" customWidth="1"/>
    <col min="4" max="4" width="27" style="49" bestFit="1" customWidth="1"/>
    <col min="5" max="5" width="18.77734375" style="49" customWidth="1"/>
    <col min="6" max="6" width="20.21875" style="49" bestFit="1" customWidth="1"/>
    <col min="7" max="7" width="18.77734375" style="49" customWidth="1"/>
    <col min="8" max="8" width="36.77734375" style="49" customWidth="1"/>
    <col min="9" max="16384" width="9.21875" style="49"/>
  </cols>
  <sheetData>
    <row r="1" spans="1:9" ht="34.200000000000003" thickBot="1" x14ac:dyDescent="0.7">
      <c r="A1" s="201" t="s">
        <v>190</v>
      </c>
      <c r="B1" s="201"/>
      <c r="C1" s="201"/>
      <c r="D1" s="201"/>
    </row>
    <row r="2" spans="1:9" x14ac:dyDescent="0.3">
      <c r="A2" s="33" t="s">
        <v>17</v>
      </c>
      <c r="B2" s="191" t="str">
        <f>CONCATENATE(ExpID,"-",StnNum,"-",StnDay)</f>
        <v>KF2018-6-1</v>
      </c>
      <c r="C2" s="191"/>
      <c r="D2" s="75"/>
    </row>
    <row r="3" spans="1:9" x14ac:dyDescent="0.3">
      <c r="A3" s="34" t="s">
        <v>153</v>
      </c>
      <c r="B3" s="193"/>
      <c r="C3" s="193"/>
      <c r="D3" s="79"/>
    </row>
    <row r="4" spans="1:9" x14ac:dyDescent="0.3">
      <c r="A4" s="34" t="s">
        <v>4</v>
      </c>
      <c r="B4" s="192">
        <f>ObsDate</f>
        <v>43210</v>
      </c>
      <c r="C4" s="192"/>
      <c r="D4" s="79"/>
    </row>
    <row r="5" spans="1:9" x14ac:dyDescent="0.3">
      <c r="A5" s="35" t="s">
        <v>98</v>
      </c>
      <c r="B5" s="194"/>
      <c r="C5" s="194"/>
      <c r="D5" s="79"/>
    </row>
    <row r="6" spans="1:9" x14ac:dyDescent="0.3">
      <c r="A6" s="35" t="s">
        <v>125</v>
      </c>
      <c r="B6" s="196"/>
      <c r="C6" s="197"/>
      <c r="D6" s="79"/>
    </row>
    <row r="7" spans="1:9" x14ac:dyDescent="0.3">
      <c r="A7" s="202" t="s">
        <v>186</v>
      </c>
      <c r="B7" s="203"/>
      <c r="C7" s="41" t="s">
        <v>184</v>
      </c>
      <c r="D7" s="79"/>
      <c r="E7" s="90"/>
      <c r="F7" s="76"/>
      <c r="G7" s="76"/>
      <c r="H7" s="78"/>
      <c r="I7" s="77"/>
    </row>
    <row r="8" spans="1:9" ht="30" customHeight="1" thickBot="1" x14ac:dyDescent="0.35">
      <c r="A8" s="36" t="s">
        <v>16</v>
      </c>
      <c r="B8" s="198" t="s">
        <v>201</v>
      </c>
      <c r="C8" s="199"/>
      <c r="D8" s="200"/>
    </row>
    <row r="10" spans="1:9" ht="15" thickBot="1" x14ac:dyDescent="0.35">
      <c r="A10" s="51" t="s">
        <v>75</v>
      </c>
      <c r="D10" s="51" t="s">
        <v>113</v>
      </c>
    </row>
    <row r="11" spans="1:9" x14ac:dyDescent="0.3">
      <c r="A11" s="17" t="s">
        <v>131</v>
      </c>
      <c r="B11" s="95"/>
      <c r="D11" s="17" t="s">
        <v>160</v>
      </c>
      <c r="E11" s="98"/>
    </row>
    <row r="12" spans="1:9" x14ac:dyDescent="0.3">
      <c r="A12" s="18" t="s">
        <v>132</v>
      </c>
      <c r="B12" s="96"/>
      <c r="D12" s="18" t="s">
        <v>161</v>
      </c>
      <c r="E12" s="99"/>
    </row>
    <row r="13" spans="1:9" x14ac:dyDescent="0.3">
      <c r="A13" s="18" t="s">
        <v>133</v>
      </c>
      <c r="B13" s="96"/>
      <c r="D13" s="18" t="s">
        <v>162</v>
      </c>
      <c r="E13" s="99">
        <v>43.5</v>
      </c>
    </row>
    <row r="14" spans="1:9" ht="15" thickBot="1" x14ac:dyDescent="0.35">
      <c r="A14" s="20" t="s">
        <v>134</v>
      </c>
      <c r="B14" s="97"/>
      <c r="D14" s="18" t="s">
        <v>157</v>
      </c>
      <c r="E14" s="99"/>
    </row>
    <row r="15" spans="1:9" x14ac:dyDescent="0.3">
      <c r="D15" s="18" t="s">
        <v>159</v>
      </c>
      <c r="E15" s="99">
        <v>45</v>
      </c>
    </row>
    <row r="16" spans="1:9" ht="15" thickBot="1" x14ac:dyDescent="0.35">
      <c r="D16" s="20" t="s">
        <v>171</v>
      </c>
      <c r="E16" s="109" t="s">
        <v>199</v>
      </c>
    </row>
    <row r="17" spans="1:6" ht="15" thickBot="1" x14ac:dyDescent="0.35"/>
    <row r="18" spans="1:6" x14ac:dyDescent="0.3">
      <c r="A18" s="17" t="s">
        <v>187</v>
      </c>
      <c r="B18" s="101"/>
      <c r="C18" s="91"/>
      <c r="D18" s="92"/>
    </row>
    <row r="19" spans="1:6" x14ac:dyDescent="0.3">
      <c r="A19" s="18" t="s">
        <v>136</v>
      </c>
      <c r="B19" s="102">
        <v>1</v>
      </c>
      <c r="C19" s="60"/>
      <c r="D19" s="93"/>
    </row>
    <row r="20" spans="1:6" ht="15" thickBot="1" x14ac:dyDescent="0.35">
      <c r="A20" s="20" t="s">
        <v>135</v>
      </c>
      <c r="B20" s="94"/>
      <c r="C20" s="94"/>
      <c r="D20" s="37">
        <f>SUM(G23:G52)</f>
        <v>0</v>
      </c>
    </row>
    <row r="21" spans="1:6" ht="15" thickBot="1" x14ac:dyDescent="0.35"/>
    <row r="22" spans="1:6" ht="15" thickBot="1" x14ac:dyDescent="0.35">
      <c r="A22" s="38" t="s">
        <v>122</v>
      </c>
      <c r="B22" s="40" t="s">
        <v>163</v>
      </c>
      <c r="C22" s="40" t="s">
        <v>164</v>
      </c>
      <c r="D22" s="40" t="s">
        <v>165</v>
      </c>
      <c r="E22" s="212" t="s">
        <v>14</v>
      </c>
      <c r="F22" s="213"/>
    </row>
    <row r="23" spans="1:6" x14ac:dyDescent="0.3">
      <c r="A23" s="104"/>
      <c r="B23" s="105"/>
      <c r="C23" s="105"/>
      <c r="D23" s="105"/>
      <c r="E23" s="214"/>
      <c r="F23" s="214"/>
    </row>
    <row r="24" spans="1:6" x14ac:dyDescent="0.3">
      <c r="A24" s="106"/>
      <c r="B24" s="107"/>
      <c r="C24" s="107"/>
      <c r="D24" s="107"/>
      <c r="E24" s="211"/>
      <c r="F24" s="211"/>
    </row>
    <row r="25" spans="1:6" x14ac:dyDescent="0.3">
      <c r="A25" s="106"/>
      <c r="B25" s="107"/>
      <c r="C25" s="107"/>
      <c r="D25" s="107"/>
      <c r="E25" s="211"/>
      <c r="F25" s="211"/>
    </row>
    <row r="26" spans="1:6" x14ac:dyDescent="0.3">
      <c r="A26" s="106"/>
      <c r="B26" s="107"/>
      <c r="C26" s="107"/>
      <c r="D26" s="107"/>
      <c r="E26" s="211"/>
      <c r="F26" s="211"/>
    </row>
    <row r="27" spans="1:6" x14ac:dyDescent="0.3">
      <c r="A27" s="106"/>
      <c r="B27" s="107"/>
      <c r="C27" s="107"/>
      <c r="D27" s="107"/>
      <c r="E27" s="211"/>
      <c r="F27" s="211"/>
    </row>
    <row r="28" spans="1:6" x14ac:dyDescent="0.3">
      <c r="A28" s="106"/>
      <c r="B28" s="107"/>
      <c r="C28" s="107"/>
      <c r="D28" s="107"/>
      <c r="E28" s="211"/>
      <c r="F28" s="211"/>
    </row>
    <row r="29" spans="1:6" x14ac:dyDescent="0.3">
      <c r="A29" s="106"/>
      <c r="B29" s="107"/>
      <c r="C29" s="107"/>
      <c r="D29" s="107"/>
      <c r="E29" s="211"/>
      <c r="F29" s="211"/>
    </row>
    <row r="30" spans="1:6" x14ac:dyDescent="0.3">
      <c r="A30" s="106"/>
      <c r="B30" s="107"/>
      <c r="C30" s="107"/>
      <c r="D30" s="107"/>
      <c r="E30" s="211"/>
      <c r="F30" s="211"/>
    </row>
    <row r="31" spans="1:6" x14ac:dyDescent="0.3">
      <c r="A31" s="106"/>
      <c r="B31" s="107"/>
      <c r="C31" s="107"/>
      <c r="D31" s="107"/>
      <c r="E31" s="211"/>
      <c r="F31" s="211"/>
    </row>
    <row r="32" spans="1:6" x14ac:dyDescent="0.3">
      <c r="A32" s="106"/>
      <c r="B32" s="107"/>
      <c r="C32" s="107"/>
      <c r="D32" s="107"/>
      <c r="E32" s="211"/>
      <c r="F32" s="211"/>
    </row>
    <row r="33" spans="1:6" x14ac:dyDescent="0.3">
      <c r="A33" s="106"/>
      <c r="B33" s="107"/>
      <c r="C33" s="107"/>
      <c r="D33" s="107"/>
      <c r="E33" s="211"/>
      <c r="F33" s="211"/>
    </row>
    <row r="34" spans="1:6" x14ac:dyDescent="0.3">
      <c r="A34" s="106"/>
      <c r="B34" s="107"/>
      <c r="C34" s="107"/>
      <c r="D34" s="107"/>
      <c r="E34" s="211"/>
      <c r="F34" s="211"/>
    </row>
    <row r="35" spans="1:6" x14ac:dyDescent="0.3">
      <c r="A35" s="106"/>
      <c r="B35" s="107"/>
      <c r="C35" s="107"/>
      <c r="D35" s="107"/>
      <c r="E35" s="211"/>
      <c r="F35" s="211"/>
    </row>
    <row r="36" spans="1:6" x14ac:dyDescent="0.3">
      <c r="A36" s="106"/>
      <c r="B36" s="107"/>
      <c r="C36" s="107"/>
      <c r="D36" s="107"/>
      <c r="E36" s="211"/>
      <c r="F36" s="211"/>
    </row>
    <row r="37" spans="1:6" x14ac:dyDescent="0.3">
      <c r="A37" s="106"/>
      <c r="B37" s="107"/>
      <c r="C37" s="107"/>
      <c r="D37" s="107"/>
      <c r="E37" s="211"/>
      <c r="F37" s="211"/>
    </row>
    <row r="38" spans="1:6" x14ac:dyDescent="0.3">
      <c r="A38" s="106"/>
      <c r="B38" s="107"/>
      <c r="C38" s="107"/>
      <c r="D38" s="107"/>
      <c r="E38" s="211"/>
      <c r="F38" s="211"/>
    </row>
    <row r="39" spans="1:6" x14ac:dyDescent="0.3">
      <c r="A39" s="106"/>
      <c r="B39" s="107"/>
      <c r="C39" s="107"/>
      <c r="D39" s="107"/>
      <c r="E39" s="211"/>
      <c r="F39" s="211"/>
    </row>
    <row r="40" spans="1:6" x14ac:dyDescent="0.3">
      <c r="A40" s="106"/>
      <c r="B40" s="107"/>
      <c r="C40" s="107"/>
      <c r="D40" s="107"/>
      <c r="E40" s="211"/>
      <c r="F40" s="211"/>
    </row>
    <row r="41" spans="1:6" x14ac:dyDescent="0.3">
      <c r="A41" s="106"/>
      <c r="B41" s="107"/>
      <c r="C41" s="107"/>
      <c r="D41" s="107"/>
      <c r="E41" s="211"/>
      <c r="F41" s="211"/>
    </row>
    <row r="42" spans="1:6" x14ac:dyDescent="0.3">
      <c r="A42" s="106"/>
      <c r="B42" s="107"/>
      <c r="C42" s="107"/>
      <c r="D42" s="107"/>
      <c r="E42" s="211"/>
      <c r="F42" s="211"/>
    </row>
    <row r="43" spans="1:6" x14ac:dyDescent="0.3">
      <c r="A43" s="106"/>
      <c r="B43" s="107"/>
      <c r="C43" s="107"/>
      <c r="D43" s="107"/>
      <c r="E43" s="211"/>
      <c r="F43" s="211"/>
    </row>
    <row r="44" spans="1:6" x14ac:dyDescent="0.3">
      <c r="A44" s="106"/>
      <c r="B44" s="107"/>
      <c r="C44" s="107"/>
      <c r="D44" s="107"/>
      <c r="E44" s="211"/>
      <c r="F44" s="211"/>
    </row>
    <row r="45" spans="1:6" x14ac:dyDescent="0.3">
      <c r="A45" s="106"/>
      <c r="B45" s="107"/>
      <c r="C45" s="107"/>
      <c r="D45" s="107"/>
      <c r="E45" s="211"/>
      <c r="F45" s="211"/>
    </row>
    <row r="46" spans="1:6" x14ac:dyDescent="0.3">
      <c r="A46" s="106"/>
      <c r="B46" s="107"/>
      <c r="C46" s="107"/>
      <c r="D46" s="107"/>
      <c r="E46" s="211"/>
      <c r="F46" s="211"/>
    </row>
    <row r="47" spans="1:6" x14ac:dyDescent="0.3">
      <c r="A47" s="106"/>
      <c r="B47" s="107"/>
      <c r="C47" s="107"/>
      <c r="D47" s="107"/>
      <c r="E47" s="211"/>
      <c r="F47" s="211"/>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800-000000000000}">
      <formula1>Yes_No</formula1>
    </dataValidation>
  </dataValidations>
  <pageMargins left="0.7" right="0.7" top="0.75" bottom="0.75" header="0.3" footer="0.3"/>
  <pageSetup paperSize="9" scale="75" fitToHeight="0"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L43"/>
  <sheetViews>
    <sheetView zoomScale="80" zoomScaleNormal="80" workbookViewId="0">
      <selection activeCell="B5" sqref="B5"/>
    </sheetView>
  </sheetViews>
  <sheetFormatPr defaultColWidth="9.21875" defaultRowHeight="14.4" x14ac:dyDescent="0.3"/>
  <cols>
    <col min="1" max="4" width="21.77734375" style="49" customWidth="1"/>
    <col min="5" max="5" width="9.21875" style="49"/>
    <col min="6" max="6" width="10" style="49" bestFit="1" customWidth="1"/>
    <col min="7" max="7" width="9.21875" style="49"/>
    <col min="8" max="8" width="9.21875" style="117"/>
    <col min="9" max="9" width="16" style="49" bestFit="1" customWidth="1"/>
    <col min="10" max="10" width="15.21875" style="49" bestFit="1" customWidth="1"/>
    <col min="11" max="11" width="12.44140625" style="49" bestFit="1" customWidth="1"/>
    <col min="12" max="12" width="7.5546875" style="49" bestFit="1" customWidth="1"/>
    <col min="13" max="16384" width="9.21875" style="49"/>
  </cols>
  <sheetData>
    <row r="1" spans="1:12" ht="31.8" thickBot="1" x14ac:dyDescent="0.65">
      <c r="A1" s="223" t="s">
        <v>138</v>
      </c>
      <c r="B1" s="223"/>
      <c r="C1" s="116"/>
      <c r="D1" s="116"/>
    </row>
    <row r="2" spans="1:12" x14ac:dyDescent="0.3">
      <c r="A2" s="33" t="s">
        <v>17</v>
      </c>
      <c r="B2" s="125" t="str">
        <f>CONCATENATE(ExpID,"-",StnNum,"-",StnDay)</f>
        <v>KF2018-6-1</v>
      </c>
      <c r="C2" s="126"/>
      <c r="D2" s="75"/>
    </row>
    <row r="3" spans="1:12" x14ac:dyDescent="0.3">
      <c r="A3" s="34" t="s">
        <v>153</v>
      </c>
      <c r="B3" s="108"/>
      <c r="C3" s="77"/>
      <c r="D3" s="79"/>
    </row>
    <row r="4" spans="1:12" x14ac:dyDescent="0.3">
      <c r="A4" s="34" t="s">
        <v>4</v>
      </c>
      <c r="B4" s="5">
        <f>ObsDate</f>
        <v>43210</v>
      </c>
      <c r="C4" s="77"/>
      <c r="D4" s="79"/>
    </row>
    <row r="5" spans="1:12" x14ac:dyDescent="0.3">
      <c r="A5" s="35" t="s">
        <v>98</v>
      </c>
      <c r="B5" s="8"/>
      <c r="C5" s="77"/>
      <c r="D5" s="79"/>
    </row>
    <row r="6" spans="1:12" x14ac:dyDescent="0.3">
      <c r="A6" s="35" t="s">
        <v>125</v>
      </c>
      <c r="B6" s="8"/>
      <c r="C6" s="77"/>
      <c r="D6" s="79"/>
      <c r="E6" s="76"/>
      <c r="F6" s="76"/>
      <c r="G6" s="78"/>
      <c r="H6" s="118"/>
    </row>
    <row r="7" spans="1:12" ht="30" customHeight="1" x14ac:dyDescent="0.3">
      <c r="A7" s="127" t="s">
        <v>139</v>
      </c>
      <c r="B7" s="224"/>
      <c r="C7" s="225"/>
      <c r="D7" s="226"/>
      <c r="E7" s="76"/>
      <c r="F7" s="76"/>
      <c r="G7" s="78"/>
      <c r="H7" s="118"/>
    </row>
    <row r="8" spans="1:12" ht="30" customHeight="1" x14ac:dyDescent="0.3">
      <c r="A8" s="128" t="s">
        <v>16</v>
      </c>
      <c r="B8" s="227"/>
      <c r="C8" s="228"/>
      <c r="D8" s="229"/>
    </row>
    <row r="9" spans="1:12" ht="29.25" customHeight="1" x14ac:dyDescent="0.3">
      <c r="A9" s="128" t="s">
        <v>140</v>
      </c>
      <c r="B9" s="230"/>
      <c r="C9" s="231"/>
      <c r="D9" s="232"/>
    </row>
    <row r="10" spans="1:12" ht="30" customHeight="1" thickBot="1" x14ac:dyDescent="0.35">
      <c r="A10" s="36" t="s">
        <v>188</v>
      </c>
      <c r="B10" s="215"/>
      <c r="C10" s="216"/>
      <c r="D10" s="217"/>
    </row>
    <row r="11" spans="1:12" ht="15" thickBot="1" x14ac:dyDescent="0.35"/>
    <row r="12" spans="1:12" ht="15" thickBot="1" x14ac:dyDescent="0.35">
      <c r="A12" s="38" t="s">
        <v>141</v>
      </c>
      <c r="B12" s="40" t="s">
        <v>142</v>
      </c>
      <c r="C12" s="40" t="s">
        <v>143</v>
      </c>
      <c r="D12" s="40" t="s">
        <v>144</v>
      </c>
      <c r="E12" s="40" t="s">
        <v>145</v>
      </c>
      <c r="F12" s="122" t="s">
        <v>146</v>
      </c>
      <c r="G12" s="123"/>
      <c r="H12" s="124" t="s">
        <v>98</v>
      </c>
      <c r="I12" s="40" t="s">
        <v>147</v>
      </c>
      <c r="J12" s="40" t="s">
        <v>148</v>
      </c>
      <c r="K12" s="40" t="s">
        <v>149</v>
      </c>
      <c r="L12" s="39" t="s">
        <v>150</v>
      </c>
    </row>
    <row r="13" spans="1:12" x14ac:dyDescent="0.3">
      <c r="A13" s="120"/>
      <c r="B13" s="120"/>
      <c r="C13" s="120"/>
      <c r="D13" s="120"/>
      <c r="E13" s="120"/>
      <c r="F13" s="120"/>
      <c r="G13" s="120"/>
      <c r="H13" s="121"/>
      <c r="I13" s="120"/>
      <c r="J13" s="120"/>
      <c r="K13" s="120"/>
      <c r="L13" s="120"/>
    </row>
    <row r="14" spans="1:12" x14ac:dyDescent="0.3">
      <c r="A14" s="42"/>
      <c r="B14" s="42"/>
      <c r="C14" s="42"/>
      <c r="D14" s="42"/>
      <c r="E14" s="42"/>
      <c r="F14" s="42"/>
      <c r="G14" s="42"/>
      <c r="H14" s="119"/>
      <c r="I14" s="42"/>
      <c r="J14" s="42"/>
      <c r="K14" s="42"/>
      <c r="L14" s="42"/>
    </row>
    <row r="15" spans="1:12" x14ac:dyDescent="0.3">
      <c r="A15" s="42"/>
      <c r="B15" s="42"/>
      <c r="C15" s="42"/>
      <c r="D15" s="42"/>
      <c r="E15" s="42"/>
      <c r="F15" s="42"/>
      <c r="G15" s="42"/>
      <c r="H15" s="119"/>
      <c r="I15" s="42"/>
      <c r="J15" s="42"/>
      <c r="K15" s="42"/>
      <c r="L15" s="42"/>
    </row>
    <row r="16" spans="1:12" x14ac:dyDescent="0.3">
      <c r="A16" s="42"/>
      <c r="B16" s="42"/>
      <c r="C16" s="42"/>
      <c r="D16" s="42"/>
      <c r="E16" s="42"/>
      <c r="F16" s="42"/>
      <c r="G16" s="42"/>
      <c r="H16" s="119"/>
      <c r="I16" s="42"/>
      <c r="J16" s="42"/>
      <c r="K16" s="42"/>
      <c r="L16" s="42"/>
    </row>
    <row r="17" spans="1:12" x14ac:dyDescent="0.3">
      <c r="A17" s="42"/>
      <c r="B17" s="42"/>
      <c r="C17" s="42"/>
      <c r="D17" s="42"/>
      <c r="E17" s="42"/>
      <c r="F17" s="42"/>
      <c r="G17" s="42"/>
      <c r="H17" s="119"/>
      <c r="I17" s="42"/>
      <c r="J17" s="42"/>
      <c r="K17" s="42"/>
      <c r="L17" s="42"/>
    </row>
    <row r="18" spans="1:12" x14ac:dyDescent="0.3">
      <c r="A18" s="42"/>
      <c r="B18" s="42"/>
      <c r="C18" s="42"/>
      <c r="D18" s="42"/>
      <c r="E18" s="42"/>
      <c r="F18" s="42"/>
      <c r="G18" s="42"/>
      <c r="H18" s="119"/>
      <c r="I18" s="42"/>
      <c r="J18" s="42"/>
      <c r="K18" s="42"/>
      <c r="L18" s="42"/>
    </row>
    <row r="19" spans="1:12" x14ac:dyDescent="0.3">
      <c r="A19" s="42"/>
      <c r="B19" s="42"/>
      <c r="C19" s="42"/>
      <c r="D19" s="42"/>
      <c r="E19" s="42"/>
      <c r="F19" s="42"/>
      <c r="G19" s="42"/>
      <c r="H19" s="119"/>
      <c r="I19" s="42"/>
      <c r="J19" s="42"/>
      <c r="K19" s="42"/>
      <c r="L19" s="42"/>
    </row>
    <row r="20" spans="1:12" x14ac:dyDescent="0.3">
      <c r="A20" s="42"/>
      <c r="B20" s="42"/>
      <c r="C20" s="42"/>
      <c r="D20" s="42"/>
      <c r="E20" s="42"/>
      <c r="F20" s="42"/>
      <c r="G20" s="42"/>
      <c r="H20" s="119"/>
      <c r="I20" s="42"/>
      <c r="J20" s="42"/>
      <c r="K20" s="42"/>
      <c r="L20" s="42"/>
    </row>
    <row r="21" spans="1:12" x14ac:dyDescent="0.3">
      <c r="A21" s="42"/>
      <c r="B21" s="42"/>
      <c r="C21" s="42"/>
      <c r="D21" s="42"/>
      <c r="E21" s="42"/>
      <c r="F21" s="42"/>
      <c r="G21" s="42"/>
      <c r="H21" s="119"/>
      <c r="I21" s="42"/>
      <c r="J21" s="42"/>
      <c r="K21" s="42"/>
      <c r="L21" s="42"/>
    </row>
    <row r="22" spans="1:12" x14ac:dyDescent="0.3">
      <c r="A22" s="42"/>
      <c r="B22" s="42"/>
      <c r="C22" s="42"/>
      <c r="D22" s="42"/>
      <c r="E22" s="42"/>
      <c r="F22" s="42"/>
      <c r="G22" s="42"/>
      <c r="H22" s="119"/>
      <c r="I22" s="42"/>
      <c r="J22" s="42"/>
      <c r="K22" s="42"/>
      <c r="L22" s="42"/>
    </row>
    <row r="23" spans="1:12" x14ac:dyDescent="0.3">
      <c r="A23" s="42"/>
      <c r="B23" s="42"/>
      <c r="C23" s="42"/>
      <c r="D23" s="42"/>
      <c r="E23" s="42"/>
      <c r="F23" s="42"/>
      <c r="G23" s="42"/>
      <c r="H23" s="119"/>
      <c r="I23" s="42"/>
      <c r="J23" s="42"/>
      <c r="K23" s="42"/>
      <c r="L23" s="42"/>
    </row>
    <row r="24" spans="1:12" x14ac:dyDescent="0.3">
      <c r="A24" s="42"/>
      <c r="B24" s="42"/>
      <c r="C24" s="42"/>
      <c r="D24" s="42"/>
      <c r="E24" s="42"/>
      <c r="F24" s="42"/>
      <c r="G24" s="42"/>
      <c r="H24" s="119"/>
      <c r="I24" s="42"/>
      <c r="J24" s="42"/>
      <c r="K24" s="42"/>
      <c r="L24" s="42"/>
    </row>
    <row r="25" spans="1:12" x14ac:dyDescent="0.3">
      <c r="A25" s="42"/>
      <c r="B25" s="42"/>
      <c r="C25" s="42"/>
      <c r="D25" s="42"/>
      <c r="E25" s="42"/>
      <c r="F25" s="42"/>
      <c r="G25" s="42"/>
      <c r="H25" s="119"/>
      <c r="I25" s="42"/>
      <c r="J25" s="42"/>
      <c r="K25" s="42"/>
      <c r="L25" s="42"/>
    </row>
    <row r="26" spans="1:12" x14ac:dyDescent="0.3">
      <c r="A26" s="42"/>
      <c r="B26" s="42"/>
      <c r="C26" s="42"/>
      <c r="D26" s="42"/>
      <c r="E26" s="42"/>
      <c r="F26" s="42"/>
      <c r="G26" s="42"/>
      <c r="H26" s="119"/>
      <c r="I26" s="42"/>
      <c r="J26" s="42"/>
      <c r="K26" s="42"/>
      <c r="L26" s="42"/>
    </row>
    <row r="27" spans="1:12" x14ac:dyDescent="0.3">
      <c r="A27" s="42"/>
      <c r="B27" s="42"/>
      <c r="C27" s="42"/>
      <c r="D27" s="42"/>
      <c r="E27" s="42"/>
      <c r="F27" s="42"/>
      <c r="G27" s="42"/>
      <c r="H27" s="119"/>
      <c r="I27" s="42"/>
      <c r="J27" s="42"/>
      <c r="K27" s="42"/>
      <c r="L27" s="42"/>
    </row>
    <row r="28" spans="1:12" x14ac:dyDescent="0.3">
      <c r="A28" s="42"/>
      <c r="B28" s="42"/>
      <c r="C28" s="42"/>
      <c r="D28" s="42"/>
      <c r="E28" s="42"/>
      <c r="F28" s="42"/>
      <c r="G28" s="42"/>
      <c r="H28" s="119"/>
      <c r="I28" s="42"/>
      <c r="J28" s="42"/>
      <c r="K28" s="42"/>
      <c r="L28" s="42"/>
    </row>
    <row r="29" spans="1:12" x14ac:dyDescent="0.3">
      <c r="A29" s="42"/>
      <c r="B29" s="42"/>
      <c r="C29" s="42"/>
      <c r="D29" s="42"/>
      <c r="E29" s="42"/>
      <c r="F29" s="42"/>
      <c r="G29" s="42"/>
      <c r="H29" s="119"/>
      <c r="I29" s="42"/>
      <c r="J29" s="42"/>
      <c r="K29" s="42"/>
      <c r="L29" s="42"/>
    </row>
    <row r="30" spans="1:12" x14ac:dyDescent="0.3">
      <c r="A30" s="42"/>
      <c r="B30" s="42"/>
      <c r="C30" s="42"/>
      <c r="D30" s="42"/>
      <c r="E30" s="42"/>
      <c r="F30" s="42"/>
      <c r="G30" s="42"/>
      <c r="H30" s="119"/>
      <c r="I30" s="42"/>
      <c r="J30" s="42"/>
      <c r="K30" s="42"/>
      <c r="L30" s="42"/>
    </row>
    <row r="31" spans="1:12" x14ac:dyDescent="0.3">
      <c r="A31" s="42"/>
      <c r="B31" s="42"/>
      <c r="C31" s="42"/>
      <c r="D31" s="42"/>
      <c r="E31" s="42"/>
      <c r="F31" s="42"/>
      <c r="G31" s="42"/>
      <c r="H31" s="119"/>
      <c r="I31" s="42"/>
      <c r="J31" s="42"/>
      <c r="K31" s="42"/>
      <c r="L31" s="42"/>
    </row>
    <row r="32" spans="1:12" x14ac:dyDescent="0.3">
      <c r="A32" s="42"/>
      <c r="B32" s="42"/>
      <c r="C32" s="42"/>
      <c r="D32" s="42"/>
      <c r="E32" s="42"/>
      <c r="F32" s="42"/>
      <c r="G32" s="42"/>
      <c r="H32" s="119"/>
      <c r="I32" s="42"/>
      <c r="J32" s="42"/>
      <c r="K32" s="42"/>
      <c r="L32" s="42"/>
    </row>
    <row r="33" spans="1:12" x14ac:dyDescent="0.3">
      <c r="A33" s="42"/>
      <c r="B33" s="42"/>
      <c r="C33" s="42"/>
      <c r="D33" s="42"/>
      <c r="E33" s="42"/>
      <c r="F33" s="42"/>
      <c r="G33" s="42"/>
      <c r="H33" s="119"/>
      <c r="I33" s="42"/>
      <c r="J33" s="42"/>
      <c r="K33" s="42"/>
      <c r="L33" s="42"/>
    </row>
    <row r="34" spans="1:12" x14ac:dyDescent="0.3">
      <c r="A34" s="42"/>
      <c r="B34" s="42"/>
      <c r="C34" s="42"/>
      <c r="D34" s="42"/>
      <c r="E34" s="42"/>
      <c r="F34" s="42"/>
      <c r="G34" s="42"/>
      <c r="H34" s="119"/>
      <c r="I34" s="42"/>
      <c r="J34" s="42"/>
      <c r="K34" s="42"/>
      <c r="L34" s="42"/>
    </row>
    <row r="35" spans="1:12" x14ac:dyDescent="0.3">
      <c r="A35" s="42"/>
      <c r="B35" s="42"/>
      <c r="C35" s="42"/>
      <c r="D35" s="42"/>
      <c r="E35" s="42"/>
      <c r="F35" s="42"/>
      <c r="G35" s="42"/>
      <c r="H35" s="119"/>
      <c r="I35" s="42"/>
      <c r="J35" s="42"/>
      <c r="K35" s="42"/>
      <c r="L35" s="42"/>
    </row>
    <row r="36" spans="1:12" x14ac:dyDescent="0.3">
      <c r="A36" s="42"/>
      <c r="B36" s="42"/>
      <c r="C36" s="42"/>
      <c r="D36" s="42"/>
      <c r="E36" s="42"/>
      <c r="F36" s="42"/>
      <c r="G36" s="42"/>
      <c r="H36" s="119"/>
      <c r="I36" s="42"/>
      <c r="J36" s="42"/>
      <c r="K36" s="42"/>
      <c r="L36" s="42"/>
    </row>
    <row r="37" spans="1:12" x14ac:dyDescent="0.3">
      <c r="A37" s="42"/>
      <c r="B37" s="42"/>
      <c r="C37" s="42"/>
      <c r="D37" s="42"/>
      <c r="E37" s="42"/>
      <c r="F37" s="42"/>
      <c r="G37" s="42"/>
      <c r="H37" s="119"/>
      <c r="I37" s="42"/>
      <c r="J37" s="42"/>
      <c r="K37" s="42"/>
      <c r="L37" s="42"/>
    </row>
    <row r="38" spans="1:12" x14ac:dyDescent="0.3">
      <c r="A38" s="42"/>
      <c r="B38" s="42"/>
      <c r="C38" s="42"/>
      <c r="D38" s="42"/>
      <c r="E38" s="42"/>
      <c r="F38" s="42"/>
      <c r="G38" s="42"/>
      <c r="H38" s="119"/>
      <c r="I38" s="42"/>
      <c r="J38" s="42"/>
      <c r="K38" s="42"/>
      <c r="L38" s="42"/>
    </row>
    <row r="39" spans="1:12" x14ac:dyDescent="0.3">
      <c r="A39" s="42"/>
      <c r="B39" s="42"/>
      <c r="C39" s="42"/>
      <c r="D39" s="42"/>
      <c r="E39" s="42"/>
      <c r="F39" s="42"/>
      <c r="G39" s="42"/>
      <c r="H39" s="119"/>
      <c r="I39" s="42"/>
      <c r="J39" s="42"/>
      <c r="K39" s="42"/>
      <c r="L39" s="42"/>
    </row>
    <row r="40" spans="1:12" x14ac:dyDescent="0.3">
      <c r="A40" s="42"/>
      <c r="B40" s="42"/>
      <c r="C40" s="42"/>
      <c r="D40" s="42"/>
      <c r="E40" s="42"/>
      <c r="F40" s="42"/>
      <c r="G40" s="42"/>
      <c r="H40" s="119"/>
      <c r="I40" s="42"/>
      <c r="J40" s="42"/>
      <c r="K40" s="42"/>
      <c r="L40" s="42"/>
    </row>
    <row r="41" spans="1:12" x14ac:dyDescent="0.3">
      <c r="A41" s="42"/>
      <c r="B41" s="42"/>
      <c r="C41" s="42"/>
      <c r="D41" s="42"/>
      <c r="E41" s="42"/>
      <c r="F41" s="42"/>
      <c r="G41" s="42"/>
      <c r="H41" s="119"/>
      <c r="I41" s="42"/>
      <c r="J41" s="42"/>
      <c r="K41" s="42"/>
      <c r="L41" s="42"/>
    </row>
    <row r="42" spans="1:12" x14ac:dyDescent="0.3">
      <c r="A42" s="42"/>
      <c r="B42" s="42"/>
      <c r="C42" s="42"/>
      <c r="D42" s="42"/>
      <c r="E42" s="42"/>
      <c r="F42" s="42"/>
      <c r="G42" s="42"/>
      <c r="H42" s="119"/>
      <c r="I42" s="42"/>
      <c r="J42" s="42"/>
      <c r="K42" s="42"/>
      <c r="L42" s="42"/>
    </row>
    <row r="43" spans="1:12" x14ac:dyDescent="0.3">
      <c r="A43" s="42"/>
      <c r="B43" s="42"/>
      <c r="C43" s="42"/>
      <c r="D43" s="42"/>
      <c r="E43" s="42"/>
      <c r="F43" s="42"/>
      <c r="G43" s="42"/>
      <c r="H43" s="119"/>
      <c r="I43" s="42"/>
      <c r="J43" s="42"/>
      <c r="K43" s="42"/>
      <c r="L43" s="42"/>
    </row>
  </sheetData>
  <mergeCells count="5">
    <mergeCell ref="A1:B1"/>
    <mergeCell ref="B7:D7"/>
    <mergeCell ref="B8:D8"/>
    <mergeCell ref="B9:D9"/>
    <mergeCell ref="B10:D10"/>
  </mergeCells>
  <dataValidations count="11">
    <dataValidation allowBlank="1" showInputMessage="1" showErrorMessage="1" promptTitle="Sensor ID" prompt="Enter the sensor serial number, either as SAM#### or SAMIP####." sqref="A13" xr:uid="{00000000-0002-0000-0A00-000000000000}"/>
    <dataValidation allowBlank="1" showInputMessage="1" showErrorMessage="1" promptTitle="Observation type" prompt="Enter measurement type for this sensor, most often Incident, Transmitted, or Reflected." sqref="B13" xr:uid="{00000000-0002-0000-0A00-000001000000}"/>
    <dataValidation allowBlank="1" showInputMessage="1" showErrorMessage="1" promptTitle="Raw Spectra" prompt="Enter the name of the exported mlb file containing the raw spectra from this sensor." sqref="C13" xr:uid="{00000000-0002-0000-0A00-000002000000}"/>
    <dataValidation allowBlank="1" showInputMessage="1" showErrorMessage="1" promptTitle="Inclination" prompt="(Optional) If available, enter the name of the exported mlb file containing the inclination data from this sensor." sqref="D13" xr:uid="{00000000-0002-0000-0A00-000003000000}"/>
    <dataValidation allowBlank="1" showInputMessage="1" showErrorMessage="1" promptTitle="Pressure" prompt="(Optional) If available, enter the name of the exported mlb file containing the pressure data from this sensor." sqref="E13" xr:uid="{00000000-0002-0000-0A00-000004000000}"/>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F13" xr:uid="{00000000-0002-0000-0A00-000005000000}"/>
    <dataValidation allowBlank="1" showInputMessage="1" showErrorMessage="1" promptTitle="Time" prompt="Enter the time when the weather observation was made." sqref="H13" xr:uid="{00000000-0002-0000-0A00-000006000000}"/>
    <dataValidation allowBlank="1" showInputMessage="1" showErrorMessage="1" promptTitle="Cloud conditions" prompt="Describe the cloud cover--fraction, type, thick/thin, etc." sqref="I13" xr:uid="{00000000-0002-0000-0A00-000007000000}"/>
    <dataValidation allowBlank="1" showInputMessage="1" showErrorMessage="1" promptTitle="Light comments" prompt="Describe the light conditions--direct sun, sun visible through clouds, sun not visible through clouds, sun behind mountain, etc." sqref="J13" xr:uid="{00000000-0002-0000-0A00-000008000000}"/>
    <dataValidation allowBlank="1" showInputMessage="1" showErrorMessage="1" promptTitle="Precipitation" prompt="If there was precipitation, describe it here." sqref="K13" xr:uid="{00000000-0002-0000-0A00-000009000000}"/>
    <dataValidation allowBlank="1" showInputMessage="1" showErrorMessage="1" promptTitle="Surface" prompt="Any relevant comments about the surface conditions or changes to the surface." sqref="L13" xr:uid="{00000000-0002-0000-0A00-00000A000000}"/>
  </dataValidations>
  <pageMargins left="0.7" right="0.7" top="0.75" bottom="0.75" header="0.3" footer="0.3"/>
  <pageSetup paperSize="9" scale="69"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I43"/>
  <sheetViews>
    <sheetView zoomScale="80" zoomScaleNormal="80" workbookViewId="0">
      <selection activeCell="B5" sqref="B5"/>
    </sheetView>
  </sheetViews>
  <sheetFormatPr defaultColWidth="9.21875" defaultRowHeight="14.4" x14ac:dyDescent="0.3"/>
  <cols>
    <col min="1" max="4" width="21.77734375" style="49" customWidth="1"/>
    <col min="5" max="5" width="9.21875" style="117"/>
    <col min="6" max="6" width="16" style="49" bestFit="1" customWidth="1"/>
    <col min="7" max="7" width="15.21875" style="49" bestFit="1" customWidth="1"/>
    <col min="8" max="8" width="12.44140625" style="49" bestFit="1" customWidth="1"/>
    <col min="9" max="9" width="12.21875" style="49" customWidth="1"/>
    <col min="10" max="16384" width="9.21875" style="49"/>
  </cols>
  <sheetData>
    <row r="1" spans="1:9" ht="31.8" thickBot="1" x14ac:dyDescent="0.65">
      <c r="A1" s="223" t="s">
        <v>152</v>
      </c>
      <c r="B1" s="223"/>
      <c r="C1" s="129"/>
      <c r="D1" s="129"/>
    </row>
    <row r="2" spans="1:9" x14ac:dyDescent="0.3">
      <c r="A2" s="33" t="s">
        <v>17</v>
      </c>
      <c r="B2" s="125" t="str">
        <f>CONCATENATE(ExpID,"-",StnNum,"-",StnDay)</f>
        <v>KF2018-6-1</v>
      </c>
      <c r="C2" s="126"/>
      <c r="D2" s="75"/>
    </row>
    <row r="3" spans="1:9" x14ac:dyDescent="0.3">
      <c r="A3" s="34" t="s">
        <v>153</v>
      </c>
      <c r="B3" s="108"/>
      <c r="C3" s="77"/>
      <c r="D3" s="79"/>
    </row>
    <row r="4" spans="1:9" x14ac:dyDescent="0.3">
      <c r="A4" s="34" t="s">
        <v>4</v>
      </c>
      <c r="B4" s="5">
        <f>ObsDate</f>
        <v>43210</v>
      </c>
      <c r="C4" s="77"/>
      <c r="D4" s="79"/>
    </row>
    <row r="5" spans="1:9" x14ac:dyDescent="0.3">
      <c r="A5" s="35" t="s">
        <v>98</v>
      </c>
      <c r="B5" s="8"/>
      <c r="C5" s="77"/>
      <c r="D5" s="79"/>
    </row>
    <row r="6" spans="1:9" x14ac:dyDescent="0.3">
      <c r="A6" s="35" t="s">
        <v>125</v>
      </c>
      <c r="B6" s="8"/>
      <c r="C6" s="77"/>
      <c r="D6" s="79"/>
      <c r="E6" s="130"/>
      <c r="F6" s="76"/>
      <c r="G6" s="78"/>
      <c r="H6" s="77"/>
    </row>
    <row r="7" spans="1:9" ht="30" customHeight="1" x14ac:dyDescent="0.3">
      <c r="A7" s="127" t="s">
        <v>139</v>
      </c>
      <c r="B7" s="224"/>
      <c r="C7" s="225"/>
      <c r="D7" s="226"/>
      <c r="E7" s="130"/>
      <c r="F7" s="76"/>
    </row>
    <row r="8" spans="1:9" ht="30" customHeight="1" x14ac:dyDescent="0.3">
      <c r="A8" s="128" t="s">
        <v>16</v>
      </c>
      <c r="B8" s="230"/>
      <c r="C8" s="231"/>
      <c r="D8" s="232"/>
    </row>
    <row r="9" spans="1:9" ht="30" customHeight="1" x14ac:dyDescent="0.3">
      <c r="A9" s="128" t="s">
        <v>140</v>
      </c>
      <c r="B9" s="230"/>
      <c r="C9" s="231"/>
      <c r="D9" s="232"/>
    </row>
    <row r="10" spans="1:9" ht="28.5" customHeight="1" thickBot="1" x14ac:dyDescent="0.35">
      <c r="A10" s="36" t="s">
        <v>188</v>
      </c>
      <c r="B10" s="215"/>
      <c r="C10" s="216"/>
      <c r="D10" s="217"/>
    </row>
    <row r="11" spans="1:9" ht="15" thickBot="1" x14ac:dyDescent="0.35"/>
    <row r="12" spans="1:9" ht="15" thickBot="1" x14ac:dyDescent="0.35">
      <c r="A12" s="38" t="s">
        <v>141</v>
      </c>
      <c r="B12" s="40" t="s">
        <v>151</v>
      </c>
      <c r="C12" s="122" t="s">
        <v>146</v>
      </c>
      <c r="D12" s="123"/>
      <c r="E12" s="124" t="s">
        <v>98</v>
      </c>
      <c r="F12" s="40" t="s">
        <v>147</v>
      </c>
      <c r="G12" s="40" t="s">
        <v>148</v>
      </c>
      <c r="H12" s="40" t="s">
        <v>149</v>
      </c>
      <c r="I12" s="39" t="s">
        <v>150</v>
      </c>
    </row>
    <row r="13" spans="1:9" x14ac:dyDescent="0.3">
      <c r="A13" s="120"/>
      <c r="B13" s="120"/>
      <c r="C13" s="120"/>
      <c r="D13" s="120"/>
      <c r="E13" s="121"/>
      <c r="F13" s="120"/>
      <c r="G13" s="120"/>
      <c r="H13" s="120"/>
      <c r="I13" s="120"/>
    </row>
    <row r="14" spans="1:9" x14ac:dyDescent="0.3">
      <c r="A14" s="42"/>
      <c r="B14" s="42"/>
      <c r="C14" s="42"/>
      <c r="D14" s="42"/>
      <c r="E14" s="119"/>
      <c r="F14" s="42"/>
      <c r="G14" s="42"/>
      <c r="H14" s="42"/>
      <c r="I14" s="42"/>
    </row>
    <row r="15" spans="1:9" x14ac:dyDescent="0.3">
      <c r="A15" s="42"/>
      <c r="B15" s="42"/>
      <c r="C15" s="42"/>
      <c r="D15" s="42"/>
      <c r="E15" s="119"/>
      <c r="F15" s="42"/>
      <c r="G15" s="42"/>
      <c r="H15" s="42"/>
      <c r="I15" s="42"/>
    </row>
    <row r="16" spans="1:9" x14ac:dyDescent="0.3">
      <c r="A16" s="42"/>
      <c r="B16" s="42"/>
      <c r="C16" s="42"/>
      <c r="D16" s="42"/>
      <c r="E16" s="119"/>
      <c r="F16" s="42"/>
      <c r="G16" s="42"/>
      <c r="H16" s="42"/>
      <c r="I16" s="42"/>
    </row>
    <row r="17" spans="1:9" x14ac:dyDescent="0.3">
      <c r="A17" s="42"/>
      <c r="B17" s="42"/>
      <c r="C17" s="42"/>
      <c r="D17" s="42"/>
      <c r="E17" s="119"/>
      <c r="F17" s="42"/>
      <c r="G17" s="42"/>
      <c r="H17" s="42"/>
      <c r="I17" s="42"/>
    </row>
    <row r="18" spans="1:9" x14ac:dyDescent="0.3">
      <c r="A18" s="42"/>
      <c r="B18" s="42"/>
      <c r="C18" s="42"/>
      <c r="D18" s="42"/>
      <c r="E18" s="119"/>
      <c r="F18" s="42"/>
      <c r="G18" s="42"/>
      <c r="H18" s="42"/>
      <c r="I18" s="42"/>
    </row>
    <row r="19" spans="1:9" x14ac:dyDescent="0.3">
      <c r="A19" s="42"/>
      <c r="B19" s="42"/>
      <c r="C19" s="42"/>
      <c r="D19" s="42"/>
      <c r="E19" s="119"/>
      <c r="F19" s="42"/>
      <c r="G19" s="42"/>
      <c r="H19" s="42"/>
      <c r="I19" s="42"/>
    </row>
    <row r="20" spans="1:9" x14ac:dyDescent="0.3">
      <c r="A20" s="42"/>
      <c r="B20" s="42"/>
      <c r="C20" s="42"/>
      <c r="D20" s="42"/>
      <c r="E20" s="119"/>
      <c r="F20" s="42"/>
      <c r="G20" s="42"/>
      <c r="H20" s="42"/>
      <c r="I20" s="42"/>
    </row>
    <row r="21" spans="1:9" x14ac:dyDescent="0.3">
      <c r="A21" s="42"/>
      <c r="B21" s="42"/>
      <c r="C21" s="42"/>
      <c r="D21" s="42"/>
      <c r="E21" s="119"/>
      <c r="F21" s="42"/>
      <c r="G21" s="42"/>
      <c r="H21" s="42"/>
      <c r="I21" s="42"/>
    </row>
    <row r="22" spans="1:9" x14ac:dyDescent="0.3">
      <c r="A22" s="42"/>
      <c r="B22" s="42"/>
      <c r="C22" s="42"/>
      <c r="D22" s="42"/>
      <c r="E22" s="119"/>
      <c r="F22" s="42"/>
      <c r="G22" s="42"/>
      <c r="H22" s="42"/>
      <c r="I22" s="42"/>
    </row>
    <row r="23" spans="1:9" x14ac:dyDescent="0.3">
      <c r="A23" s="42"/>
      <c r="B23" s="42"/>
      <c r="C23" s="42"/>
      <c r="D23" s="42"/>
      <c r="E23" s="119"/>
      <c r="F23" s="42"/>
      <c r="G23" s="42"/>
      <c r="H23" s="42"/>
      <c r="I23" s="42"/>
    </row>
    <row r="24" spans="1:9" x14ac:dyDescent="0.3">
      <c r="A24" s="42"/>
      <c r="B24" s="42"/>
      <c r="C24" s="42"/>
      <c r="D24" s="42"/>
      <c r="E24" s="119"/>
      <c r="F24" s="42"/>
      <c r="G24" s="42"/>
      <c r="H24" s="42"/>
      <c r="I24" s="42"/>
    </row>
    <row r="25" spans="1:9" x14ac:dyDescent="0.3">
      <c r="A25" s="42"/>
      <c r="B25" s="42"/>
      <c r="C25" s="42"/>
      <c r="D25" s="42"/>
      <c r="E25" s="119"/>
      <c r="F25" s="42"/>
      <c r="G25" s="42"/>
      <c r="H25" s="42"/>
      <c r="I25" s="42"/>
    </row>
    <row r="26" spans="1:9" x14ac:dyDescent="0.3">
      <c r="A26" s="42"/>
      <c r="B26" s="42"/>
      <c r="C26" s="42"/>
      <c r="D26" s="42"/>
      <c r="E26" s="119"/>
      <c r="F26" s="42"/>
      <c r="G26" s="42"/>
      <c r="H26" s="42"/>
      <c r="I26" s="42"/>
    </row>
    <row r="27" spans="1:9" x14ac:dyDescent="0.3">
      <c r="A27" s="42"/>
      <c r="B27" s="42"/>
      <c r="C27" s="42"/>
      <c r="D27" s="42"/>
      <c r="E27" s="119"/>
      <c r="F27" s="42"/>
      <c r="G27" s="42"/>
      <c r="H27" s="42"/>
      <c r="I27" s="42"/>
    </row>
    <row r="28" spans="1:9" x14ac:dyDescent="0.3">
      <c r="A28" s="42"/>
      <c r="B28" s="42"/>
      <c r="C28" s="42"/>
      <c r="D28" s="42"/>
      <c r="E28" s="119"/>
      <c r="F28" s="42"/>
      <c r="G28" s="42"/>
      <c r="H28" s="42"/>
      <c r="I28" s="42"/>
    </row>
    <row r="29" spans="1:9" x14ac:dyDescent="0.3">
      <c r="A29" s="42"/>
      <c r="B29" s="42"/>
      <c r="C29" s="42"/>
      <c r="D29" s="42"/>
      <c r="E29" s="119"/>
      <c r="F29" s="42"/>
      <c r="G29" s="42"/>
      <c r="H29" s="42"/>
      <c r="I29" s="42"/>
    </row>
    <row r="30" spans="1:9" x14ac:dyDescent="0.3">
      <c r="A30" s="42"/>
      <c r="B30" s="42"/>
      <c r="C30" s="42"/>
      <c r="D30" s="42"/>
      <c r="E30" s="119"/>
      <c r="F30" s="42"/>
      <c r="G30" s="42"/>
      <c r="H30" s="42"/>
      <c r="I30" s="42"/>
    </row>
    <row r="31" spans="1:9" x14ac:dyDescent="0.3">
      <c r="A31" s="42"/>
      <c r="B31" s="42"/>
      <c r="C31" s="42"/>
      <c r="D31" s="42"/>
      <c r="E31" s="119"/>
      <c r="F31" s="42"/>
      <c r="G31" s="42"/>
      <c r="H31" s="42"/>
      <c r="I31" s="42"/>
    </row>
    <row r="32" spans="1:9" x14ac:dyDescent="0.3">
      <c r="A32" s="42"/>
      <c r="B32" s="42"/>
      <c r="C32" s="42"/>
      <c r="D32" s="42"/>
      <c r="E32" s="119"/>
      <c r="F32" s="42"/>
      <c r="G32" s="42"/>
      <c r="H32" s="42"/>
      <c r="I32" s="42"/>
    </row>
    <row r="33" spans="1:9" x14ac:dyDescent="0.3">
      <c r="A33" s="42"/>
      <c r="B33" s="42"/>
      <c r="C33" s="42"/>
      <c r="D33" s="42"/>
      <c r="E33" s="119"/>
      <c r="F33" s="42"/>
      <c r="G33" s="42"/>
      <c r="H33" s="42"/>
      <c r="I33" s="42"/>
    </row>
    <row r="34" spans="1:9" x14ac:dyDescent="0.3">
      <c r="A34" s="42"/>
      <c r="B34" s="42"/>
      <c r="C34" s="42"/>
      <c r="D34" s="42"/>
      <c r="E34" s="119"/>
      <c r="F34" s="42"/>
      <c r="G34" s="42"/>
      <c r="H34" s="42"/>
      <c r="I34" s="42"/>
    </row>
    <row r="35" spans="1:9" x14ac:dyDescent="0.3">
      <c r="A35" s="42"/>
      <c r="B35" s="42"/>
      <c r="C35" s="42"/>
      <c r="D35" s="42"/>
      <c r="E35" s="119"/>
      <c r="F35" s="42"/>
      <c r="G35" s="42"/>
      <c r="H35" s="42"/>
      <c r="I35" s="42"/>
    </row>
    <row r="36" spans="1:9" x14ac:dyDescent="0.3">
      <c r="A36" s="42"/>
      <c r="B36" s="42"/>
      <c r="C36" s="42"/>
      <c r="D36" s="42"/>
      <c r="E36" s="119"/>
      <c r="F36" s="42"/>
      <c r="G36" s="42"/>
      <c r="H36" s="42"/>
      <c r="I36" s="42"/>
    </row>
    <row r="37" spans="1:9" x14ac:dyDescent="0.3">
      <c r="A37" s="42"/>
      <c r="B37" s="42"/>
      <c r="C37" s="42"/>
      <c r="D37" s="42"/>
      <c r="E37" s="119"/>
      <c r="F37" s="42"/>
      <c r="G37" s="42"/>
      <c r="H37" s="42"/>
      <c r="I37" s="42"/>
    </row>
    <row r="38" spans="1:9" x14ac:dyDescent="0.3">
      <c r="A38" s="42"/>
      <c r="B38" s="42"/>
      <c r="C38" s="42"/>
      <c r="D38" s="42"/>
      <c r="E38" s="119"/>
      <c r="F38" s="42"/>
      <c r="G38" s="42"/>
      <c r="H38" s="42"/>
      <c r="I38" s="42"/>
    </row>
    <row r="39" spans="1:9" x14ac:dyDescent="0.3">
      <c r="A39" s="42"/>
      <c r="B39" s="42"/>
      <c r="C39" s="42"/>
      <c r="D39" s="42"/>
      <c r="E39" s="119"/>
      <c r="F39" s="42"/>
      <c r="G39" s="42"/>
      <c r="H39" s="42"/>
      <c r="I39" s="42"/>
    </row>
    <row r="40" spans="1:9" x14ac:dyDescent="0.3">
      <c r="A40" s="42"/>
      <c r="B40" s="42"/>
      <c r="C40" s="42"/>
      <c r="D40" s="42"/>
      <c r="E40" s="119"/>
      <c r="F40" s="42"/>
      <c r="G40" s="42"/>
      <c r="H40" s="42"/>
      <c r="I40" s="42"/>
    </row>
    <row r="41" spans="1:9" x14ac:dyDescent="0.3">
      <c r="A41" s="42"/>
      <c r="B41" s="42"/>
      <c r="C41" s="42"/>
      <c r="D41" s="42"/>
      <c r="E41" s="119"/>
      <c r="F41" s="42"/>
      <c r="G41" s="42"/>
      <c r="H41" s="42"/>
      <c r="I41" s="42"/>
    </row>
    <row r="42" spans="1:9" x14ac:dyDescent="0.3">
      <c r="A42" s="42"/>
      <c r="B42" s="42"/>
      <c r="C42" s="42"/>
      <c r="D42" s="42"/>
      <c r="E42" s="119"/>
      <c r="F42" s="42"/>
      <c r="G42" s="42"/>
      <c r="H42" s="42"/>
      <c r="I42" s="42"/>
    </row>
    <row r="43" spans="1:9" x14ac:dyDescent="0.3">
      <c r="A43" s="42"/>
      <c r="B43" s="42"/>
      <c r="C43" s="42"/>
      <c r="D43" s="42"/>
      <c r="E43" s="119"/>
      <c r="F43" s="42"/>
      <c r="G43" s="42"/>
      <c r="H43" s="42"/>
      <c r="I43" s="42"/>
    </row>
  </sheetData>
  <mergeCells count="5">
    <mergeCell ref="A1:B1"/>
    <mergeCell ref="B7:D7"/>
    <mergeCell ref="B8:D8"/>
    <mergeCell ref="B9:D9"/>
    <mergeCell ref="B10:D10"/>
  </mergeCells>
  <dataValidations count="8">
    <dataValidation allowBlank="1" showInputMessage="1" showErrorMessage="1" promptTitle="Processed" prompt="(Optional) If some sort of file with processed data is archived, give the name of that file here. The file should contain a Readme variable or other self-contained description of what processing was done." sqref="C13" xr:uid="{00000000-0002-0000-0B00-000000000000}"/>
    <dataValidation allowBlank="1" showInputMessage="1" showErrorMessage="1" promptTitle="Original data" prompt="Enter the name of the file containing the original spectral data." sqref="B13" xr:uid="{00000000-0002-0000-0B00-000001000000}"/>
    <dataValidation allowBlank="1" showInputMessage="1" showErrorMessage="1" promptTitle="Sensor ID" prompt="Enter the serial number of the ASD sensor that was used." sqref="A13" xr:uid="{00000000-0002-0000-0B00-000002000000}"/>
    <dataValidation allowBlank="1" showInputMessage="1" showErrorMessage="1" promptTitle="Surface" prompt="Any relevant comments about the surface conditions or changes to the surface." sqref="I13" xr:uid="{00000000-0002-0000-0B00-000003000000}"/>
    <dataValidation allowBlank="1" showInputMessage="1" showErrorMessage="1" promptTitle="Precipitation" prompt="If there was precipitation, describe it here." sqref="H13" xr:uid="{00000000-0002-0000-0B00-000004000000}"/>
    <dataValidation allowBlank="1" showInputMessage="1" showErrorMessage="1" promptTitle="Light comments" prompt="Describe the light conditions--direct sun, sun visible through clouds, sun not visible through clouds, sun behind mountain, etc." sqref="G13" xr:uid="{00000000-0002-0000-0B00-000005000000}"/>
    <dataValidation allowBlank="1" showInputMessage="1" showErrorMessage="1" promptTitle="Cloud conditions" prompt="Describe the cloud cover--fraction, type, thick/thin, etc." sqref="F13" xr:uid="{00000000-0002-0000-0B00-000006000000}"/>
    <dataValidation allowBlank="1" showInputMessage="1" showErrorMessage="1" promptTitle="Time" prompt="Enter the time when the weather observation was made." sqref="E13" xr:uid="{00000000-0002-0000-0B00-000007000000}"/>
  </dataValidations>
  <pageMargins left="0.7" right="0.7" top="0.75" bottom="0.75" header="0.3" footer="0.3"/>
  <pageSetup paperSize="9" scale="81" fitToHeight="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N45"/>
  <sheetViews>
    <sheetView zoomScale="80" zoomScaleNormal="80" workbookViewId="0">
      <selection activeCell="B5" sqref="B5:C5"/>
    </sheetView>
  </sheetViews>
  <sheetFormatPr defaultColWidth="9.21875" defaultRowHeight="14.4" x14ac:dyDescent="0.3"/>
  <cols>
    <col min="1" max="1" width="20.77734375" style="49" customWidth="1"/>
    <col min="2" max="13" width="15.77734375" style="49" customWidth="1"/>
    <col min="14" max="14" width="31.44140625" style="49" customWidth="1"/>
    <col min="15" max="17" width="15.77734375" style="49" customWidth="1"/>
    <col min="18" max="18" width="9.77734375" style="49" customWidth="1"/>
    <col min="19" max="16384" width="9.21875" style="49"/>
  </cols>
  <sheetData>
    <row r="1" spans="1:14" ht="31.8" thickBot="1" x14ac:dyDescent="0.65">
      <c r="A1" s="175" t="s">
        <v>73</v>
      </c>
      <c r="B1" s="175"/>
      <c r="C1" s="175"/>
      <c r="D1" s="116"/>
    </row>
    <row r="2" spans="1:14" x14ac:dyDescent="0.3">
      <c r="A2" s="33" t="s">
        <v>17</v>
      </c>
      <c r="B2" s="218" t="str">
        <f>CONCATENATE(ExpID,"-",StnNum,"-",StnDay)</f>
        <v>KF2018-6-1</v>
      </c>
      <c r="C2" s="218"/>
      <c r="D2" s="75"/>
    </row>
    <row r="3" spans="1:14" x14ac:dyDescent="0.3">
      <c r="A3" s="34" t="s">
        <v>153</v>
      </c>
      <c r="B3" s="219"/>
      <c r="C3" s="219"/>
      <c r="D3" s="79"/>
    </row>
    <row r="4" spans="1:14" x14ac:dyDescent="0.3">
      <c r="A4" s="34" t="s">
        <v>4</v>
      </c>
      <c r="B4" s="192">
        <f>ObsDate</f>
        <v>43210</v>
      </c>
      <c r="C4" s="192"/>
      <c r="D4" s="79"/>
    </row>
    <row r="5" spans="1:14" x14ac:dyDescent="0.3">
      <c r="A5" s="35" t="s">
        <v>98</v>
      </c>
      <c r="B5" s="220"/>
      <c r="C5" s="220"/>
      <c r="D5" s="79"/>
    </row>
    <row r="6" spans="1:14" x14ac:dyDescent="0.3">
      <c r="A6" s="35" t="s">
        <v>125</v>
      </c>
      <c r="B6" s="236"/>
      <c r="C6" s="236"/>
      <c r="D6" s="79"/>
      <c r="E6" s="76"/>
      <c r="F6" s="76"/>
      <c r="G6" s="78"/>
      <c r="H6" s="77"/>
    </row>
    <row r="7" spans="1:14" ht="30" customHeight="1" thickBot="1" x14ac:dyDescent="0.35">
      <c r="A7" s="36" t="s">
        <v>16</v>
      </c>
      <c r="B7" s="233"/>
      <c r="C7" s="234"/>
      <c r="D7" s="235"/>
    </row>
    <row r="9" spans="1:14" ht="15" thickBot="1" x14ac:dyDescent="0.35"/>
    <row r="10" spans="1:14" s="81" customFormat="1" ht="27.6" thickBot="1" x14ac:dyDescent="0.35">
      <c r="A10" s="29" t="s">
        <v>99</v>
      </c>
      <c r="B10" s="30" t="s">
        <v>107</v>
      </c>
      <c r="C10" s="30" t="s">
        <v>108</v>
      </c>
      <c r="D10" s="30" t="s">
        <v>100</v>
      </c>
      <c r="E10" s="30" t="s">
        <v>111</v>
      </c>
      <c r="F10" s="30" t="s">
        <v>101</v>
      </c>
      <c r="G10" s="30" t="s">
        <v>102</v>
      </c>
      <c r="H10" s="30" t="s">
        <v>103</v>
      </c>
      <c r="I10" s="30" t="s">
        <v>104</v>
      </c>
      <c r="J10" s="30" t="s">
        <v>105</v>
      </c>
      <c r="K10" s="30" t="s">
        <v>109</v>
      </c>
      <c r="L10" s="30" t="s">
        <v>106</v>
      </c>
      <c r="M10" s="30" t="s">
        <v>110</v>
      </c>
      <c r="N10" s="140" t="s">
        <v>14</v>
      </c>
    </row>
    <row r="11" spans="1:14" x14ac:dyDescent="0.3">
      <c r="A11" s="137"/>
      <c r="B11" s="120"/>
      <c r="C11" s="120"/>
      <c r="D11" s="120"/>
      <c r="E11" s="120"/>
      <c r="F11" s="138"/>
      <c r="G11" s="139"/>
      <c r="H11" s="139"/>
      <c r="I11" s="139"/>
      <c r="J11" s="120" t="s">
        <v>137</v>
      </c>
      <c r="K11" s="120" t="s">
        <v>137</v>
      </c>
      <c r="L11" s="120" t="s">
        <v>137</v>
      </c>
      <c r="M11" s="120" t="s">
        <v>137</v>
      </c>
      <c r="N11" s="120"/>
    </row>
    <row r="12" spans="1:14" x14ac:dyDescent="0.3">
      <c r="A12" s="42"/>
      <c r="B12" s="42"/>
      <c r="C12" s="42"/>
      <c r="D12" s="42"/>
      <c r="E12" s="42"/>
      <c r="F12" s="42"/>
      <c r="G12" s="42"/>
      <c r="H12" s="42"/>
      <c r="I12" s="42"/>
      <c r="J12" s="42"/>
      <c r="K12" s="42"/>
      <c r="L12" s="42"/>
      <c r="M12" s="42"/>
      <c r="N12" s="42"/>
    </row>
    <row r="13" spans="1:14" x14ac:dyDescent="0.3">
      <c r="A13" s="42"/>
      <c r="B13" s="42"/>
      <c r="C13" s="42"/>
      <c r="D13" s="42"/>
      <c r="E13" s="42"/>
      <c r="F13" s="42"/>
      <c r="G13" s="42"/>
      <c r="H13" s="42"/>
      <c r="I13" s="42"/>
      <c r="J13" s="42"/>
      <c r="K13" s="42"/>
      <c r="L13" s="42"/>
      <c r="M13" s="42"/>
      <c r="N13" s="42"/>
    </row>
    <row r="14" spans="1:14" x14ac:dyDescent="0.3">
      <c r="A14" s="42"/>
      <c r="B14" s="42"/>
      <c r="C14" s="42"/>
      <c r="D14" s="42"/>
      <c r="E14" s="42"/>
      <c r="F14" s="42"/>
      <c r="G14" s="42"/>
      <c r="H14" s="42"/>
      <c r="I14" s="42"/>
      <c r="J14" s="42"/>
      <c r="K14" s="42"/>
      <c r="L14" s="42"/>
      <c r="M14" s="42"/>
      <c r="N14" s="42"/>
    </row>
    <row r="15" spans="1:14" x14ac:dyDescent="0.3">
      <c r="A15" s="42"/>
      <c r="B15" s="42"/>
      <c r="C15" s="42"/>
      <c r="D15" s="42"/>
      <c r="E15" s="42"/>
      <c r="F15" s="42"/>
      <c r="G15" s="42"/>
      <c r="H15" s="42"/>
      <c r="I15" s="42"/>
      <c r="J15" s="42"/>
      <c r="K15" s="42"/>
      <c r="L15" s="42"/>
      <c r="M15" s="42"/>
      <c r="N15" s="42"/>
    </row>
    <row r="16" spans="1:14" x14ac:dyDescent="0.3">
      <c r="A16" s="42"/>
      <c r="B16" s="42"/>
      <c r="C16" s="42"/>
      <c r="D16" s="42"/>
      <c r="E16" s="42"/>
      <c r="F16" s="42"/>
      <c r="G16" s="42"/>
      <c r="H16" s="42"/>
      <c r="I16" s="42"/>
      <c r="J16" s="42"/>
      <c r="K16" s="42"/>
      <c r="L16" s="42"/>
      <c r="M16" s="42"/>
      <c r="N16" s="42"/>
    </row>
    <row r="17" spans="1:14" x14ac:dyDescent="0.3">
      <c r="A17" s="42"/>
      <c r="B17" s="42"/>
      <c r="C17" s="42"/>
      <c r="D17" s="42"/>
      <c r="E17" s="42"/>
      <c r="F17" s="42"/>
      <c r="G17" s="42"/>
      <c r="H17" s="42"/>
      <c r="I17" s="42"/>
      <c r="J17" s="42"/>
      <c r="K17" s="42"/>
      <c r="L17" s="42"/>
      <c r="M17" s="42"/>
      <c r="N17" s="42"/>
    </row>
    <row r="18" spans="1:14" x14ac:dyDescent="0.3">
      <c r="A18" s="42"/>
      <c r="B18" s="42"/>
      <c r="C18" s="42"/>
      <c r="D18" s="42"/>
      <c r="E18" s="42"/>
      <c r="F18" s="42"/>
      <c r="G18" s="42"/>
      <c r="H18" s="42"/>
      <c r="I18" s="42"/>
      <c r="J18" s="42"/>
      <c r="K18" s="42"/>
      <c r="L18" s="42"/>
      <c r="M18" s="42"/>
      <c r="N18" s="42"/>
    </row>
    <row r="19" spans="1:14" x14ac:dyDescent="0.3">
      <c r="A19" s="42"/>
      <c r="B19" s="42"/>
      <c r="C19" s="42"/>
      <c r="D19" s="42"/>
      <c r="E19" s="42"/>
      <c r="F19" s="42"/>
      <c r="G19" s="42"/>
      <c r="H19" s="42"/>
      <c r="I19" s="42"/>
      <c r="J19" s="42"/>
      <c r="K19" s="42"/>
      <c r="L19" s="42"/>
      <c r="M19" s="42"/>
      <c r="N19" s="42"/>
    </row>
    <row r="20" spans="1:14" x14ac:dyDescent="0.3">
      <c r="A20" s="42"/>
      <c r="B20" s="42"/>
      <c r="C20" s="42"/>
      <c r="D20" s="42"/>
      <c r="E20" s="42"/>
      <c r="F20" s="42"/>
      <c r="G20" s="42"/>
      <c r="H20" s="42"/>
      <c r="I20" s="42"/>
      <c r="J20" s="42"/>
      <c r="K20" s="42"/>
      <c r="L20" s="42"/>
      <c r="M20" s="42"/>
      <c r="N20" s="42"/>
    </row>
    <row r="21" spans="1:14" x14ac:dyDescent="0.3">
      <c r="A21" s="42"/>
      <c r="B21" s="42"/>
      <c r="C21" s="42"/>
      <c r="D21" s="42"/>
      <c r="E21" s="42"/>
      <c r="F21" s="42"/>
      <c r="G21" s="42"/>
      <c r="H21" s="42"/>
      <c r="I21" s="42"/>
      <c r="J21" s="42"/>
      <c r="K21" s="42"/>
      <c r="L21" s="42"/>
      <c r="M21" s="42"/>
      <c r="N21" s="42"/>
    </row>
    <row r="22" spans="1:14" x14ac:dyDescent="0.3">
      <c r="A22" s="42"/>
      <c r="B22" s="42"/>
      <c r="C22" s="42"/>
      <c r="D22" s="42"/>
      <c r="E22" s="42"/>
      <c r="F22" s="42"/>
      <c r="G22" s="42"/>
      <c r="H22" s="42"/>
      <c r="I22" s="42"/>
      <c r="J22" s="42"/>
      <c r="K22" s="42"/>
      <c r="L22" s="42"/>
      <c r="M22" s="42"/>
      <c r="N22" s="42"/>
    </row>
    <row r="23" spans="1:14" x14ac:dyDescent="0.3">
      <c r="A23" s="42"/>
      <c r="B23" s="42"/>
      <c r="C23" s="42"/>
      <c r="D23" s="42"/>
      <c r="E23" s="42"/>
      <c r="F23" s="42"/>
      <c r="G23" s="42"/>
      <c r="H23" s="42"/>
      <c r="I23" s="42"/>
      <c r="J23" s="42"/>
      <c r="K23" s="42"/>
      <c r="L23" s="42"/>
      <c r="M23" s="42"/>
      <c r="N23" s="42"/>
    </row>
    <row r="24" spans="1:14" x14ac:dyDescent="0.3">
      <c r="A24" s="42"/>
      <c r="B24" s="42"/>
      <c r="C24" s="42"/>
      <c r="D24" s="42"/>
      <c r="E24" s="42"/>
      <c r="F24" s="42"/>
      <c r="G24" s="42"/>
      <c r="H24" s="42"/>
      <c r="I24" s="42"/>
      <c r="J24" s="42"/>
      <c r="K24" s="42"/>
      <c r="L24" s="42"/>
      <c r="M24" s="42"/>
      <c r="N24" s="42"/>
    </row>
    <row r="25" spans="1:14" x14ac:dyDescent="0.3">
      <c r="A25" s="42"/>
      <c r="B25" s="42"/>
      <c r="C25" s="42"/>
      <c r="D25" s="42"/>
      <c r="E25" s="42"/>
      <c r="F25" s="42"/>
      <c r="G25" s="42"/>
      <c r="H25" s="42"/>
      <c r="I25" s="42"/>
      <c r="J25" s="42"/>
      <c r="K25" s="42"/>
      <c r="L25" s="42"/>
      <c r="M25" s="42"/>
      <c r="N25" s="42"/>
    </row>
    <row r="26" spans="1:14" x14ac:dyDescent="0.3">
      <c r="A26" s="42"/>
      <c r="B26" s="42"/>
      <c r="C26" s="42"/>
      <c r="D26" s="42"/>
      <c r="E26" s="42"/>
      <c r="F26" s="42"/>
      <c r="G26" s="42"/>
      <c r="H26" s="42"/>
      <c r="I26" s="42"/>
      <c r="J26" s="42"/>
      <c r="K26" s="42"/>
      <c r="L26" s="42"/>
      <c r="M26" s="42"/>
      <c r="N26" s="42"/>
    </row>
    <row r="27" spans="1:14" x14ac:dyDescent="0.3">
      <c r="A27" s="42"/>
      <c r="B27" s="42"/>
      <c r="C27" s="42"/>
      <c r="D27" s="42"/>
      <c r="E27" s="42"/>
      <c r="F27" s="42"/>
      <c r="G27" s="42"/>
      <c r="H27" s="42"/>
      <c r="I27" s="42"/>
      <c r="J27" s="42"/>
      <c r="K27" s="42"/>
      <c r="L27" s="42"/>
      <c r="M27" s="42"/>
      <c r="N27" s="42"/>
    </row>
    <row r="28" spans="1:14" x14ac:dyDescent="0.3">
      <c r="A28" s="42"/>
      <c r="B28" s="42"/>
      <c r="C28" s="42"/>
      <c r="D28" s="42"/>
      <c r="E28" s="42"/>
      <c r="F28" s="42"/>
      <c r="G28" s="42"/>
      <c r="H28" s="42"/>
      <c r="I28" s="42"/>
      <c r="J28" s="42"/>
      <c r="K28" s="42"/>
      <c r="L28" s="42"/>
      <c r="M28" s="42"/>
      <c r="N28" s="42"/>
    </row>
    <row r="29" spans="1:14" x14ac:dyDescent="0.3">
      <c r="A29" s="42"/>
      <c r="B29" s="42"/>
      <c r="C29" s="42"/>
      <c r="D29" s="42"/>
      <c r="E29" s="42"/>
      <c r="F29" s="42"/>
      <c r="G29" s="42"/>
      <c r="H29" s="42"/>
      <c r="I29" s="42"/>
      <c r="J29" s="42"/>
      <c r="K29" s="42"/>
      <c r="L29" s="42"/>
      <c r="M29" s="42"/>
      <c r="N29" s="42"/>
    </row>
    <row r="30" spans="1:14" x14ac:dyDescent="0.3">
      <c r="A30" s="42"/>
      <c r="B30" s="42"/>
      <c r="C30" s="42"/>
      <c r="D30" s="42"/>
      <c r="E30" s="42"/>
      <c r="F30" s="42"/>
      <c r="G30" s="42"/>
      <c r="H30" s="42"/>
      <c r="I30" s="42"/>
      <c r="J30" s="42"/>
      <c r="K30" s="42"/>
      <c r="L30" s="42"/>
      <c r="M30" s="42"/>
      <c r="N30" s="42"/>
    </row>
    <row r="31" spans="1:14" x14ac:dyDescent="0.3">
      <c r="A31" s="42"/>
      <c r="B31" s="42"/>
      <c r="C31" s="42"/>
      <c r="D31" s="42"/>
      <c r="E31" s="42"/>
      <c r="F31" s="42"/>
      <c r="G31" s="42"/>
      <c r="H31" s="42"/>
      <c r="I31" s="42"/>
      <c r="J31" s="42"/>
      <c r="K31" s="42"/>
      <c r="L31" s="42"/>
      <c r="M31" s="42"/>
      <c r="N31" s="42"/>
    </row>
    <row r="32" spans="1:14" x14ac:dyDescent="0.3">
      <c r="A32" s="42"/>
      <c r="B32" s="42"/>
      <c r="C32" s="42"/>
      <c r="D32" s="42"/>
      <c r="E32" s="42"/>
      <c r="F32" s="42"/>
      <c r="G32" s="42"/>
      <c r="H32" s="42"/>
      <c r="I32" s="42"/>
      <c r="J32" s="42"/>
      <c r="K32" s="42"/>
      <c r="L32" s="42"/>
      <c r="M32" s="42"/>
      <c r="N32" s="42"/>
    </row>
    <row r="33" spans="1:14" x14ac:dyDescent="0.3">
      <c r="A33" s="42"/>
      <c r="B33" s="42"/>
      <c r="C33" s="42"/>
      <c r="D33" s="42"/>
      <c r="E33" s="42"/>
      <c r="F33" s="42"/>
      <c r="G33" s="42"/>
      <c r="H33" s="42"/>
      <c r="I33" s="42"/>
      <c r="J33" s="42"/>
      <c r="K33" s="42"/>
      <c r="L33" s="42"/>
      <c r="M33" s="42"/>
      <c r="N33" s="42"/>
    </row>
    <row r="34" spans="1:14" x14ac:dyDescent="0.3">
      <c r="A34" s="42"/>
      <c r="B34" s="42"/>
      <c r="C34" s="42"/>
      <c r="D34" s="42"/>
      <c r="E34" s="42"/>
      <c r="F34" s="42"/>
      <c r="G34" s="42"/>
      <c r="H34" s="42"/>
      <c r="I34" s="42"/>
      <c r="J34" s="42"/>
      <c r="K34" s="42"/>
      <c r="L34" s="42"/>
      <c r="M34" s="42"/>
      <c r="N34" s="42"/>
    </row>
    <row r="35" spans="1:14" x14ac:dyDescent="0.3">
      <c r="A35" s="42"/>
      <c r="B35" s="42"/>
      <c r="C35" s="42"/>
      <c r="D35" s="42"/>
      <c r="E35" s="42"/>
      <c r="F35" s="42"/>
      <c r="G35" s="42"/>
      <c r="H35" s="42"/>
      <c r="I35" s="42"/>
      <c r="J35" s="42"/>
      <c r="K35" s="42"/>
      <c r="L35" s="42"/>
      <c r="M35" s="42"/>
      <c r="N35" s="42"/>
    </row>
    <row r="36" spans="1:14" x14ac:dyDescent="0.3">
      <c r="A36" s="42"/>
      <c r="B36" s="42"/>
      <c r="C36" s="42"/>
      <c r="D36" s="42"/>
      <c r="E36" s="42"/>
      <c r="F36" s="42"/>
      <c r="G36" s="42"/>
      <c r="H36" s="42"/>
      <c r="I36" s="42"/>
      <c r="J36" s="42"/>
      <c r="K36" s="42"/>
      <c r="L36" s="42"/>
      <c r="M36" s="42"/>
      <c r="N36" s="42"/>
    </row>
    <row r="37" spans="1:14" x14ac:dyDescent="0.3">
      <c r="A37" s="42"/>
      <c r="B37" s="42"/>
      <c r="C37" s="42"/>
      <c r="D37" s="42"/>
      <c r="E37" s="42"/>
      <c r="F37" s="42"/>
      <c r="G37" s="42"/>
      <c r="H37" s="42"/>
      <c r="I37" s="42"/>
      <c r="J37" s="42"/>
      <c r="K37" s="42"/>
      <c r="L37" s="42"/>
      <c r="M37" s="42"/>
      <c r="N37" s="42"/>
    </row>
    <row r="38" spans="1:14" x14ac:dyDescent="0.3">
      <c r="A38" s="42"/>
      <c r="B38" s="42"/>
      <c r="C38" s="42"/>
      <c r="D38" s="42"/>
      <c r="E38" s="42"/>
      <c r="F38" s="42"/>
      <c r="G38" s="42"/>
      <c r="H38" s="42"/>
      <c r="I38" s="42"/>
      <c r="J38" s="42"/>
      <c r="K38" s="42"/>
      <c r="L38" s="42"/>
      <c r="M38" s="42"/>
      <c r="N38" s="42"/>
    </row>
    <row r="39" spans="1:14" x14ac:dyDescent="0.3">
      <c r="A39" s="42"/>
      <c r="B39" s="42"/>
      <c r="C39" s="42"/>
      <c r="D39" s="42"/>
      <c r="E39" s="42"/>
      <c r="F39" s="42"/>
      <c r="G39" s="42"/>
      <c r="H39" s="42"/>
      <c r="I39" s="42"/>
      <c r="J39" s="42"/>
      <c r="K39" s="42"/>
      <c r="L39" s="42"/>
      <c r="M39" s="42"/>
      <c r="N39" s="42"/>
    </row>
    <row r="40" spans="1:14" x14ac:dyDescent="0.3">
      <c r="A40" s="42"/>
      <c r="B40" s="42"/>
      <c r="C40" s="42"/>
      <c r="D40" s="42"/>
      <c r="E40" s="42"/>
      <c r="F40" s="42"/>
      <c r="G40" s="42"/>
      <c r="H40" s="42"/>
      <c r="I40" s="42"/>
      <c r="J40" s="42"/>
      <c r="K40" s="42"/>
      <c r="L40" s="42"/>
      <c r="M40" s="42"/>
      <c r="N40" s="42"/>
    </row>
    <row r="41" spans="1:14" x14ac:dyDescent="0.3">
      <c r="A41" s="42"/>
      <c r="B41" s="42"/>
      <c r="C41" s="42"/>
      <c r="D41" s="42"/>
      <c r="E41" s="42"/>
      <c r="F41" s="42"/>
      <c r="G41" s="42"/>
      <c r="H41" s="42"/>
      <c r="I41" s="42"/>
      <c r="J41" s="42"/>
      <c r="K41" s="42"/>
      <c r="L41" s="42"/>
      <c r="M41" s="42"/>
      <c r="N41" s="42"/>
    </row>
    <row r="42" spans="1:14" x14ac:dyDescent="0.3">
      <c r="A42" s="42"/>
      <c r="B42" s="42"/>
      <c r="C42" s="42"/>
      <c r="D42" s="42"/>
      <c r="E42" s="42"/>
      <c r="F42" s="42"/>
      <c r="G42" s="42"/>
      <c r="H42" s="42"/>
      <c r="I42" s="42"/>
      <c r="J42" s="42"/>
      <c r="K42" s="42"/>
      <c r="L42" s="42"/>
      <c r="M42" s="42"/>
      <c r="N42" s="42"/>
    </row>
    <row r="43" spans="1:14" x14ac:dyDescent="0.3">
      <c r="A43" s="42"/>
      <c r="B43" s="42"/>
      <c r="C43" s="42"/>
      <c r="D43" s="42"/>
      <c r="E43" s="42"/>
      <c r="F43" s="42"/>
      <c r="G43" s="42"/>
      <c r="H43" s="42"/>
      <c r="I43" s="42"/>
      <c r="J43" s="42"/>
      <c r="K43" s="42"/>
      <c r="L43" s="42"/>
      <c r="M43" s="42"/>
      <c r="N43" s="42"/>
    </row>
    <row r="44" spans="1:14" x14ac:dyDescent="0.3">
      <c r="A44" s="42"/>
      <c r="B44" s="42"/>
      <c r="C44" s="42"/>
      <c r="D44" s="42"/>
      <c r="E44" s="42"/>
      <c r="F44" s="42"/>
      <c r="G44" s="42"/>
      <c r="H44" s="42"/>
      <c r="I44" s="42"/>
      <c r="J44" s="42"/>
      <c r="K44" s="42"/>
      <c r="L44" s="42"/>
      <c r="M44" s="42"/>
      <c r="N44" s="42"/>
    </row>
    <row r="45" spans="1:14" x14ac:dyDescent="0.3">
      <c r="A45" s="42"/>
      <c r="B45" s="42"/>
      <c r="C45" s="42"/>
      <c r="D45" s="42"/>
      <c r="E45" s="42"/>
      <c r="F45" s="42"/>
      <c r="G45" s="42"/>
      <c r="H45" s="42"/>
      <c r="I45" s="42"/>
      <c r="J45" s="42"/>
      <c r="K45" s="42"/>
      <c r="L45" s="42"/>
      <c r="M45" s="42"/>
      <c r="N45" s="42"/>
    </row>
  </sheetData>
  <mergeCells count="7">
    <mergeCell ref="A1:C1"/>
    <mergeCell ref="B7:D7"/>
    <mergeCell ref="B2:C2"/>
    <mergeCell ref="B3:C3"/>
    <mergeCell ref="B4:C4"/>
    <mergeCell ref="B5:C5"/>
    <mergeCell ref="B6:C6"/>
  </mergeCells>
  <pageMargins left="0.7" right="0.7" top="0.75" bottom="0.75" header="0.3" footer="0.3"/>
  <pageSetup paperSize="9" scale="58" fitToHeight="0" orientation="landscape"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pageSetUpPr fitToPage="1"/>
  </sheetPr>
  <dimension ref="A1:H7"/>
  <sheetViews>
    <sheetView zoomScale="80" zoomScaleNormal="80" workbookViewId="0">
      <selection activeCell="B5" sqref="B5:C5"/>
    </sheetView>
  </sheetViews>
  <sheetFormatPr defaultColWidth="9.21875" defaultRowHeight="14.4" x14ac:dyDescent="0.3"/>
  <cols>
    <col min="1" max="1" width="21.77734375" style="49" customWidth="1"/>
    <col min="2" max="4" width="15.77734375" style="49" customWidth="1"/>
    <col min="5" max="16384" width="9.21875" style="49"/>
  </cols>
  <sheetData>
    <row r="1" spans="1:8" ht="31.8" thickBot="1" x14ac:dyDescent="0.65">
      <c r="A1" s="175" t="s">
        <v>74</v>
      </c>
      <c r="B1" s="175"/>
      <c r="C1" s="175"/>
      <c r="D1" s="116"/>
    </row>
    <row r="2" spans="1:8" x14ac:dyDescent="0.3">
      <c r="A2" s="33" t="s">
        <v>17</v>
      </c>
      <c r="B2" s="218" t="str">
        <f>CONCATENATE(ExpID,"-",StnNum,"-",StnDay)</f>
        <v>KF2018-6-1</v>
      </c>
      <c r="C2" s="218"/>
      <c r="D2" s="75"/>
    </row>
    <row r="3" spans="1:8" x14ac:dyDescent="0.3">
      <c r="A3" s="34" t="s">
        <v>153</v>
      </c>
      <c r="B3" s="219"/>
      <c r="C3" s="219"/>
      <c r="D3" s="79"/>
    </row>
    <row r="4" spans="1:8" x14ac:dyDescent="0.3">
      <c r="A4" s="34" t="s">
        <v>4</v>
      </c>
      <c r="B4" s="192">
        <f>ObsDate</f>
        <v>43210</v>
      </c>
      <c r="C4" s="192"/>
      <c r="D4" s="79"/>
    </row>
    <row r="5" spans="1:8" x14ac:dyDescent="0.3">
      <c r="A5" s="35" t="s">
        <v>98</v>
      </c>
      <c r="B5" s="220"/>
      <c r="C5" s="220"/>
      <c r="D5" s="79"/>
    </row>
    <row r="6" spans="1:8" x14ac:dyDescent="0.3">
      <c r="A6" s="35" t="s">
        <v>125</v>
      </c>
      <c r="B6" s="236"/>
      <c r="C6" s="236"/>
      <c r="D6" s="79"/>
      <c r="E6" s="76"/>
      <c r="F6" s="76"/>
      <c r="G6" s="78"/>
      <c r="H6" s="77"/>
    </row>
    <row r="7" spans="1:8" ht="30" customHeight="1" thickBot="1" x14ac:dyDescent="0.35">
      <c r="A7" s="36" t="s">
        <v>16</v>
      </c>
      <c r="B7" s="215"/>
      <c r="C7" s="216"/>
      <c r="D7" s="217"/>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
    <tabColor rgb="FF7030A0"/>
    <pageSetUpPr fitToPage="1"/>
  </sheetPr>
  <dimension ref="A1:O27"/>
  <sheetViews>
    <sheetView workbookViewId="0">
      <selection activeCell="F22" sqref="F22"/>
    </sheetView>
  </sheetViews>
  <sheetFormatPr defaultRowHeight="14.4" x14ac:dyDescent="0.3"/>
  <cols>
    <col min="1" max="1" width="22.77734375" bestFit="1" customWidth="1"/>
    <col min="2" max="2" width="24.77734375" bestFit="1" customWidth="1"/>
    <col min="3" max="3" width="62.21875" bestFit="1" customWidth="1"/>
    <col min="4" max="4" width="14.44140625" bestFit="1" customWidth="1"/>
    <col min="5" max="5" width="12.44140625" customWidth="1"/>
    <col min="7" max="15" width="9.21875" style="2"/>
  </cols>
  <sheetData>
    <row r="1" spans="1:15" s="1" customFormat="1" x14ac:dyDescent="0.3">
      <c r="A1" s="3" t="s">
        <v>20</v>
      </c>
      <c r="B1" s="3" t="s">
        <v>21</v>
      </c>
      <c r="C1" s="3" t="s">
        <v>12</v>
      </c>
      <c r="D1" s="3" t="s">
        <v>76</v>
      </c>
      <c r="E1" s="3" t="s">
        <v>84</v>
      </c>
      <c r="F1" s="3" t="s">
        <v>183</v>
      </c>
      <c r="G1" s="24"/>
      <c r="H1" s="24"/>
      <c r="I1" s="24"/>
      <c r="J1" s="24"/>
      <c r="K1" s="2"/>
      <c r="L1" s="2"/>
      <c r="M1" s="2"/>
      <c r="N1" s="2"/>
      <c r="O1" s="2"/>
    </row>
    <row r="2" spans="1:15" x14ac:dyDescent="0.3">
      <c r="A2" t="s">
        <v>45</v>
      </c>
      <c r="B2" t="s">
        <v>22</v>
      </c>
      <c r="C2" t="s">
        <v>13</v>
      </c>
      <c r="D2" t="s">
        <v>77</v>
      </c>
      <c r="E2" t="s">
        <v>85</v>
      </c>
      <c r="F2" t="s">
        <v>184</v>
      </c>
    </row>
    <row r="3" spans="1:15" x14ac:dyDescent="0.3">
      <c r="A3" t="s">
        <v>46</v>
      </c>
      <c r="B3" t="s">
        <v>23</v>
      </c>
      <c r="C3" t="s">
        <v>24</v>
      </c>
      <c r="D3" t="s">
        <v>78</v>
      </c>
      <c r="E3" t="s">
        <v>86</v>
      </c>
      <c r="F3" t="s">
        <v>185</v>
      </c>
    </row>
    <row r="4" spans="1:15" x14ac:dyDescent="0.3">
      <c r="A4" t="s">
        <v>47</v>
      </c>
      <c r="B4" t="s">
        <v>11</v>
      </c>
      <c r="C4" t="s">
        <v>25</v>
      </c>
      <c r="D4" t="s">
        <v>79</v>
      </c>
      <c r="E4" t="s">
        <v>87</v>
      </c>
    </row>
    <row r="5" spans="1:15" x14ac:dyDescent="0.3">
      <c r="A5" t="s">
        <v>48</v>
      </c>
      <c r="B5" t="s">
        <v>26</v>
      </c>
      <c r="C5" t="s">
        <v>27</v>
      </c>
      <c r="D5" t="s">
        <v>80</v>
      </c>
      <c r="E5" t="s">
        <v>88</v>
      </c>
    </row>
    <row r="6" spans="1:15" x14ac:dyDescent="0.3">
      <c r="A6" t="s">
        <v>49</v>
      </c>
      <c r="C6" t="s">
        <v>28</v>
      </c>
      <c r="D6" t="s">
        <v>81</v>
      </c>
      <c r="E6" t="s">
        <v>89</v>
      </c>
    </row>
    <row r="7" spans="1:15" x14ac:dyDescent="0.3">
      <c r="A7" t="s">
        <v>50</v>
      </c>
      <c r="C7" t="s">
        <v>29</v>
      </c>
      <c r="D7" t="s">
        <v>82</v>
      </c>
      <c r="E7" t="s">
        <v>90</v>
      </c>
    </row>
    <row r="8" spans="1:15" x14ac:dyDescent="0.3">
      <c r="A8" t="s">
        <v>51</v>
      </c>
      <c r="C8" t="s">
        <v>30</v>
      </c>
      <c r="D8" t="s">
        <v>83</v>
      </c>
      <c r="E8" t="s">
        <v>91</v>
      </c>
    </row>
    <row r="9" spans="1:15" x14ac:dyDescent="0.3">
      <c r="A9" t="s">
        <v>52</v>
      </c>
      <c r="C9" t="s">
        <v>31</v>
      </c>
      <c r="D9" t="s">
        <v>97</v>
      </c>
      <c r="E9" t="s">
        <v>92</v>
      </c>
    </row>
    <row r="10" spans="1:15" x14ac:dyDescent="0.3">
      <c r="A10" t="s">
        <v>53</v>
      </c>
      <c r="C10" t="s">
        <v>32</v>
      </c>
      <c r="E10" t="s">
        <v>93</v>
      </c>
    </row>
    <row r="11" spans="1:15" x14ac:dyDescent="0.3">
      <c r="A11" t="s">
        <v>54</v>
      </c>
      <c r="C11" t="s">
        <v>33</v>
      </c>
      <c r="E11" t="s">
        <v>94</v>
      </c>
    </row>
    <row r="12" spans="1:15" x14ac:dyDescent="0.3">
      <c r="A12" t="s">
        <v>55</v>
      </c>
      <c r="C12" t="s">
        <v>34</v>
      </c>
      <c r="E12" t="s">
        <v>95</v>
      </c>
    </row>
    <row r="13" spans="1:15" x14ac:dyDescent="0.3">
      <c r="A13" t="s">
        <v>56</v>
      </c>
      <c r="C13" t="s">
        <v>35</v>
      </c>
      <c r="E13" t="s">
        <v>96</v>
      </c>
    </row>
    <row r="14" spans="1:15" x14ac:dyDescent="0.3">
      <c r="A14" s="1" t="s">
        <v>6</v>
      </c>
      <c r="C14" t="s">
        <v>36</v>
      </c>
    </row>
    <row r="15" spans="1:15" x14ac:dyDescent="0.3">
      <c r="A15" s="1" t="s">
        <v>68</v>
      </c>
      <c r="C15" t="s">
        <v>37</v>
      </c>
    </row>
    <row r="16" spans="1:15" x14ac:dyDescent="0.3">
      <c r="A16" s="1" t="s">
        <v>67</v>
      </c>
      <c r="C16" t="s">
        <v>38</v>
      </c>
    </row>
    <row r="17" spans="1:6" x14ac:dyDescent="0.3">
      <c r="A17" t="s">
        <v>57</v>
      </c>
    </row>
    <row r="18" spans="1:6" x14ac:dyDescent="0.3">
      <c r="A18" t="s">
        <v>58</v>
      </c>
    </row>
    <row r="19" spans="1:6" x14ac:dyDescent="0.3">
      <c r="A19" t="s">
        <v>59</v>
      </c>
    </row>
    <row r="20" spans="1:6" x14ac:dyDescent="0.3">
      <c r="A20" t="s">
        <v>60</v>
      </c>
    </row>
    <row r="21" spans="1:6" x14ac:dyDescent="0.3">
      <c r="A21" t="s">
        <v>61</v>
      </c>
    </row>
    <row r="22" spans="1:6" x14ac:dyDescent="0.3">
      <c r="A22" t="s">
        <v>62</v>
      </c>
    </row>
    <row r="23" spans="1:6" x14ac:dyDescent="0.3">
      <c r="A23" t="s">
        <v>63</v>
      </c>
    </row>
    <row r="24" spans="1:6" x14ac:dyDescent="0.3">
      <c r="A24" t="s">
        <v>64</v>
      </c>
    </row>
    <row r="25" spans="1:6" x14ac:dyDescent="0.3">
      <c r="A25" t="s">
        <v>65</v>
      </c>
    </row>
    <row r="26" spans="1:6" x14ac:dyDescent="0.3">
      <c r="A26" t="s">
        <v>66</v>
      </c>
    </row>
    <row r="27" spans="1:6" x14ac:dyDescent="0.3">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22</vt:i4>
      </vt:variant>
    </vt:vector>
  </HeadingPairs>
  <TitlesOfParts>
    <vt:vector size="35" baseType="lpstr">
      <vt:lpstr>Station Overview</vt:lpstr>
      <vt:lpstr>EM-31</vt:lpstr>
      <vt:lpstr>Temperature Core</vt:lpstr>
      <vt:lpstr>Salinity Core</vt:lpstr>
      <vt:lpstr>Chemistry Core</vt:lpstr>
      <vt:lpstr>Core for plastic</vt:lpstr>
      <vt:lpstr>Density Core</vt:lpstr>
      <vt:lpstr>Archive Core</vt:lpstr>
      <vt:lpstr>TriOS</vt:lpstr>
      <vt:lpstr>ASD</vt:lpstr>
      <vt:lpstr>Black Carbon</vt:lpstr>
      <vt:lpstr>CTD</vt:lpstr>
      <vt:lpstr>Lists</vt:lpstr>
      <vt:lpstr>asdfasdf</vt:lpstr>
      <vt:lpstr>ExpID</vt:lpstr>
      <vt:lpstr>GeneralConditions</vt:lpstr>
      <vt:lpstr>ObsDate</vt:lpstr>
      <vt:lpstr>'Archive Core'!Print_Area</vt:lpstr>
      <vt:lpstr>ASD!Print_Area</vt:lpstr>
      <vt:lpstr>'Black Carbon'!Print_Area</vt:lpstr>
      <vt:lpstr>'Core for plastic'!Print_Area</vt:lpstr>
      <vt:lpstr>CTD!Print_Area</vt:lpstr>
      <vt:lpstr>'Density Core'!Print_Area</vt:lpstr>
      <vt:lpstr>'EM-31'!Print_Area</vt:lpstr>
      <vt:lpstr>'Salinity Core'!Print_Area</vt:lpstr>
      <vt:lpstr>'Station Overview'!Print_Area</vt:lpstr>
      <vt:lpstr>'Temperature Core'!Print_Area</vt:lpstr>
      <vt:lpstr>TriOS!Print_Area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Dmitry Divine</cp:lastModifiedBy>
  <cp:lastPrinted>2011-02-07T12:20:41Z</cp:lastPrinted>
  <dcterms:created xsi:type="dcterms:W3CDTF">2011-01-27T20:27:49Z</dcterms:created>
  <dcterms:modified xsi:type="dcterms:W3CDTF">2026-04-10T13:44:53Z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