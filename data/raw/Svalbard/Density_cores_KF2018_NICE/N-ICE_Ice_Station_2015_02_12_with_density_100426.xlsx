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valbard\Density_cores_KF2018_NICE\"/>
    </mc:Choice>
  </mc:AlternateContent>
  <xr:revisionPtr revIDLastSave="0" documentId="13_ncr:1_{A5FE1ADF-0948-4E89-AB0E-064BD3BBB502}" xr6:coauthVersionLast="47" xr6:coauthVersionMax="47" xr10:uidLastSave="{00000000-0000-0000-0000-000000000000}"/>
  <bookViews>
    <workbookView xWindow="19095" yWindow="0" windowWidth="19410" windowHeight="20985" tabRatio="867" xr2:uid="{00000000-000D-0000-FFFF-FFFF00000000}"/>
  </bookViews>
  <sheets>
    <sheet name="Station Overview" sheetId="1" r:id="rId1"/>
    <sheet name="Snowstakes Hotwires" sheetId="18" r:id="rId2"/>
    <sheet name="Thickness Drilling" sheetId="3" r:id="rId3"/>
    <sheet name="Temperature Core" sheetId="15" r:id="rId4"/>
    <sheet name="Archive Core" sheetId="16" r:id="rId5"/>
    <sheet name="Density Core_old" sheetId="14" r:id="rId6"/>
    <sheet name="Density Core" sheetId="19" r:id="rId7"/>
    <sheet name="Salinity Core" sheetId="4" r:id="rId8"/>
    <sheet name="Lists" sheetId="13" r:id="rId9"/>
  </sheets>
  <externalReferences>
    <externalReference r:id="rId10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4">'Archive Core'!$A$1:$H$46</definedName>
    <definedName name="_xlnm.Print_Area" localSheetId="6">'Density Core'!$A$1:$K$36</definedName>
    <definedName name="_xlnm.Print_Area" localSheetId="5">'Density Core_old'!$A$1:$K$36</definedName>
    <definedName name="_xlnm.Print_Area" localSheetId="7">'Salinity Core'!$A$1:$N$41</definedName>
    <definedName name="_xlnm.Print_Area" localSheetId="0">'Station Overview'!$A$1:$F$37</definedName>
    <definedName name="_xlnm.Print_Area" localSheetId="3">'Temperature Core'!$A$1:$H$46</definedName>
    <definedName name="_xlnm.Print_Area" localSheetId="2">'Thickness Drilling'!$A$1:$H$26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19" l="1"/>
  <c r="G28" i="19"/>
  <c r="H27" i="19"/>
  <c r="G27" i="19"/>
  <c r="H26" i="19"/>
  <c r="G26" i="19"/>
  <c r="H25" i="19"/>
  <c r="G25" i="19"/>
  <c r="H24" i="19"/>
  <c r="G24" i="19"/>
  <c r="H23" i="19"/>
  <c r="G23" i="19"/>
  <c r="B4" i="19" l="1"/>
  <c r="B2" i="19"/>
  <c r="B4" i="14"/>
  <c r="B2" i="14"/>
  <c r="B4" i="4"/>
  <c r="B2" i="4"/>
  <c r="B4" i="16"/>
  <c r="B2" i="16"/>
  <c r="D20" i="16" l="1"/>
  <c r="B2" i="15" l="1"/>
  <c r="B4" i="15"/>
  <c r="M12" i="4"/>
  <c r="G20" i="15"/>
</calcChain>
</file>

<file path=xl/sharedStrings.xml><?xml version="1.0" encoding="utf-8"?>
<sst xmlns="http://schemas.openxmlformats.org/spreadsheetml/2006/main" count="398" uniqueCount="235">
  <si>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</si>
  <si>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</si>
  <si>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</si>
  <si>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</si>
  <si>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</si>
  <si>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</si>
  <si>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</si>
  <si>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</si>
  <si>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</si>
  <si>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</si>
  <si>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</si>
  <si>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</si>
  <si>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</si>
  <si>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</si>
  <si>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</si>
  <si>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</si>
  <si>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</si>
  <si>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</si>
  <si>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</si>
  <si>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</si>
  <si>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</si>
  <si>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</si>
  <si>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</si>
  <si>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</si>
  <si>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</si>
  <si>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</si>
  <si>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</si>
  <si>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</si>
  <si>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</si>
  <si>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</si>
  <si>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</si>
  <si>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</si>
  <si>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</si>
  <si>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</si>
  <si>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</si>
  <si>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</si>
  <si>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</si>
  <si>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</si>
  <si>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</si>
  <si>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</si>
  <si>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</si>
  <si>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</si>
  <si>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</si>
  <si>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</si>
  <si>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</si>
  <si>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</si>
  <si>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</si>
  <si>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</si>
  <si>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</si>
  <si>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</si>
  <si>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</si>
  <si>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</si>
  <si>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</si>
  <si>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</si>
  <si>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</si>
  <si>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</si>
  <si>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</si>
  <si>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</si>
  <si>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</si>
  <si>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</si>
  <si>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</si>
  <si>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</si>
  <si>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</si>
  <si>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</si>
  <si>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</si>
  <si>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</si>
  <si>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</si>
  <si>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</si>
  <si>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</si>
  <si>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</si>
  <si>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</si>
  <si>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</si>
  <si>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Temperatures: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</si>
  <si>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</si>
  <si>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</si>
  <si>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</si>
  <si>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</si>
  <si>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</si>
  <si>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</si>
  <si>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</si>
  <si>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</si>
  <si>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</si>
  <si>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</si>
  <si>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</si>
  <si>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</si>
  <si>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</si>
  <si>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</si>
  <si>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</si>
  <si>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</si>
  <si>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</si>
  <si>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</si>
  <si>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</si>
  <si>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</si>
  <si>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</si>
  <si>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</si>
  <si>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</si>
  <si>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</si>
  <si>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</si>
  <si>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</si>
  <si>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</si>
  <si>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</si>
  <si>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</si>
  <si>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</si>
  <si>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</si>
  <si>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t>Weight [g]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</si>
  <si>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</si>
  <si>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</si>
  <si>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</si>
  <si>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</si>
  <si>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</si>
  <si>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</si>
  <si>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</si>
  <si>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</si>
  <si>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</si>
  <si>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</si>
  <si>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</si>
  <si>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</si>
  <si>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</si>
  <si>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</si>
  <si>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</si>
  <si>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</si>
  <si>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</si>
  <si>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</si>
  <si>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</si>
  <si>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</si>
  <si>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</si>
  <si>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</si>
  <si>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</si>
  <si>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</si>
  <si>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</si>
  <si>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</si>
  <si>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</si>
  <si>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</si>
  <si>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</si>
  <si>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</si>
  <si>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</si>
  <si>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</si>
  <si>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</si>
  <si>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</si>
  <si>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Thickness 1 [cm]</t>
  </si>
  <si>
    <t>Thickness 2 [cm]</t>
  </si>
  <si>
    <t>Mean Thickness [cm]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</si>
  <si>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</si>
  <si>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</si>
  <si>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</si>
  <si>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</si>
  <si>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</si>
  <si>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</si>
  <si>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</si>
  <si>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</si>
  <si>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</si>
  <si>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</si>
  <si>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</si>
  <si>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t>Total core length [cm]</t>
  </si>
  <si>
    <t>Ice depth (from top) [cm]</t>
  </si>
  <si>
    <t>Archive Core</t>
  </si>
  <si>
    <t>GPS coordinate</t>
  </si>
  <si>
    <t>Thickness 3 [cm]</t>
  </si>
  <si>
    <t>Thickness 4 [cm]</t>
  </si>
  <si>
    <t>NICE</t>
  </si>
  <si>
    <t>Jen, Glen</t>
  </si>
  <si>
    <t>Field 1 (start of FYI survey)</t>
  </si>
  <si>
    <t>HW</t>
  </si>
  <si>
    <t>reading</t>
  </si>
  <si>
    <t>A</t>
  </si>
  <si>
    <t>B</t>
  </si>
  <si>
    <t>C</t>
  </si>
  <si>
    <t>D</t>
  </si>
  <si>
    <t>Snow on HW</t>
  </si>
  <si>
    <t>29m 28.0cm</t>
  </si>
  <si>
    <t>25m 47.2cm</t>
  </si>
  <si>
    <t>13m 39.9cm</t>
  </si>
  <si>
    <t>31m 42.7cm</t>
  </si>
  <si>
    <t>28m 45cm</t>
  </si>
  <si>
    <t>24m 56cm</t>
  </si>
  <si>
    <t>12m 43cm</t>
  </si>
  <si>
    <t>30m 36cm</t>
  </si>
  <si>
    <t>Field 2 (far end FYI survey)</t>
  </si>
  <si>
    <t>stakes</t>
  </si>
  <si>
    <t>cm</t>
  </si>
  <si>
    <t>Hot wires here are cursed &amp; do not move</t>
  </si>
  <si>
    <t>No stakes here</t>
  </si>
  <si>
    <t>doesnt move</t>
  </si>
  <si>
    <t>19m 19.2cm</t>
  </si>
  <si>
    <t>23m 13.8cm</t>
  </si>
  <si>
    <t>27m 17.1cm</t>
  </si>
  <si>
    <t>2m 17cm</t>
  </si>
  <si>
    <t>18m 25cm</t>
  </si>
  <si>
    <t>22m 27cm</t>
  </si>
  <si>
    <t>26m 35cm</t>
  </si>
  <si>
    <t>Field 3 (refrozen lead)</t>
  </si>
  <si>
    <t>Field 4 (MYI)</t>
  </si>
  <si>
    <t>4m 87.9cm</t>
  </si>
  <si>
    <t>NB something not quite right, didnt go down again</t>
  </si>
  <si>
    <t>7m 20.8cm</t>
  </si>
  <si>
    <t>9m 17.6cm</t>
  </si>
  <si>
    <t>15m 15.5cm</t>
  </si>
  <si>
    <t>4m 69cm</t>
  </si>
  <si>
    <t>6m 53cm</t>
  </si>
  <si>
    <t>8m 78cm</t>
  </si>
  <si>
    <t>14m 68cm</t>
  </si>
  <si>
    <t>coring site in the lead (Lake District)</t>
  </si>
  <si>
    <t>15:45-16:15</t>
  </si>
  <si>
    <t>beginning of the line: N82 05.202, E19 16.151</t>
  </si>
  <si>
    <t>end of the line: N82 04.945, E19 16.138</t>
  </si>
  <si>
    <t>Polona Itkin, Jari Haapala</t>
  </si>
  <si>
    <t>Coring at the beginning of the line</t>
  </si>
  <si>
    <t>Temperature was sampled from one of the 9cm biology cores (analyzed by Jago)</t>
  </si>
  <si>
    <t>Polona Itkin</t>
  </si>
  <si>
    <t>Coring site a t the lead in Lake District</t>
  </si>
  <si>
    <t>GPS position:</t>
  </si>
  <si>
    <t>Thickness drilling over reforzen lead, every 5 m, no snow, freeboard constantly about 1 cm, both maximal thickess locations exibit visual evidences of rafting</t>
  </si>
  <si>
    <t>N82 05.457, E19 15.183</t>
  </si>
  <si>
    <t>no</t>
  </si>
  <si>
    <t>no snow</t>
  </si>
  <si>
    <t>yes</t>
  </si>
  <si>
    <t>Taken by Paul from one of the bilogy or tracer core</t>
  </si>
  <si>
    <t>A12</t>
  </si>
  <si>
    <t>A13</t>
  </si>
  <si>
    <t>A14</t>
  </si>
  <si>
    <t>This is the archive core from the lead ice analyzed for densimetry using hydrostatic weighing on 10.04.2026. D.Divine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</si>
  <si>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</si>
  <si>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</si>
  <si>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</si>
  <si>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</si>
  <si>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</si>
  <si>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J16</t>
  </si>
  <si>
    <t>J17</t>
  </si>
  <si>
    <t>J18</t>
  </si>
  <si>
    <t>J19</t>
  </si>
  <si>
    <t>B9</t>
  </si>
  <si>
    <t>B16</t>
  </si>
  <si>
    <t>1 cm skeletal layer</t>
  </si>
  <si>
    <t>temperature lab</t>
  </si>
  <si>
    <t>density parafine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</si>
</sst>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°C&quot;"/>
    <numFmt numFmtId="170" formatCode="&quot;Yes&quot;;&quot;Yes&quot;;&quot;No&quot;"/>
    <numFmt numFmtId="171" formatCode="0.00&quot; m&quot;"/>
    <numFmt numFmtId="172" formatCode="0&quot; cm&quot;"/>
    <numFmt numFmtId="173" formatCode="0&quot; cm²&quot;"/>
    <numFmt numFmtId="174" formatCode="0.00&quot; °C&quot;"/>
  </numFmts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6" applyNumberFormat="0" applyAlignment="0" applyProtection="0"/>
    <xf numFmtId="164" fontId="14" fillId="0" borderId="0" applyFont="0" applyFill="0" applyBorder="0" applyAlignment="0" applyProtection="0"/>
  </cellStyleXfs>
  <cellXfs count="193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6" xfId="2"/>
    <xf numFmtId="0" fontId="5" fillId="3" borderId="7" xfId="0" applyFont="1" applyFill="1" applyBorder="1"/>
    <xf numFmtId="0" fontId="5" fillId="3" borderId="8" xfId="0" applyFont="1" applyFill="1" applyBorder="1"/>
    <xf numFmtId="0" fontId="5" fillId="3" borderId="7" xfId="0" applyFont="1" applyFill="1" applyBorder="1" applyAlignment="1">
      <alignment vertical="top"/>
    </xf>
    <xf numFmtId="0" fontId="0" fillId="3" borderId="7" xfId="0" applyFill="1" applyBorder="1"/>
    <xf numFmtId="167" fontId="0" fillId="3" borderId="7" xfId="0" applyNumberFormat="1" applyFill="1" applyBorder="1"/>
    <xf numFmtId="0" fontId="0" fillId="3" borderId="9" xfId="0" applyFill="1" applyBorder="1"/>
    <xf numFmtId="0" fontId="3" fillId="3" borderId="7" xfId="0" applyFont="1" applyFill="1" applyBorder="1" applyAlignment="1">
      <alignment horizontal="center" wrapText="1"/>
    </xf>
    <xf numFmtId="49" fontId="0" fillId="3" borderId="13" xfId="0" applyNumberFormat="1" applyFill="1" applyBorder="1" applyAlignment="1">
      <alignment wrapText="1"/>
    </xf>
    <xf numFmtId="49" fontId="0" fillId="3" borderId="15" xfId="0" applyNumberFormat="1" applyFill="1" applyBorder="1" applyAlignment="1">
      <alignment wrapText="1"/>
    </xf>
    <xf numFmtId="49" fontId="0" fillId="3" borderId="18" xfId="0" applyNumberFormat="1" applyFill="1" applyBorder="1" applyAlignment="1">
      <alignment wrapText="1"/>
    </xf>
    <xf numFmtId="0" fontId="3" fillId="3" borderId="22" xfId="0" applyFont="1" applyFill="1" applyBorder="1" applyAlignment="1">
      <alignment vertical="top" wrapText="1"/>
    </xf>
    <xf numFmtId="0" fontId="0" fillId="3" borderId="10" xfId="0" applyFill="1" applyBorder="1"/>
    <xf numFmtId="0" fontId="0" fillId="3" borderId="13" xfId="0" applyFill="1" applyBorder="1"/>
    <xf numFmtId="0" fontId="0" fillId="3" borderId="19" xfId="0" applyFill="1" applyBorder="1"/>
    <xf numFmtId="0" fontId="0" fillId="3" borderId="15" xfId="0" applyFill="1" applyBorder="1"/>
    <xf numFmtId="167" fontId="0" fillId="3" borderId="16" xfId="0" applyNumberFormat="1" applyFill="1" applyBorder="1"/>
    <xf numFmtId="0" fontId="0" fillId="3" borderId="13" xfId="0" applyFill="1" applyBorder="1" applyAlignment="1">
      <alignment vertical="top"/>
    </xf>
    <xf numFmtId="0" fontId="0" fillId="3" borderId="15" xfId="0" applyFill="1" applyBorder="1" applyAlignment="1">
      <alignment vertical="top"/>
    </xf>
    <xf numFmtId="49" fontId="8" fillId="4" borderId="6" xfId="2" applyNumberFormat="1"/>
    <xf numFmtId="0" fontId="7" fillId="3" borderId="10" xfId="0" applyFont="1" applyFill="1" applyBorder="1"/>
    <xf numFmtId="0" fontId="7" fillId="3" borderId="13" xfId="0" applyFont="1" applyFill="1" applyBorder="1"/>
    <xf numFmtId="0" fontId="7" fillId="3" borderId="29" xfId="0" applyFont="1" applyFill="1" applyBorder="1"/>
    <xf numFmtId="0" fontId="7" fillId="3" borderId="15" xfId="0" applyFont="1" applyFill="1" applyBorder="1" applyAlignment="1">
      <alignment vertical="top"/>
    </xf>
    <xf numFmtId="0" fontId="6" fillId="3" borderId="21" xfId="0" applyFont="1" applyFill="1" applyBorder="1" applyAlignment="1">
      <alignment horizontal="center" wrapText="1"/>
    </xf>
    <xf numFmtId="0" fontId="3" fillId="3" borderId="20" xfId="0" applyFont="1" applyFill="1" applyBorder="1" applyAlignment="1">
      <alignment horizontal="center" wrapText="1"/>
    </xf>
    <xf numFmtId="0" fontId="3" fillId="3" borderId="21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5" fillId="3" borderId="10" xfId="0" applyFont="1" applyFill="1" applyBorder="1"/>
    <xf numFmtId="0" fontId="5" fillId="3" borderId="13" xfId="0" applyFont="1" applyFill="1" applyBorder="1"/>
    <xf numFmtId="0" fontId="5" fillId="3" borderId="29" xfId="0" applyFont="1" applyFill="1" applyBorder="1"/>
    <xf numFmtId="0" fontId="5" fillId="3" borderId="15" xfId="0" applyFont="1" applyFill="1" applyBorder="1" applyAlignment="1">
      <alignment vertical="top"/>
    </xf>
    <xf numFmtId="172" fontId="0" fillId="3" borderId="17" xfId="0" applyNumberFormat="1" applyFill="1" applyBorder="1"/>
    <xf numFmtId="0" fontId="3" fillId="3" borderId="20" xfId="0" applyFont="1" applyFill="1" applyBorder="1"/>
    <xf numFmtId="0" fontId="3" fillId="3" borderId="22" xfId="0" applyFont="1" applyFill="1" applyBorder="1"/>
    <xf numFmtId="0" fontId="3" fillId="3" borderId="21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7" xfId="0" applyFill="1" applyBorder="1"/>
    <xf numFmtId="172" fontId="0" fillId="5" borderId="7" xfId="0" applyNumberFormat="1" applyFill="1" applyBorder="1" applyAlignment="1">
      <alignment horizontal="right"/>
    </xf>
    <xf numFmtId="172" fontId="0" fillId="3" borderId="7" xfId="0" applyNumberFormat="1" applyFill="1" applyBorder="1"/>
    <xf numFmtId="0" fontId="0" fillId="5" borderId="7" xfId="0" applyFill="1" applyBorder="1" applyProtection="1">
      <protection locked="0"/>
    </xf>
    <xf numFmtId="172" fontId="0" fillId="5" borderId="7" xfId="0" applyNumberFormat="1" applyFill="1" applyBorder="1" applyProtection="1">
      <protection locked="0"/>
    </xf>
    <xf numFmtId="0" fontId="0" fillId="6" borderId="20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3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7" xfId="0" applyFill="1" applyBorder="1"/>
    <xf numFmtId="0" fontId="0" fillId="7" borderId="25" xfId="0" applyFill="1" applyBorder="1"/>
    <xf numFmtId="0" fontId="0" fillId="7" borderId="26" xfId="0" applyFill="1" applyBorder="1"/>
    <xf numFmtId="20" fontId="0" fillId="7" borderId="26" xfId="0" applyNumberFormat="1" applyFill="1" applyBorder="1"/>
    <xf numFmtId="0" fontId="0" fillId="7" borderId="7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0" xfId="0" applyFill="1" applyBorder="1" applyAlignment="1">
      <alignment vertical="top"/>
    </xf>
    <xf numFmtId="0" fontId="0" fillId="7" borderId="0" xfId="0" applyFill="1" applyProtection="1">
      <protection locked="0"/>
    </xf>
    <xf numFmtId="14" fontId="0" fillId="5" borderId="23" xfId="0" applyNumberFormat="1" applyFill="1" applyBorder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4" xfId="0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7" xfId="0" applyFill="1" applyBorder="1" applyProtection="1">
      <protection locked="0"/>
    </xf>
    <xf numFmtId="0" fontId="0" fillId="5" borderId="19" xfId="0" applyFill="1" applyBorder="1" applyAlignment="1" applyProtection="1">
      <alignment horizontal="left" wrapText="1"/>
      <protection locked="0"/>
    </xf>
    <xf numFmtId="0" fontId="0" fillId="5" borderId="14" xfId="0" applyFill="1" applyBorder="1" applyAlignment="1" applyProtection="1">
      <alignment horizontal="left"/>
      <protection locked="0"/>
    </xf>
    <xf numFmtId="0" fontId="0" fillId="5" borderId="17" xfId="0" applyFill="1" applyBorder="1" applyAlignment="1" applyProtection="1">
      <alignment horizontal="left"/>
      <protection locked="0"/>
    </xf>
    <xf numFmtId="0" fontId="5" fillId="7" borderId="24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 applyAlignment="1">
      <alignment horizontal="right"/>
    </xf>
    <xf numFmtId="0" fontId="5" fillId="7" borderId="0" xfId="0" applyFont="1" applyFill="1"/>
    <xf numFmtId="0" fontId="5" fillId="7" borderId="28" xfId="0" applyFont="1" applyFill="1" applyBorder="1" applyAlignment="1">
      <alignment vertical="top"/>
    </xf>
    <xf numFmtId="0" fontId="3" fillId="7" borderId="0" xfId="0" applyFont="1" applyFill="1" applyAlignment="1">
      <alignment horizontal="center" wrapText="1"/>
    </xf>
    <xf numFmtId="171" fontId="0" fillId="5" borderId="9" xfId="0" applyNumberFormat="1" applyFill="1" applyBorder="1" applyProtection="1">
      <protection locked="0"/>
    </xf>
    <xf numFmtId="172" fontId="0" fillId="5" borderId="9" xfId="0" applyNumberFormat="1" applyFill="1" applyBorder="1" applyProtection="1">
      <protection locked="0"/>
    </xf>
    <xf numFmtId="0" fontId="0" fillId="5" borderId="9" xfId="0" applyFill="1" applyBorder="1" applyProtection="1">
      <protection locked="0"/>
    </xf>
    <xf numFmtId="171" fontId="0" fillId="5" borderId="7" xfId="0" applyNumberFormat="1" applyFill="1" applyBorder="1" applyProtection="1">
      <protection locked="0"/>
    </xf>
    <xf numFmtId="170" fontId="5" fillId="7" borderId="0" xfId="0" applyNumberFormat="1" applyFont="1" applyFill="1" applyAlignment="1">
      <alignment vertical="top" wrapText="1"/>
    </xf>
    <xf numFmtId="0" fontId="0" fillId="7" borderId="11" xfId="0" applyFill="1" applyBorder="1"/>
    <xf numFmtId="0" fontId="0" fillId="7" borderId="12" xfId="0" applyFill="1" applyBorder="1"/>
    <xf numFmtId="0" fontId="0" fillId="7" borderId="14" xfId="0" applyFill="1" applyBorder="1"/>
    <xf numFmtId="0" fontId="0" fillId="7" borderId="16" xfId="0" applyFill="1" applyBorder="1"/>
    <xf numFmtId="169" fontId="0" fillId="5" borderId="12" xfId="0" applyNumberFormat="1" applyFill="1" applyBorder="1" applyAlignment="1" applyProtection="1">
      <alignment horizontal="right"/>
      <protection locked="0"/>
    </xf>
    <xf numFmtId="169" fontId="0" fillId="5" borderId="14" xfId="0" applyNumberFormat="1" applyFill="1" applyBorder="1" applyAlignment="1" applyProtection="1">
      <alignment horizontal="right"/>
      <protection locked="0"/>
    </xf>
    <xf numFmtId="169" fontId="0" fillId="5" borderId="17" xfId="0" applyNumberFormat="1" applyFill="1" applyBorder="1" applyAlignment="1" applyProtection="1">
      <alignment horizontal="right"/>
      <protection locked="0"/>
    </xf>
    <xf numFmtId="172" fontId="0" fillId="5" borderId="12" xfId="0" applyNumberFormat="1" applyFill="1" applyBorder="1" applyAlignment="1" applyProtection="1">
      <alignment horizontal="right"/>
      <protection locked="0"/>
    </xf>
    <xf numFmtId="172" fontId="0" fillId="5" borderId="14" xfId="0" applyNumberFormat="1" applyFill="1" applyBorder="1" applyAlignment="1" applyProtection="1">
      <alignment horizontal="right"/>
      <protection locked="0"/>
    </xf>
    <xf numFmtId="172" fontId="0" fillId="5" borderId="17" xfId="0" applyNumberFormat="1" applyFill="1" applyBorder="1" applyAlignment="1" applyProtection="1">
      <alignment horizontal="right"/>
      <protection locked="0"/>
    </xf>
    <xf numFmtId="172" fontId="0" fillId="5" borderId="11" xfId="0" applyNumberFormat="1" applyFill="1" applyBorder="1" applyAlignment="1" applyProtection="1">
      <alignment horizontal="right"/>
      <protection locked="0"/>
    </xf>
    <xf numFmtId="1" fontId="0" fillId="5" borderId="7" xfId="0" applyNumberFormat="1" applyFill="1" applyBorder="1" applyAlignment="1" applyProtection="1">
      <alignment horizontal="right"/>
      <protection locked="0"/>
    </xf>
    <xf numFmtId="172" fontId="0" fillId="5" borderId="5" xfId="0" applyNumberFormat="1" applyFill="1" applyBorder="1" applyAlignment="1" applyProtection="1">
      <alignment horizontal="right"/>
      <protection locked="0"/>
    </xf>
    <xf numFmtId="172" fontId="0" fillId="5" borderId="2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2" fontId="0" fillId="5" borderId="9" xfId="0" applyNumberFormat="1" applyFill="1" applyBorder="1" applyAlignment="1" applyProtection="1">
      <alignment horizontal="right"/>
      <protection locked="0"/>
    </xf>
    <xf numFmtId="0" fontId="0" fillId="5" borderId="7" xfId="0" applyFill="1" applyBorder="1" applyAlignment="1" applyProtection="1">
      <alignment horizontal="center"/>
      <protection locked="0"/>
    </xf>
    <xf numFmtId="172" fontId="0" fillId="5" borderId="7" xfId="0" applyNumberFormat="1" applyFill="1" applyBorder="1" applyAlignment="1" applyProtection="1">
      <alignment horizontal="right"/>
      <protection locked="0"/>
    </xf>
    <xf numFmtId="172" fontId="0" fillId="5" borderId="7" xfId="3" applyNumberFormat="1" applyFont="1" applyFill="1" applyBorder="1" applyAlignment="1" applyProtection="1">
      <alignment horizontal="right"/>
      <protection locked="0"/>
    </xf>
    <xf numFmtId="2" fontId="0" fillId="5" borderId="7" xfId="0" applyNumberFormat="1" applyFill="1" applyBorder="1" applyAlignment="1" applyProtection="1">
      <alignment horizontal="center"/>
      <protection locked="0"/>
    </xf>
    <xf numFmtId="2" fontId="0" fillId="5" borderId="7" xfId="0" applyNumberFormat="1" applyFill="1" applyBorder="1" applyProtection="1">
      <protection locked="0"/>
    </xf>
    <xf numFmtId="169" fontId="0" fillId="5" borderId="7" xfId="0" applyNumberFormat="1" applyFill="1" applyBorder="1" applyProtection="1">
      <protection locked="0"/>
    </xf>
    <xf numFmtId="49" fontId="0" fillId="5" borderId="7" xfId="0" applyNumberFormat="1" applyFill="1" applyBorder="1" applyAlignment="1" applyProtection="1">
      <alignment horizontal="left"/>
      <protection locked="0"/>
    </xf>
    <xf numFmtId="0" fontId="0" fillId="7" borderId="0" xfId="0" applyFill="1" applyAlignment="1">
      <alignment wrapText="1"/>
    </xf>
    <xf numFmtId="0" fontId="1" fillId="7" borderId="0" xfId="1" applyFill="1" applyBorder="1"/>
    <xf numFmtId="0" fontId="0" fillId="5" borderId="9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2" fontId="0" fillId="5" borderId="2" xfId="0" applyNumberFormat="1" applyFill="1" applyBorder="1" applyAlignment="1">
      <alignment horizontal="right"/>
    </xf>
    <xf numFmtId="172" fontId="0" fillId="5" borderId="9" xfId="0" applyNumberFormat="1" applyFill="1" applyBorder="1" applyAlignment="1">
      <alignment horizontal="right"/>
    </xf>
    <xf numFmtId="0" fontId="0" fillId="5" borderId="7" xfId="0" applyFill="1" applyBorder="1" applyAlignment="1">
      <alignment horizontal="left"/>
    </xf>
    <xf numFmtId="172" fontId="0" fillId="5" borderId="9" xfId="0" applyNumberFormat="1" applyFill="1" applyBorder="1"/>
    <xf numFmtId="0" fontId="0" fillId="3" borderId="36" xfId="0" applyFill="1" applyBorder="1"/>
    <xf numFmtId="172" fontId="0" fillId="5" borderId="12" xfId="0" applyNumberFormat="1" applyFill="1" applyBorder="1" applyAlignment="1">
      <alignment horizontal="right"/>
    </xf>
    <xf numFmtId="0" fontId="0" fillId="3" borderId="33" xfId="0" applyFill="1" applyBorder="1"/>
    <xf numFmtId="172" fontId="0" fillId="5" borderId="14" xfId="0" applyNumberFormat="1" applyFill="1" applyBorder="1" applyAlignment="1">
      <alignment horizontal="right"/>
    </xf>
    <xf numFmtId="0" fontId="0" fillId="3" borderId="37" xfId="0" applyFill="1" applyBorder="1"/>
    <xf numFmtId="172" fontId="0" fillId="5" borderId="17" xfId="0" applyNumberFormat="1" applyFill="1" applyBorder="1" applyAlignment="1">
      <alignment horizontal="right"/>
    </xf>
    <xf numFmtId="173" fontId="9" fillId="5" borderId="38" xfId="0" applyNumberFormat="1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35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0" fontId="0" fillId="5" borderId="15" xfId="0" applyFill="1" applyBorder="1" applyAlignment="1">
      <alignment horizontal="center"/>
    </xf>
    <xf numFmtId="172" fontId="0" fillId="5" borderId="16" xfId="0" applyNumberFormat="1" applyFill="1" applyBorder="1" applyAlignment="1">
      <alignment horizontal="right"/>
    </xf>
    <xf numFmtId="0" fontId="0" fillId="5" borderId="17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74" fontId="0" fillId="5" borderId="11" xfId="0" applyNumberFormat="1" applyFill="1" applyBorder="1" applyAlignment="1" applyProtection="1">
      <alignment horizontal="right"/>
      <protection locked="0"/>
    </xf>
    <xf numFmtId="174" fontId="0" fillId="5" borderId="7" xfId="0" applyNumberFormat="1" applyFill="1" applyBorder="1" applyAlignment="1" applyProtection="1">
      <alignment horizontal="right"/>
      <protection locked="0"/>
    </xf>
    <xf numFmtId="0" fontId="7" fillId="5" borderId="30" xfId="0" applyFont="1" applyFill="1" applyBorder="1" applyAlignment="1" applyProtection="1">
      <alignment vertical="top"/>
      <protection locked="0"/>
    </xf>
    <xf numFmtId="0" fontId="7" fillId="5" borderId="31" xfId="0" applyFont="1" applyFill="1" applyBorder="1" applyAlignment="1" applyProtection="1">
      <alignment vertical="top"/>
      <protection locked="0"/>
    </xf>
    <xf numFmtId="0" fontId="7" fillId="5" borderId="32" xfId="0" applyFont="1" applyFill="1" applyBorder="1" applyAlignment="1" applyProtection="1">
      <alignment vertical="top"/>
      <protection locked="0"/>
    </xf>
    <xf numFmtId="2" fontId="0" fillId="5" borderId="9" xfId="0" applyNumberFormat="1" applyFill="1" applyBorder="1"/>
    <xf numFmtId="0" fontId="0" fillId="5" borderId="7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21" xfId="0" applyNumberFormat="1" applyFill="1" applyBorder="1" applyProtection="1">
      <protection locked="0"/>
    </xf>
    <xf numFmtId="49" fontId="0" fillId="5" borderId="22" xfId="0" applyNumberFormat="1" applyFill="1" applyBorder="1" applyProtection="1">
      <protection locked="0"/>
    </xf>
    <xf numFmtId="0" fontId="0" fillId="5" borderId="7" xfId="0" applyFill="1" applyBorder="1" applyAlignment="1" applyProtection="1">
      <alignment horizontal="center" vertical="top" wrapText="1"/>
      <protection locked="0"/>
    </xf>
    <xf numFmtId="0" fontId="0" fillId="5" borderId="14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7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1" xfId="0" applyFill="1" applyBorder="1" applyAlignment="1" applyProtection="1">
      <alignment horizontal="left"/>
      <protection locked="0"/>
    </xf>
    <xf numFmtId="0" fontId="0" fillId="5" borderId="12" xfId="0" applyFill="1" applyBorder="1" applyAlignment="1" applyProtection="1">
      <alignment horizontal="left"/>
      <protection locked="0"/>
    </xf>
    <xf numFmtId="49" fontId="0" fillId="5" borderId="11" xfId="0" applyNumberFormat="1" applyFill="1" applyBorder="1" applyAlignment="1" applyProtection="1">
      <alignment horizontal="right"/>
      <protection locked="0"/>
    </xf>
    <xf numFmtId="49" fontId="0" fillId="5" borderId="12" xfId="0" applyNumberFormat="1" applyFill="1" applyBorder="1" applyAlignment="1" applyProtection="1">
      <alignment horizontal="right"/>
      <protection locked="0"/>
    </xf>
    <xf numFmtId="1" fontId="0" fillId="5" borderId="7" xfId="0" applyNumberFormat="1" applyFill="1" applyBorder="1" applyAlignment="1" applyProtection="1">
      <alignment horizontal="right"/>
      <protection locked="0"/>
    </xf>
    <xf numFmtId="1" fontId="0" fillId="5" borderId="14" xfId="0" applyNumberFormat="1" applyFill="1" applyBorder="1" applyAlignment="1" applyProtection="1">
      <alignment horizontal="right"/>
      <protection locked="0"/>
    </xf>
    <xf numFmtId="49" fontId="0" fillId="5" borderId="16" xfId="0" applyNumberFormat="1" applyFill="1" applyBorder="1" applyAlignment="1" applyProtection="1">
      <alignment horizontal="right"/>
      <protection locked="0"/>
    </xf>
    <xf numFmtId="49" fontId="0" fillId="5" borderId="17" xfId="0" applyNumberFormat="1" applyFill="1" applyBorder="1" applyAlignment="1" applyProtection="1">
      <alignment horizontal="right"/>
      <protection locked="0"/>
    </xf>
    <xf numFmtId="0" fontId="0" fillId="5" borderId="7" xfId="0" applyFill="1" applyBorder="1" applyAlignment="1" applyProtection="1">
      <alignment horizontal="right"/>
      <protection locked="0"/>
    </xf>
    <xf numFmtId="0" fontId="0" fillId="5" borderId="16" xfId="0" applyFill="1" applyBorder="1" applyAlignment="1" applyProtection="1">
      <alignment horizontal="right"/>
      <protection locked="0"/>
    </xf>
    <xf numFmtId="0" fontId="3" fillId="3" borderId="21" xfId="0" applyFont="1" applyFill="1" applyBorder="1" applyAlignment="1">
      <alignment horizontal="center" vertical="top" wrapText="1"/>
    </xf>
    <xf numFmtId="0" fontId="0" fillId="5" borderId="9" xfId="0" applyFill="1" applyBorder="1" applyAlignment="1" applyProtection="1">
      <alignment horizontal="right" wrapText="1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49" fontId="5" fillId="3" borderId="11" xfId="0" applyNumberFormat="1" applyFont="1" applyFill="1" applyBorder="1" applyAlignment="1">
      <alignment horizontal="right"/>
    </xf>
    <xf numFmtId="0" fontId="5" fillId="5" borderId="7" xfId="0" applyFont="1" applyFill="1" applyBorder="1" applyAlignment="1" applyProtection="1">
      <alignment horizontal="right"/>
      <protection locked="0"/>
    </xf>
    <xf numFmtId="166" fontId="5" fillId="3" borderId="7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49" fontId="5" fillId="5" borderId="30" xfId="0" applyNumberFormat="1" applyFont="1" applyFill="1" applyBorder="1" applyAlignment="1" applyProtection="1">
      <alignment horizontal="left" wrapText="1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168" fontId="5" fillId="5" borderId="7" xfId="0" applyNumberFormat="1" applyFont="1" applyFill="1" applyBorder="1" applyAlignment="1" applyProtection="1">
      <alignment horizontal="right"/>
      <protection locked="0"/>
    </xf>
    <xf numFmtId="0" fontId="5" fillId="3" borderId="3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7" xfId="0" applyNumberFormat="1" applyFill="1" applyBorder="1" applyAlignment="1" applyProtection="1">
      <alignment wrapText="1"/>
      <protection locked="0"/>
    </xf>
    <xf numFmtId="0" fontId="3" fillId="3" borderId="34" xfId="0" applyFont="1" applyFill="1" applyBorder="1"/>
    <xf numFmtId="0" fontId="3" fillId="3" borderId="39" xfId="0" applyFont="1" applyFill="1" applyBorder="1"/>
    <xf numFmtId="49" fontId="0" fillId="5" borderId="9" xfId="0" applyNumberFormat="1" applyFill="1" applyBorder="1" applyAlignment="1" applyProtection="1">
      <alignment wrapText="1"/>
      <protection locked="0"/>
    </xf>
    <xf numFmtId="0" fontId="5" fillId="5" borderId="30" xfId="0" applyFont="1" applyFill="1" applyBorder="1" applyAlignment="1">
      <alignment wrapText="1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'Thickness Drilling'!$C$11:$C$59</c:f>
              <c:numCache>
                <c:formatCode>0" cm"</c:formatCode>
                <c:ptCount val="49"/>
                <c:pt idx="0">
                  <c:v>29</c:v>
                </c:pt>
                <c:pt idx="1">
                  <c:v>28</c:v>
                </c:pt>
                <c:pt idx="2">
                  <c:v>27</c:v>
                </c:pt>
                <c:pt idx="3">
                  <c:v>24</c:v>
                </c:pt>
                <c:pt idx="4">
                  <c:v>24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25</c:v>
                </c:pt>
                <c:pt idx="9">
                  <c:v>28</c:v>
                </c:pt>
                <c:pt idx="10">
                  <c:v>25</c:v>
                </c:pt>
                <c:pt idx="11">
                  <c:v>27</c:v>
                </c:pt>
                <c:pt idx="12">
                  <c:v>28</c:v>
                </c:pt>
                <c:pt idx="13">
                  <c:v>25</c:v>
                </c:pt>
                <c:pt idx="14">
                  <c:v>24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28</c:v>
                </c:pt>
                <c:pt idx="19">
                  <c:v>27</c:v>
                </c:pt>
                <c:pt idx="20">
                  <c:v>29</c:v>
                </c:pt>
                <c:pt idx="21">
                  <c:v>28</c:v>
                </c:pt>
                <c:pt idx="22">
                  <c:v>27</c:v>
                </c:pt>
                <c:pt idx="23">
                  <c:v>30</c:v>
                </c:pt>
                <c:pt idx="24">
                  <c:v>31</c:v>
                </c:pt>
                <c:pt idx="25">
                  <c:v>33</c:v>
                </c:pt>
                <c:pt idx="26">
                  <c:v>35</c:v>
                </c:pt>
                <c:pt idx="27">
                  <c:v>32</c:v>
                </c:pt>
                <c:pt idx="28">
                  <c:v>29</c:v>
                </c:pt>
                <c:pt idx="29">
                  <c:v>29</c:v>
                </c:pt>
                <c:pt idx="30">
                  <c:v>27</c:v>
                </c:pt>
                <c:pt idx="31">
                  <c:v>26</c:v>
                </c:pt>
                <c:pt idx="32">
                  <c:v>28</c:v>
                </c:pt>
                <c:pt idx="33">
                  <c:v>28</c:v>
                </c:pt>
                <c:pt idx="34">
                  <c:v>31</c:v>
                </c:pt>
                <c:pt idx="35">
                  <c:v>30</c:v>
                </c:pt>
                <c:pt idx="36">
                  <c:v>32</c:v>
                </c:pt>
                <c:pt idx="37">
                  <c:v>31</c:v>
                </c:pt>
                <c:pt idx="38">
                  <c:v>40</c:v>
                </c:pt>
                <c:pt idx="39">
                  <c:v>36</c:v>
                </c:pt>
                <c:pt idx="40">
                  <c:v>42</c:v>
                </c:pt>
                <c:pt idx="41">
                  <c:v>39</c:v>
                </c:pt>
                <c:pt idx="42">
                  <c:v>29</c:v>
                </c:pt>
                <c:pt idx="43">
                  <c:v>26</c:v>
                </c:pt>
                <c:pt idx="44">
                  <c:v>28</c:v>
                </c:pt>
                <c:pt idx="45">
                  <c:v>28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F-448F-B1D1-7D295A804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979472"/>
        <c:axId val="258980032"/>
      </c:lineChart>
      <c:catAx>
        <c:axId val="258979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80032"/>
        <c:crosses val="autoZero"/>
        <c:auto val="1"/>
        <c:lblAlgn val="ctr"/>
        <c:lblOffset val="100"/>
        <c:noMultiLvlLbl val="0"/>
      </c:catAx>
      <c:valAx>
        <c:axId val="2589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7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11907</xdr:colOff>
      <xdr:row>8</xdr:row>
      <xdr:rowOff>170259</xdr:rowOff>
    </xdr:from>
    <xdr:to>
      <xdr:col>7</xdr:col>
      <xdr:colOff>1000125</xdr:colOff>
      <xdr:row>21</xdr:row>
      <xdr:rowOff>32147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abSelected="1" zoomScale="80" zoomScaleNormal="80" workbookViewId="0">
      <selection activeCell="F22" sqref="F22"/>
    </sheetView>
  </sheetViews>
  <sheetFormatPr defaultColWidth="9.140625" defaultRowHeight="15" x14ac:dyDescent="0.25"/>
  <cols>
    <col min="1" max="1" width="22.7109375" style="47" customWidth="1"/>
    <col min="2" max="2" width="12.7109375" style="47" customWidth="1"/>
    <col min="3" max="5" width="10.7109375" style="47" customWidth="1"/>
    <col min="6" max="6" width="32.7109375" style="47" customWidth="1"/>
    <col min="7" max="7" width="9.140625" style="47"/>
    <col min="8" max="9" width="9.140625" style="47" customWidth="1"/>
    <col min="10" max="16384" width="9.140625" style="47"/>
  </cols>
  <sheetData>
    <row r="1" spans="1:9" ht="31.5" x14ac:dyDescent="0.5">
      <c r="A1" s="151" t="s">
        <v>0</v>
      </c>
      <c r="B1" s="151"/>
      <c r="C1" s="151"/>
      <c r="D1" s="151"/>
      <c r="E1" s="151"/>
      <c r="F1" s="46"/>
      <c r="G1" s="46"/>
      <c r="H1" s="46"/>
    </row>
    <row r="2" spans="1:9" ht="15.75" customHeight="1" x14ac:dyDescent="0.35">
      <c r="A2" s="48"/>
      <c r="D2" s="46"/>
      <c r="E2" s="46"/>
      <c r="F2" s="46"/>
      <c r="G2" s="46"/>
      <c r="H2" s="46"/>
    </row>
    <row r="3" spans="1:9" ht="15.75" thickBot="1" x14ac:dyDescent="0.3">
      <c r="A3" s="49" t="s">
        <v>67</v>
      </c>
      <c r="D3" s="46"/>
      <c r="E3" s="46"/>
    </row>
    <row r="4" spans="1:9" x14ac:dyDescent="0.25">
      <c r="A4" s="15" t="s">
        <v>1</v>
      </c>
      <c r="B4" s="154" t="s">
        <v>159</v>
      </c>
      <c r="C4" s="155"/>
      <c r="H4" s="50"/>
      <c r="I4" s="50"/>
    </row>
    <row r="5" spans="1:9" x14ac:dyDescent="0.25">
      <c r="A5" s="16" t="s">
        <v>2</v>
      </c>
      <c r="B5" s="156">
        <v>1</v>
      </c>
      <c r="C5" s="157"/>
      <c r="H5" s="50"/>
      <c r="I5" s="50"/>
    </row>
    <row r="6" spans="1:9" x14ac:dyDescent="0.25">
      <c r="A6" s="16" t="s">
        <v>3</v>
      </c>
      <c r="B6" s="156">
        <v>29</v>
      </c>
      <c r="C6" s="157"/>
    </row>
    <row r="7" spans="1:9" ht="15.75" thickBot="1" x14ac:dyDescent="0.3">
      <c r="A7" s="18" t="s">
        <v>110</v>
      </c>
      <c r="B7" s="158" t="s">
        <v>160</v>
      </c>
      <c r="C7" s="159"/>
    </row>
    <row r="9" spans="1:9" ht="15.75" thickBot="1" x14ac:dyDescent="0.3">
      <c r="A9" s="49" t="s">
        <v>70</v>
      </c>
    </row>
    <row r="10" spans="1:9" x14ac:dyDescent="0.25">
      <c r="A10" s="15" t="s">
        <v>9</v>
      </c>
      <c r="B10" s="152" t="s">
        <v>24</v>
      </c>
      <c r="C10" s="152"/>
      <c r="D10" s="152"/>
      <c r="E10" s="153"/>
    </row>
    <row r="11" spans="1:9" x14ac:dyDescent="0.25">
      <c r="A11" s="16" t="s">
        <v>11</v>
      </c>
      <c r="B11" s="143" t="s">
        <v>12</v>
      </c>
      <c r="C11" s="143"/>
      <c r="D11" s="143"/>
      <c r="E11" s="144"/>
    </row>
    <row r="12" spans="1:9" x14ac:dyDescent="0.25">
      <c r="A12" s="20" t="s">
        <v>13</v>
      </c>
      <c r="B12" s="147"/>
      <c r="C12" s="147"/>
      <c r="D12" s="147"/>
      <c r="E12" s="148"/>
    </row>
    <row r="13" spans="1:9" x14ac:dyDescent="0.25">
      <c r="A13" s="20"/>
      <c r="B13" s="147"/>
      <c r="C13" s="147"/>
      <c r="D13" s="147"/>
      <c r="E13" s="148"/>
    </row>
    <row r="14" spans="1:9" ht="15.75" thickBot="1" x14ac:dyDescent="0.3">
      <c r="A14" s="21"/>
      <c r="B14" s="149"/>
      <c r="C14" s="149"/>
      <c r="D14" s="149"/>
      <c r="E14" s="150"/>
    </row>
    <row r="15" spans="1:9" x14ac:dyDescent="0.25">
      <c r="A15" s="52"/>
      <c r="B15" s="53"/>
      <c r="C15" s="53"/>
      <c r="D15" s="53"/>
      <c r="E15" s="53"/>
    </row>
    <row r="16" spans="1:9" ht="15.75" thickBot="1" x14ac:dyDescent="0.3">
      <c r="A16" s="49" t="s">
        <v>68</v>
      </c>
    </row>
    <row r="17" spans="1:6" x14ac:dyDescent="0.25">
      <c r="A17" s="15" t="s">
        <v>145</v>
      </c>
      <c r="B17" s="65">
        <v>42047</v>
      </c>
      <c r="C17" s="54"/>
    </row>
    <row r="18" spans="1:6" ht="15.75" thickBot="1" x14ac:dyDescent="0.3">
      <c r="A18" s="16" t="s">
        <v>146</v>
      </c>
      <c r="B18" s="66"/>
      <c r="C18" s="55"/>
      <c r="D18" s="56"/>
      <c r="E18" s="57"/>
    </row>
    <row r="19" spans="1:6" x14ac:dyDescent="0.25">
      <c r="A19" s="51"/>
      <c r="B19" s="58"/>
      <c r="C19" s="9" t="s">
        <v>6</v>
      </c>
      <c r="D19" s="9" t="s">
        <v>7</v>
      </c>
      <c r="E19" s="17" t="s">
        <v>8</v>
      </c>
    </row>
    <row r="20" spans="1:6" x14ac:dyDescent="0.25">
      <c r="A20" s="16" t="s">
        <v>37</v>
      </c>
      <c r="B20" s="8"/>
      <c r="C20" s="43">
        <v>82</v>
      </c>
      <c r="D20" s="43">
        <v>5.4569999999999999</v>
      </c>
      <c r="E20" s="67"/>
    </row>
    <row r="21" spans="1:6" ht="15.75" thickBot="1" x14ac:dyDescent="0.3">
      <c r="A21" s="18" t="s">
        <v>38</v>
      </c>
      <c r="B21" s="19"/>
      <c r="C21" s="68">
        <v>19</v>
      </c>
      <c r="D21" s="68">
        <v>15.183</v>
      </c>
      <c r="E21" s="69"/>
    </row>
    <row r="23" spans="1:6" ht="15.75" thickBot="1" x14ac:dyDescent="0.3">
      <c r="A23" s="49" t="s">
        <v>69</v>
      </c>
      <c r="B23" s="59"/>
      <c r="E23" s="60"/>
    </row>
    <row r="24" spans="1:6" x14ac:dyDescent="0.25">
      <c r="A24" s="15" t="s">
        <v>41</v>
      </c>
      <c r="B24" s="65"/>
      <c r="C24" s="54"/>
    </row>
    <row r="25" spans="1:6" ht="15.75" thickBot="1" x14ac:dyDescent="0.3">
      <c r="A25" s="16" t="s">
        <v>42</v>
      </c>
      <c r="B25" s="66"/>
      <c r="C25" s="55"/>
      <c r="D25" s="56"/>
      <c r="E25" s="57"/>
    </row>
    <row r="26" spans="1:6" x14ac:dyDescent="0.25">
      <c r="A26" s="51"/>
      <c r="B26" s="58"/>
      <c r="C26" s="9" t="s">
        <v>6</v>
      </c>
      <c r="D26" s="9" t="s">
        <v>7</v>
      </c>
      <c r="E26" s="17" t="s">
        <v>8</v>
      </c>
    </row>
    <row r="27" spans="1:6" x14ac:dyDescent="0.25">
      <c r="A27" s="16" t="s">
        <v>39</v>
      </c>
      <c r="B27" s="8"/>
      <c r="C27" s="43"/>
      <c r="D27" s="43"/>
      <c r="E27" s="67"/>
    </row>
    <row r="28" spans="1:6" ht="15.75" thickBot="1" x14ac:dyDescent="0.3">
      <c r="A28" s="18" t="s">
        <v>40</v>
      </c>
      <c r="B28" s="19"/>
      <c r="C28" s="68"/>
      <c r="D28" s="68"/>
      <c r="E28" s="69"/>
    </row>
    <row r="29" spans="1:6" ht="15.75" thickBot="1" x14ac:dyDescent="0.3">
      <c r="B29" s="61"/>
      <c r="C29" s="62"/>
    </row>
    <row r="30" spans="1:6" ht="15.75" thickBot="1" x14ac:dyDescent="0.3">
      <c r="A30" s="45" t="s">
        <v>144</v>
      </c>
      <c r="B30" s="145" t="s">
        <v>5</v>
      </c>
      <c r="C30" s="145"/>
      <c r="D30" s="145"/>
      <c r="E30" s="146"/>
    </row>
    <row r="31" spans="1:6" ht="15.75" thickBot="1" x14ac:dyDescent="0.3"/>
    <row r="32" spans="1:6" ht="30" customHeight="1" thickBot="1" x14ac:dyDescent="0.3">
      <c r="A32" s="63"/>
      <c r="B32" s="162" t="s">
        <v>143</v>
      </c>
      <c r="C32" s="162"/>
      <c r="D32" s="162" t="s">
        <v>142</v>
      </c>
      <c r="E32" s="162"/>
      <c r="F32" s="14" t="s">
        <v>14</v>
      </c>
    </row>
    <row r="33" spans="1:6" ht="30" customHeight="1" x14ac:dyDescent="0.25">
      <c r="A33" s="13" t="s">
        <v>147</v>
      </c>
      <c r="B33" s="163"/>
      <c r="C33" s="163"/>
      <c r="D33" s="163"/>
      <c r="E33" s="163"/>
      <c r="F33" s="70"/>
    </row>
    <row r="34" spans="1:6" ht="30" customHeight="1" x14ac:dyDescent="0.25">
      <c r="A34" s="11" t="s">
        <v>147</v>
      </c>
      <c r="B34" s="160"/>
      <c r="C34" s="160"/>
      <c r="D34" s="160"/>
      <c r="E34" s="160"/>
      <c r="F34" s="71"/>
    </row>
    <row r="35" spans="1:6" ht="30" customHeight="1" x14ac:dyDescent="0.25">
      <c r="A35" s="11" t="s">
        <v>147</v>
      </c>
      <c r="B35" s="160"/>
      <c r="C35" s="160"/>
      <c r="D35" s="160"/>
      <c r="E35" s="160"/>
      <c r="F35" s="71"/>
    </row>
    <row r="36" spans="1:6" ht="30" customHeight="1" x14ac:dyDescent="0.25">
      <c r="A36" s="11" t="s">
        <v>147</v>
      </c>
      <c r="B36" s="160"/>
      <c r="C36" s="160"/>
      <c r="D36" s="160"/>
      <c r="E36" s="160"/>
      <c r="F36" s="71"/>
    </row>
    <row r="37" spans="1:6" ht="30" customHeight="1" thickBot="1" x14ac:dyDescent="0.3">
      <c r="A37" s="12" t="s">
        <v>147</v>
      </c>
      <c r="B37" s="161"/>
      <c r="C37" s="161"/>
      <c r="D37" s="161"/>
      <c r="E37" s="161"/>
      <c r="F37" s="72"/>
    </row>
    <row r="38" spans="1:6" x14ac:dyDescent="0.25">
      <c r="B38" s="64"/>
      <c r="C38" s="64"/>
      <c r="D38" s="64"/>
      <c r="E38" s="64"/>
      <c r="F38" s="64"/>
    </row>
    <row r="39" spans="1:6" x14ac:dyDescent="0.25">
      <c r="B39" s="64"/>
      <c r="C39" s="64"/>
      <c r="D39" s="64"/>
      <c r="E39" s="64"/>
      <c r="F39" s="64"/>
    </row>
    <row r="40" spans="1:6" x14ac:dyDescent="0.25">
      <c r="B40" s="64"/>
      <c r="C40" s="64"/>
      <c r="D40" s="64"/>
      <c r="E40" s="64"/>
      <c r="F40" s="64"/>
    </row>
    <row r="41" spans="1:6" x14ac:dyDescent="0.25">
      <c r="B41" s="64"/>
      <c r="C41" s="64"/>
      <c r="D41" s="64"/>
      <c r="E41" s="64"/>
      <c r="F41" s="64"/>
    </row>
    <row r="42" spans="1:6" x14ac:dyDescent="0.25">
      <c r="B42" s="64"/>
      <c r="C42" s="64"/>
      <c r="D42" s="64"/>
      <c r="E42" s="64"/>
      <c r="F42" s="64"/>
    </row>
    <row r="43" spans="1:6" x14ac:dyDescent="0.25">
      <c r="B43" s="64"/>
      <c r="C43" s="64"/>
      <c r="D43" s="64"/>
      <c r="E43" s="64"/>
      <c r="F43" s="64"/>
    </row>
    <row r="44" spans="1:6" x14ac:dyDescent="0.25">
      <c r="B44" s="64"/>
      <c r="C44" s="64"/>
      <c r="D44" s="64"/>
      <c r="E44" s="64"/>
      <c r="F44" s="64"/>
    </row>
    <row r="45" spans="1:6" x14ac:dyDescent="0.25">
      <c r="B45" s="64"/>
      <c r="C45" s="64"/>
      <c r="D45" s="64"/>
      <c r="E45" s="64"/>
      <c r="F45" s="64"/>
    </row>
    <row r="46" spans="1:6" x14ac:dyDescent="0.25">
      <c r="B46" s="64"/>
      <c r="C46" s="64"/>
      <c r="D46" s="64"/>
      <c r="E46" s="64"/>
      <c r="F46" s="64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6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date" allowBlank="1" showInputMessage="1" showErrorMessage="1" error="Wrong data format or year. Enter as DD.MM.YY" promptTitle="Ice Station Ending Time" prompt="Leave blank if equal to Starting Date. Give date, month and year according to reginal settings (e.g. dd.mm.yy in Norway)." sqref="B24" xr:uid="{00000000-0002-0000-0000-000015000000}">
      <formula1>36526</formula1>
      <formula2>43831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date" allowBlank="1" showInputMessage="1" showErrorMessage="1" errorTitle="Ice Station Starting Date" error="Wrong data format or year. Enter as DD.MM.YY" promptTitle="Ice Station Starting Date" prompt="Give date, month and year according to reginal settings (e.g. dd.mm.yy in Norway)." sqref="B17" xr:uid="{00000000-0002-0000-0000-000017000000}">
      <formula1>36526</formula1>
      <formula2>43831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workbookViewId="0">
      <selection activeCell="F23" sqref="F23"/>
    </sheetView>
  </sheetViews>
  <sheetFormatPr defaultRowHeight="15" x14ac:dyDescent="0.25"/>
  <sheetData>
    <row r="1" spans="1:15" x14ac:dyDescent="0.25">
      <c r="A1" t="s">
        <v>161</v>
      </c>
      <c r="E1" t="s">
        <v>177</v>
      </c>
      <c r="J1" t="s">
        <v>190</v>
      </c>
      <c r="M1" t="s">
        <v>191</v>
      </c>
    </row>
    <row r="2" spans="1:15" x14ac:dyDescent="0.25">
      <c r="A2" t="s">
        <v>178</v>
      </c>
      <c r="B2" t="s">
        <v>179</v>
      </c>
      <c r="E2" t="s">
        <v>178</v>
      </c>
      <c r="F2" t="s">
        <v>179</v>
      </c>
      <c r="J2" t="s">
        <v>181</v>
      </c>
      <c r="M2" t="s">
        <v>178</v>
      </c>
      <c r="N2" t="s">
        <v>179</v>
      </c>
    </row>
    <row r="3" spans="1:15" x14ac:dyDescent="0.25">
      <c r="A3">
        <v>1</v>
      </c>
      <c r="B3">
        <v>48</v>
      </c>
      <c r="E3">
        <v>1</v>
      </c>
      <c r="F3">
        <v>22</v>
      </c>
      <c r="M3">
        <v>1</v>
      </c>
      <c r="N3">
        <v>33</v>
      </c>
    </row>
    <row r="4" spans="1:15" x14ac:dyDescent="0.25">
      <c r="A4">
        <v>2</v>
      </c>
      <c r="B4">
        <v>89</v>
      </c>
      <c r="E4">
        <v>2</v>
      </c>
      <c r="F4">
        <v>24</v>
      </c>
      <c r="J4" t="s">
        <v>162</v>
      </c>
      <c r="K4" t="s">
        <v>163</v>
      </c>
      <c r="M4">
        <v>2</v>
      </c>
      <c r="N4">
        <v>33</v>
      </c>
    </row>
    <row r="5" spans="1:15" x14ac:dyDescent="0.25">
      <c r="A5">
        <v>3</v>
      </c>
      <c r="B5">
        <v>57</v>
      </c>
      <c r="E5">
        <v>3</v>
      </c>
      <c r="F5">
        <v>19</v>
      </c>
      <c r="J5" t="s">
        <v>164</v>
      </c>
      <c r="K5" t="s">
        <v>182</v>
      </c>
      <c r="M5">
        <v>3</v>
      </c>
      <c r="N5">
        <v>49</v>
      </c>
    </row>
    <row r="6" spans="1:15" x14ac:dyDescent="0.25">
      <c r="A6">
        <v>4</v>
      </c>
      <c r="B6">
        <v>48</v>
      </c>
      <c r="E6">
        <v>4</v>
      </c>
      <c r="F6">
        <v>27</v>
      </c>
      <c r="J6" t="s">
        <v>165</v>
      </c>
      <c r="K6" t="s">
        <v>183</v>
      </c>
      <c r="M6">
        <v>4</v>
      </c>
      <c r="N6">
        <v>37</v>
      </c>
    </row>
    <row r="7" spans="1:15" x14ac:dyDescent="0.25">
      <c r="A7">
        <v>5</v>
      </c>
      <c r="B7">
        <v>65</v>
      </c>
      <c r="E7">
        <v>5</v>
      </c>
      <c r="F7">
        <v>21</v>
      </c>
      <c r="J7" t="s">
        <v>166</v>
      </c>
      <c r="K7" t="s">
        <v>184</v>
      </c>
      <c r="M7">
        <v>5</v>
      </c>
      <c r="N7">
        <v>63</v>
      </c>
    </row>
    <row r="8" spans="1:15" x14ac:dyDescent="0.25">
      <c r="A8">
        <v>6</v>
      </c>
      <c r="B8">
        <v>65</v>
      </c>
      <c r="E8">
        <v>6</v>
      </c>
      <c r="F8">
        <v>25</v>
      </c>
      <c r="J8" t="s">
        <v>167</v>
      </c>
      <c r="K8" t="s">
        <v>185</v>
      </c>
      <c r="M8">
        <v>6</v>
      </c>
      <c r="N8">
        <v>76</v>
      </c>
    </row>
    <row r="9" spans="1:15" x14ac:dyDescent="0.25">
      <c r="A9">
        <v>7</v>
      </c>
      <c r="B9">
        <v>46</v>
      </c>
      <c r="E9">
        <v>7</v>
      </c>
      <c r="F9">
        <v>24</v>
      </c>
      <c r="M9">
        <v>7</v>
      </c>
      <c r="N9">
        <v>43</v>
      </c>
    </row>
    <row r="10" spans="1:15" x14ac:dyDescent="0.25">
      <c r="A10">
        <v>8</v>
      </c>
      <c r="B10">
        <v>50</v>
      </c>
      <c r="E10">
        <v>8</v>
      </c>
      <c r="F10">
        <v>31</v>
      </c>
      <c r="J10" t="s">
        <v>168</v>
      </c>
      <c r="K10" t="s">
        <v>163</v>
      </c>
      <c r="M10">
        <v>8</v>
      </c>
      <c r="N10">
        <v>43</v>
      </c>
    </row>
    <row r="11" spans="1:15" x14ac:dyDescent="0.25">
      <c r="A11">
        <v>9</v>
      </c>
      <c r="B11">
        <v>41</v>
      </c>
      <c r="E11">
        <v>9</v>
      </c>
      <c r="F11">
        <v>23</v>
      </c>
      <c r="J11" t="s">
        <v>164</v>
      </c>
      <c r="K11" t="s">
        <v>186</v>
      </c>
      <c r="M11">
        <v>9</v>
      </c>
      <c r="N11">
        <v>56</v>
      </c>
    </row>
    <row r="12" spans="1:15" x14ac:dyDescent="0.25">
      <c r="J12" t="s">
        <v>165</v>
      </c>
      <c r="K12" t="s">
        <v>187</v>
      </c>
    </row>
    <row r="13" spans="1:15" x14ac:dyDescent="0.25">
      <c r="A13" t="s">
        <v>162</v>
      </c>
      <c r="B13" t="s">
        <v>163</v>
      </c>
      <c r="E13" t="s">
        <v>180</v>
      </c>
      <c r="J13" t="s">
        <v>166</v>
      </c>
      <c r="K13" t="s">
        <v>188</v>
      </c>
      <c r="M13" t="s">
        <v>162</v>
      </c>
      <c r="N13" t="s">
        <v>163</v>
      </c>
    </row>
    <row r="14" spans="1:15" x14ac:dyDescent="0.25">
      <c r="A14" t="s">
        <v>164</v>
      </c>
      <c r="B14" t="s">
        <v>169</v>
      </c>
      <c r="J14" t="s">
        <v>167</v>
      </c>
      <c r="K14" t="s">
        <v>189</v>
      </c>
      <c r="M14" t="s">
        <v>164</v>
      </c>
      <c r="N14" t="s">
        <v>192</v>
      </c>
      <c r="O14" t="s">
        <v>193</v>
      </c>
    </row>
    <row r="15" spans="1:15" x14ac:dyDescent="0.25">
      <c r="A15" t="s">
        <v>165</v>
      </c>
      <c r="B15" t="s">
        <v>170</v>
      </c>
      <c r="M15" t="s">
        <v>165</v>
      </c>
      <c r="N15" t="s">
        <v>194</v>
      </c>
    </row>
    <row r="16" spans="1:15" x14ac:dyDescent="0.25">
      <c r="A16" t="s">
        <v>166</v>
      </c>
      <c r="B16" t="s">
        <v>171</v>
      </c>
      <c r="M16" t="s">
        <v>166</v>
      </c>
      <c r="N16" t="s">
        <v>195</v>
      </c>
    </row>
    <row r="17" spans="1:14" x14ac:dyDescent="0.25">
      <c r="A17" t="s">
        <v>167</v>
      </c>
      <c r="B17" t="s">
        <v>172</v>
      </c>
      <c r="M17" t="s">
        <v>167</v>
      </c>
      <c r="N17" t="s">
        <v>196</v>
      </c>
    </row>
    <row r="19" spans="1:14" x14ac:dyDescent="0.25">
      <c r="A19" t="s">
        <v>168</v>
      </c>
      <c r="B19" t="s">
        <v>163</v>
      </c>
      <c r="M19" t="s">
        <v>168</v>
      </c>
      <c r="N19" t="s">
        <v>163</v>
      </c>
    </row>
    <row r="20" spans="1:14" x14ac:dyDescent="0.25">
      <c r="A20" t="s">
        <v>164</v>
      </c>
      <c r="B20" t="s">
        <v>173</v>
      </c>
      <c r="M20" t="s">
        <v>164</v>
      </c>
      <c r="N20" t="s">
        <v>197</v>
      </c>
    </row>
    <row r="21" spans="1:14" x14ac:dyDescent="0.25">
      <c r="A21" t="s">
        <v>165</v>
      </c>
      <c r="B21" t="s">
        <v>174</v>
      </c>
      <c r="M21" t="s">
        <v>165</v>
      </c>
      <c r="N21" t="s">
        <v>198</v>
      </c>
    </row>
    <row r="22" spans="1:14" x14ac:dyDescent="0.25">
      <c r="A22" t="s">
        <v>166</v>
      </c>
      <c r="B22" t="s">
        <v>175</v>
      </c>
      <c r="M22" t="s">
        <v>166</v>
      </c>
      <c r="N22" t="s">
        <v>199</v>
      </c>
    </row>
    <row r="23" spans="1:14" x14ac:dyDescent="0.25">
      <c r="A23" t="s">
        <v>167</v>
      </c>
      <c r="B23" t="s">
        <v>176</v>
      </c>
      <c r="M23" t="s">
        <v>167</v>
      </c>
      <c r="N23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59"/>
  <sheetViews>
    <sheetView zoomScale="80" zoomScaleNormal="80" workbookViewId="0">
      <selection activeCell="H5" sqref="H4:H5"/>
    </sheetView>
  </sheetViews>
  <sheetFormatPr defaultColWidth="9.140625" defaultRowHeight="15" x14ac:dyDescent="0.25"/>
  <cols>
    <col min="1" max="1" width="18.7109375" style="47" customWidth="1"/>
    <col min="2" max="3" width="15.7109375" style="47" customWidth="1"/>
    <col min="4" max="4" width="14.5703125" style="47" customWidth="1"/>
    <col min="5" max="6" width="15.7109375" style="47" customWidth="1"/>
    <col min="7" max="7" width="53.7109375" style="47" customWidth="1"/>
    <col min="8" max="8" width="36.7109375" style="47" customWidth="1"/>
    <col min="9" max="16384" width="9.140625" style="47"/>
  </cols>
  <sheetData>
    <row r="1" spans="1:9" ht="32.25" thickBot="1" x14ac:dyDescent="0.55000000000000004">
      <c r="A1" s="151" t="s">
        <v>71</v>
      </c>
      <c r="B1" s="151"/>
      <c r="C1" s="151"/>
      <c r="D1" s="151"/>
    </row>
    <row r="2" spans="1:9" x14ac:dyDescent="0.25">
      <c r="A2" s="23" t="s">
        <v>16</v>
      </c>
      <c r="B2" s="168"/>
      <c r="C2" s="168"/>
      <c r="D2" s="73" t="s">
        <v>156</v>
      </c>
    </row>
    <row r="3" spans="1:9" x14ac:dyDescent="0.25">
      <c r="A3" s="24" t="s">
        <v>117</v>
      </c>
      <c r="B3" s="169" t="s">
        <v>201</v>
      </c>
      <c r="C3" s="169"/>
      <c r="D3" s="77" t="s">
        <v>203</v>
      </c>
    </row>
    <row r="4" spans="1:9" x14ac:dyDescent="0.25">
      <c r="A4" s="24" t="s">
        <v>4</v>
      </c>
      <c r="B4" s="170">
        <v>42047</v>
      </c>
      <c r="C4" s="170"/>
      <c r="D4" s="77" t="s">
        <v>204</v>
      </c>
    </row>
    <row r="5" spans="1:9" x14ac:dyDescent="0.25">
      <c r="A5" s="25" t="s">
        <v>95</v>
      </c>
      <c r="B5" s="171" t="s">
        <v>202</v>
      </c>
      <c r="C5" s="172"/>
      <c r="D5" s="77"/>
    </row>
    <row r="6" spans="1:9" x14ac:dyDescent="0.25">
      <c r="A6" s="25" t="s">
        <v>110</v>
      </c>
      <c r="B6" s="164" t="s">
        <v>205</v>
      </c>
      <c r="C6" s="165"/>
      <c r="D6" s="77"/>
      <c r="E6" s="74"/>
      <c r="F6" s="74"/>
      <c r="G6" s="74"/>
      <c r="H6" s="75"/>
      <c r="I6" s="76"/>
    </row>
    <row r="7" spans="1:9" x14ac:dyDescent="0.25">
      <c r="A7" s="25" t="s">
        <v>148</v>
      </c>
      <c r="B7" s="166" t="s">
        <v>206</v>
      </c>
      <c r="C7" s="167"/>
      <c r="D7" s="77"/>
      <c r="E7" s="74"/>
      <c r="F7" s="74"/>
      <c r="G7" s="74"/>
      <c r="H7" s="75"/>
      <c r="I7" s="76"/>
    </row>
    <row r="8" spans="1:9" ht="30" customHeight="1" thickBot="1" x14ac:dyDescent="0.3">
      <c r="A8" s="26" t="s">
        <v>15</v>
      </c>
      <c r="B8" s="139" t="s">
        <v>211</v>
      </c>
      <c r="C8" s="140"/>
      <c r="D8" s="141"/>
    </row>
    <row r="9" spans="1:9" ht="15.75" thickBot="1" x14ac:dyDescent="0.3"/>
    <row r="10" spans="1:9" s="78" customFormat="1" ht="60.75" thickBot="1" x14ac:dyDescent="0.3">
      <c r="A10" s="28" t="s">
        <v>17</v>
      </c>
      <c r="B10" s="29" t="s">
        <v>118</v>
      </c>
      <c r="C10" s="29" t="s">
        <v>119</v>
      </c>
      <c r="D10" s="29" t="s">
        <v>120</v>
      </c>
      <c r="E10" s="29" t="s">
        <v>121</v>
      </c>
      <c r="F10" s="27" t="s">
        <v>134</v>
      </c>
      <c r="G10" s="30" t="s">
        <v>13</v>
      </c>
    </row>
    <row r="11" spans="1:9" x14ac:dyDescent="0.25">
      <c r="A11" s="79">
        <v>0</v>
      </c>
      <c r="B11" s="80"/>
      <c r="C11" s="80">
        <v>29</v>
      </c>
      <c r="D11" s="80"/>
      <c r="E11" s="80"/>
      <c r="F11" s="80"/>
      <c r="G11" s="81"/>
    </row>
    <row r="12" spans="1:9" x14ac:dyDescent="0.25">
      <c r="A12" s="82">
        <v>5</v>
      </c>
      <c r="B12" s="44"/>
      <c r="C12" s="44">
        <v>28</v>
      </c>
      <c r="D12" s="80"/>
      <c r="E12" s="80"/>
      <c r="F12" s="44"/>
      <c r="G12" s="43"/>
    </row>
    <row r="13" spans="1:9" x14ac:dyDescent="0.25">
      <c r="A13" s="82">
        <v>10</v>
      </c>
      <c r="B13" s="44"/>
      <c r="C13" s="44">
        <v>27</v>
      </c>
      <c r="D13" s="44"/>
      <c r="E13" s="44"/>
      <c r="F13" s="44"/>
      <c r="G13" s="43"/>
    </row>
    <row r="14" spans="1:9" x14ac:dyDescent="0.25">
      <c r="A14" s="82">
        <v>15</v>
      </c>
      <c r="B14" s="44"/>
      <c r="C14" s="44">
        <v>24</v>
      </c>
      <c r="D14" s="44"/>
      <c r="E14" s="44"/>
      <c r="F14" s="44"/>
      <c r="G14" s="43"/>
    </row>
    <row r="15" spans="1:9" x14ac:dyDescent="0.25">
      <c r="A15" s="82">
        <v>20</v>
      </c>
      <c r="B15" s="44"/>
      <c r="C15" s="44">
        <v>24</v>
      </c>
      <c r="D15" s="44"/>
      <c r="E15" s="44"/>
      <c r="F15" s="44"/>
      <c r="G15" s="43"/>
    </row>
    <row r="16" spans="1:9" x14ac:dyDescent="0.25">
      <c r="A16" s="82">
        <v>25</v>
      </c>
      <c r="B16" s="44"/>
      <c r="C16" s="44">
        <v>27</v>
      </c>
      <c r="D16" s="44"/>
      <c r="E16" s="44"/>
      <c r="F16" s="44"/>
      <c r="G16" s="43"/>
    </row>
    <row r="17" spans="1:7" x14ac:dyDescent="0.25">
      <c r="A17" s="82">
        <v>30</v>
      </c>
      <c r="B17" s="44"/>
      <c r="C17" s="44">
        <v>25</v>
      </c>
      <c r="D17" s="44"/>
      <c r="E17" s="44"/>
      <c r="F17" s="44"/>
      <c r="G17" s="43"/>
    </row>
    <row r="18" spans="1:7" x14ac:dyDescent="0.25">
      <c r="A18" s="82">
        <v>35</v>
      </c>
      <c r="B18" s="44"/>
      <c r="C18" s="44">
        <v>24</v>
      </c>
      <c r="D18" s="44"/>
      <c r="E18" s="44"/>
      <c r="F18" s="44"/>
      <c r="G18" s="43"/>
    </row>
    <row r="19" spans="1:7" x14ac:dyDescent="0.25">
      <c r="A19" s="82">
        <v>40</v>
      </c>
      <c r="B19" s="44"/>
      <c r="C19" s="44">
        <v>25</v>
      </c>
      <c r="D19" s="44"/>
      <c r="E19" s="44"/>
      <c r="F19" s="44"/>
      <c r="G19" s="43"/>
    </row>
    <row r="20" spans="1:7" x14ac:dyDescent="0.25">
      <c r="A20" s="82">
        <v>45</v>
      </c>
      <c r="B20" s="44"/>
      <c r="C20" s="44">
        <v>28</v>
      </c>
      <c r="D20" s="44"/>
      <c r="E20" s="44"/>
      <c r="F20" s="44"/>
      <c r="G20" s="43"/>
    </row>
    <row r="21" spans="1:7" x14ac:dyDescent="0.25">
      <c r="A21" s="82">
        <v>50</v>
      </c>
      <c r="B21" s="44"/>
      <c r="C21" s="44">
        <v>25</v>
      </c>
      <c r="D21" s="44"/>
      <c r="E21" s="44"/>
      <c r="F21" s="44"/>
      <c r="G21" s="43"/>
    </row>
    <row r="22" spans="1:7" x14ac:dyDescent="0.25">
      <c r="A22" s="82">
        <v>55</v>
      </c>
      <c r="B22" s="44"/>
      <c r="C22" s="44">
        <v>27</v>
      </c>
      <c r="D22" s="44"/>
      <c r="E22" s="44"/>
      <c r="F22" s="44"/>
      <c r="G22" s="43"/>
    </row>
    <row r="23" spans="1:7" x14ac:dyDescent="0.25">
      <c r="A23" s="82">
        <v>60</v>
      </c>
      <c r="B23" s="44"/>
      <c r="C23" s="44">
        <v>28</v>
      </c>
      <c r="D23" s="44"/>
      <c r="E23" s="44"/>
      <c r="F23" s="44"/>
      <c r="G23" s="43"/>
    </row>
    <row r="24" spans="1:7" x14ac:dyDescent="0.25">
      <c r="A24" s="82">
        <v>65</v>
      </c>
      <c r="B24" s="44"/>
      <c r="C24" s="44">
        <v>25</v>
      </c>
      <c r="D24" s="44"/>
      <c r="E24" s="44"/>
      <c r="F24" s="44"/>
      <c r="G24" s="43"/>
    </row>
    <row r="25" spans="1:7" x14ac:dyDescent="0.25">
      <c r="A25" s="82">
        <v>70</v>
      </c>
      <c r="B25" s="44"/>
      <c r="C25" s="44">
        <v>24</v>
      </c>
      <c r="D25" s="44"/>
      <c r="E25" s="44"/>
      <c r="F25" s="44"/>
      <c r="G25" s="43"/>
    </row>
    <row r="26" spans="1:7" x14ac:dyDescent="0.25">
      <c r="A26" s="82">
        <v>75</v>
      </c>
      <c r="B26" s="44"/>
      <c r="C26" s="44">
        <v>27</v>
      </c>
      <c r="D26" s="44"/>
      <c r="E26" s="44"/>
      <c r="F26" s="44"/>
      <c r="G26" s="43"/>
    </row>
    <row r="27" spans="1:7" x14ac:dyDescent="0.25">
      <c r="A27" s="82">
        <v>80</v>
      </c>
      <c r="B27" s="44"/>
      <c r="C27" s="44">
        <v>28</v>
      </c>
      <c r="D27" s="44"/>
      <c r="E27" s="44"/>
      <c r="F27" s="44"/>
      <c r="G27" s="43"/>
    </row>
    <row r="28" spans="1:7" x14ac:dyDescent="0.25">
      <c r="A28" s="82">
        <v>85</v>
      </c>
      <c r="B28" s="44"/>
      <c r="C28" s="44">
        <v>27</v>
      </c>
      <c r="D28" s="44"/>
      <c r="E28" s="44"/>
      <c r="F28" s="44"/>
      <c r="G28" s="43"/>
    </row>
    <row r="29" spans="1:7" x14ac:dyDescent="0.25">
      <c r="A29" s="82">
        <v>90</v>
      </c>
      <c r="B29" s="44"/>
      <c r="C29" s="44">
        <v>28</v>
      </c>
      <c r="D29" s="44"/>
      <c r="E29" s="44"/>
      <c r="F29" s="44"/>
      <c r="G29" s="43"/>
    </row>
    <row r="30" spans="1:7" x14ac:dyDescent="0.25">
      <c r="A30" s="82">
        <v>95</v>
      </c>
      <c r="B30" s="44"/>
      <c r="C30" s="44">
        <v>27</v>
      </c>
      <c r="D30" s="44"/>
      <c r="E30" s="44"/>
      <c r="F30" s="44"/>
      <c r="G30" s="43"/>
    </row>
    <row r="31" spans="1:7" x14ac:dyDescent="0.25">
      <c r="A31" s="82">
        <v>100</v>
      </c>
      <c r="B31" s="44"/>
      <c r="C31" s="44">
        <v>29</v>
      </c>
      <c r="D31" s="44"/>
      <c r="E31" s="44"/>
      <c r="F31" s="44"/>
      <c r="G31" s="43"/>
    </row>
    <row r="32" spans="1:7" x14ac:dyDescent="0.25">
      <c r="A32" s="82">
        <v>105</v>
      </c>
      <c r="B32" s="44"/>
      <c r="C32" s="44">
        <v>28</v>
      </c>
      <c r="D32" s="44"/>
      <c r="E32" s="44"/>
      <c r="F32" s="44"/>
      <c r="G32" s="43"/>
    </row>
    <row r="33" spans="1:7" x14ac:dyDescent="0.25">
      <c r="A33" s="82">
        <v>110</v>
      </c>
      <c r="B33" s="44"/>
      <c r="C33" s="44">
        <v>27</v>
      </c>
      <c r="D33" s="44"/>
      <c r="E33" s="44"/>
      <c r="F33" s="44"/>
      <c r="G33" s="43"/>
    </row>
    <row r="34" spans="1:7" x14ac:dyDescent="0.25">
      <c r="A34" s="82">
        <v>115</v>
      </c>
      <c r="B34" s="44"/>
      <c r="C34" s="44">
        <v>30</v>
      </c>
      <c r="D34" s="44"/>
      <c r="E34" s="44"/>
      <c r="F34" s="44"/>
      <c r="G34" s="43"/>
    </row>
    <row r="35" spans="1:7" x14ac:dyDescent="0.25">
      <c r="A35" s="82">
        <v>120</v>
      </c>
      <c r="B35" s="44"/>
      <c r="C35" s="44">
        <v>31</v>
      </c>
      <c r="D35" s="44"/>
      <c r="E35" s="44"/>
      <c r="F35" s="44"/>
      <c r="G35" s="43"/>
    </row>
    <row r="36" spans="1:7" x14ac:dyDescent="0.25">
      <c r="A36" s="82">
        <v>125</v>
      </c>
      <c r="B36" s="44"/>
      <c r="C36" s="44">
        <v>33</v>
      </c>
      <c r="D36" s="44"/>
      <c r="E36" s="44"/>
      <c r="F36" s="44"/>
      <c r="G36" s="43"/>
    </row>
    <row r="37" spans="1:7" x14ac:dyDescent="0.25">
      <c r="A37" s="82">
        <v>130</v>
      </c>
      <c r="B37" s="44"/>
      <c r="C37" s="44">
        <v>35</v>
      </c>
      <c r="D37" s="44"/>
      <c r="E37" s="44"/>
      <c r="F37" s="44"/>
      <c r="G37" s="43"/>
    </row>
    <row r="38" spans="1:7" x14ac:dyDescent="0.25">
      <c r="A38" s="82">
        <v>135</v>
      </c>
      <c r="B38" s="44"/>
      <c r="C38" s="44">
        <v>32</v>
      </c>
      <c r="D38" s="44"/>
      <c r="E38" s="44"/>
      <c r="F38" s="44"/>
      <c r="G38" s="43"/>
    </row>
    <row r="39" spans="1:7" x14ac:dyDescent="0.25">
      <c r="A39" s="82">
        <v>140</v>
      </c>
      <c r="C39" s="44">
        <v>29</v>
      </c>
    </row>
    <row r="40" spans="1:7" x14ac:dyDescent="0.25">
      <c r="A40" s="82">
        <v>145</v>
      </c>
      <c r="C40" s="44">
        <v>29</v>
      </c>
    </row>
    <row r="41" spans="1:7" x14ac:dyDescent="0.25">
      <c r="A41" s="82">
        <v>150</v>
      </c>
      <c r="C41" s="44">
        <v>27</v>
      </c>
    </row>
    <row r="42" spans="1:7" x14ac:dyDescent="0.25">
      <c r="A42" s="82">
        <v>155</v>
      </c>
      <c r="C42" s="44">
        <v>26</v>
      </c>
    </row>
    <row r="43" spans="1:7" x14ac:dyDescent="0.25">
      <c r="A43" s="82">
        <v>160</v>
      </c>
      <c r="C43" s="44">
        <v>28</v>
      </c>
    </row>
    <row r="44" spans="1:7" x14ac:dyDescent="0.25">
      <c r="A44" s="82">
        <v>165</v>
      </c>
      <c r="C44" s="44">
        <v>28</v>
      </c>
    </row>
    <row r="45" spans="1:7" x14ac:dyDescent="0.25">
      <c r="A45" s="82">
        <v>170</v>
      </c>
      <c r="C45" s="44">
        <v>31</v>
      </c>
    </row>
    <row r="46" spans="1:7" x14ac:dyDescent="0.25">
      <c r="A46" s="82">
        <v>175</v>
      </c>
      <c r="C46" s="44">
        <v>30</v>
      </c>
    </row>
    <row r="47" spans="1:7" x14ac:dyDescent="0.25">
      <c r="A47" s="82">
        <v>180</v>
      </c>
      <c r="C47" s="44">
        <v>32</v>
      </c>
    </row>
    <row r="48" spans="1:7" x14ac:dyDescent="0.25">
      <c r="A48" s="82">
        <v>185</v>
      </c>
      <c r="C48" s="44">
        <v>31</v>
      </c>
    </row>
    <row r="49" spans="1:3" x14ac:dyDescent="0.25">
      <c r="A49" s="82">
        <v>190</v>
      </c>
      <c r="C49" s="44">
        <v>40</v>
      </c>
    </row>
    <row r="50" spans="1:3" x14ac:dyDescent="0.25">
      <c r="A50" s="82">
        <v>195</v>
      </c>
      <c r="C50" s="44">
        <v>36</v>
      </c>
    </row>
    <row r="51" spans="1:3" x14ac:dyDescent="0.25">
      <c r="A51" s="82">
        <v>200</v>
      </c>
      <c r="C51" s="44">
        <v>42</v>
      </c>
    </row>
    <row r="52" spans="1:3" x14ac:dyDescent="0.25">
      <c r="A52" s="82">
        <v>205</v>
      </c>
      <c r="C52" s="44">
        <v>39</v>
      </c>
    </row>
    <row r="53" spans="1:3" x14ac:dyDescent="0.25">
      <c r="A53" s="82">
        <v>210</v>
      </c>
      <c r="C53" s="44">
        <v>29</v>
      </c>
    </row>
    <row r="54" spans="1:3" x14ac:dyDescent="0.25">
      <c r="A54" s="82">
        <v>215</v>
      </c>
      <c r="C54" s="44">
        <v>26</v>
      </c>
    </row>
    <row r="55" spans="1:3" x14ac:dyDescent="0.25">
      <c r="A55" s="82">
        <v>220</v>
      </c>
      <c r="C55" s="44">
        <v>28</v>
      </c>
    </row>
    <row r="56" spans="1:3" x14ac:dyDescent="0.25">
      <c r="A56" s="82">
        <v>225</v>
      </c>
      <c r="C56" s="44">
        <v>28</v>
      </c>
    </row>
    <row r="57" spans="1:3" x14ac:dyDescent="0.25">
      <c r="A57" s="82">
        <v>230</v>
      </c>
      <c r="C57" s="44">
        <v>30</v>
      </c>
    </row>
    <row r="58" spans="1:3" x14ac:dyDescent="0.25">
      <c r="A58" s="82">
        <v>235</v>
      </c>
      <c r="C58" s="44">
        <v>30</v>
      </c>
    </row>
    <row r="59" spans="1:3" x14ac:dyDescent="0.25">
      <c r="A59" s="82">
        <v>240</v>
      </c>
      <c r="C59" s="44">
        <v>30</v>
      </c>
    </row>
  </sheetData>
  <mergeCells count="7">
    <mergeCell ref="B6:C6"/>
    <mergeCell ref="B7:C7"/>
    <mergeCell ref="A1:D1"/>
    <mergeCell ref="B2:C2"/>
    <mergeCell ref="B3:C3"/>
    <mergeCell ref="B4:C4"/>
    <mergeCell ref="B5:C5"/>
  </mergeCells>
  <pageMargins left="0.7" right="0.7" top="0.75" bottom="0.75" header="0.3" footer="0.3"/>
  <pageSetup paperSize="9" scale="87" fitToHeight="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B11" sqref="B11:B14"/>
    </sheetView>
  </sheetViews>
  <sheetFormatPr defaultColWidth="9.140625" defaultRowHeight="15" x14ac:dyDescent="0.25"/>
  <cols>
    <col min="1" max="1" width="23.7109375" style="47" bestFit="1" customWidth="1"/>
    <col min="2" max="2" width="16.42578125" style="47" bestFit="1" customWidth="1"/>
    <col min="3" max="3" width="12.7109375" style="47" customWidth="1"/>
    <col min="4" max="4" width="29.42578125" style="47" bestFit="1" customWidth="1"/>
    <col min="5" max="5" width="18.7109375" style="47" customWidth="1"/>
    <col min="6" max="6" width="20.28515625" style="47" bestFit="1" customWidth="1"/>
    <col min="7" max="7" width="18.7109375" style="47" customWidth="1"/>
    <col min="8" max="8" width="36.7109375" style="47" customWidth="1"/>
    <col min="9" max="16384" width="9.140625" style="47"/>
  </cols>
  <sheetData>
    <row r="1" spans="1:9" ht="34.5" thickBot="1" x14ac:dyDescent="0.55000000000000004">
      <c r="A1" s="176" t="s">
        <v>96</v>
      </c>
      <c r="B1" s="176"/>
      <c r="C1" s="176"/>
      <c r="D1" s="176"/>
    </row>
    <row r="2" spans="1:9" x14ac:dyDescent="0.25">
      <c r="A2" s="31" t="s">
        <v>16</v>
      </c>
      <c r="B2" s="168" t="str">
        <f>CONCATENATE(ExpID,"-",StnNum,"-",StnDay)</f>
        <v>NICE-1-29</v>
      </c>
      <c r="C2" s="168"/>
      <c r="D2" s="73"/>
    </row>
    <row r="3" spans="1:9" x14ac:dyDescent="0.25">
      <c r="A3" s="32" t="s">
        <v>117</v>
      </c>
      <c r="B3" s="169" t="s">
        <v>209</v>
      </c>
      <c r="C3" s="169"/>
      <c r="D3" s="77" t="s">
        <v>210</v>
      </c>
    </row>
    <row r="4" spans="1:9" x14ac:dyDescent="0.25">
      <c r="A4" s="32" t="s">
        <v>4</v>
      </c>
      <c r="B4" s="170">
        <f>ObsDate</f>
        <v>42047</v>
      </c>
      <c r="C4" s="170"/>
      <c r="D4" s="77" t="s">
        <v>212</v>
      </c>
    </row>
    <row r="5" spans="1:9" x14ac:dyDescent="0.25">
      <c r="A5" s="33" t="s">
        <v>95</v>
      </c>
      <c r="B5" s="177">
        <v>0.61527777777777781</v>
      </c>
      <c r="C5" s="177"/>
      <c r="D5" s="77"/>
    </row>
    <row r="6" spans="1:9" x14ac:dyDescent="0.25">
      <c r="A6" s="33" t="s">
        <v>110</v>
      </c>
      <c r="B6" s="164" t="s">
        <v>208</v>
      </c>
      <c r="C6" s="165"/>
      <c r="D6" s="77"/>
    </row>
    <row r="7" spans="1:9" x14ac:dyDescent="0.25">
      <c r="A7" s="178" t="s">
        <v>152</v>
      </c>
      <c r="B7" s="179"/>
      <c r="C7" s="39" t="s">
        <v>213</v>
      </c>
      <c r="D7" s="77"/>
      <c r="E7" s="83"/>
      <c r="F7" s="74"/>
      <c r="G7" s="74"/>
      <c r="H7" s="75"/>
      <c r="I7" s="76"/>
    </row>
    <row r="8" spans="1:9" ht="30" customHeight="1" thickBot="1" x14ac:dyDescent="0.3">
      <c r="A8" s="34" t="s">
        <v>15</v>
      </c>
      <c r="B8" s="173" t="s">
        <v>207</v>
      </c>
      <c r="C8" s="174"/>
      <c r="D8" s="175"/>
    </row>
    <row r="10" spans="1:9" ht="15.75" thickBot="1" x14ac:dyDescent="0.3">
      <c r="A10" s="49" t="s">
        <v>72</v>
      </c>
      <c r="D10" s="49" t="s">
        <v>97</v>
      </c>
    </row>
    <row r="11" spans="1:9" x14ac:dyDescent="0.25">
      <c r="A11" s="15" t="s">
        <v>111</v>
      </c>
      <c r="B11" s="88">
        <v>-28.7</v>
      </c>
      <c r="D11" s="15" t="s">
        <v>123</v>
      </c>
      <c r="E11" s="91">
        <v>30</v>
      </c>
    </row>
    <row r="12" spans="1:9" x14ac:dyDescent="0.25">
      <c r="A12" s="16" t="s">
        <v>112</v>
      </c>
      <c r="B12" s="89">
        <v>-24.75</v>
      </c>
      <c r="D12" s="16" t="s">
        <v>124</v>
      </c>
      <c r="E12" s="92">
        <v>30</v>
      </c>
    </row>
    <row r="13" spans="1:9" x14ac:dyDescent="0.25">
      <c r="A13" s="16" t="s">
        <v>113</v>
      </c>
      <c r="B13" s="89" t="s">
        <v>214</v>
      </c>
      <c r="D13" s="16" t="s">
        <v>125</v>
      </c>
      <c r="E13" s="92">
        <v>29</v>
      </c>
    </row>
    <row r="14" spans="1:9" ht="15.75" thickBot="1" x14ac:dyDescent="0.3">
      <c r="A14" s="18" t="s">
        <v>114</v>
      </c>
      <c r="B14" s="90">
        <v>-1.9</v>
      </c>
      <c r="D14" s="16" t="s">
        <v>121</v>
      </c>
      <c r="E14" s="92">
        <v>1</v>
      </c>
    </row>
    <row r="15" spans="1:9" x14ac:dyDescent="0.25">
      <c r="D15" s="16" t="s">
        <v>122</v>
      </c>
      <c r="E15" s="92">
        <v>30</v>
      </c>
    </row>
    <row r="16" spans="1:9" ht="15.75" thickBot="1" x14ac:dyDescent="0.3">
      <c r="D16" s="18" t="s">
        <v>134</v>
      </c>
      <c r="E16" s="93">
        <v>0</v>
      </c>
    </row>
    <row r="17" spans="1:8" ht="15.75" thickBot="1" x14ac:dyDescent="0.3"/>
    <row r="18" spans="1:8" x14ac:dyDescent="0.25">
      <c r="D18" s="15" t="s">
        <v>153</v>
      </c>
      <c r="E18" s="94">
        <v>30</v>
      </c>
      <c r="F18" s="84"/>
      <c r="G18" s="85"/>
    </row>
    <row r="19" spans="1:8" x14ac:dyDescent="0.25">
      <c r="D19" s="16" t="s">
        <v>116</v>
      </c>
      <c r="E19" s="95">
        <v>1</v>
      </c>
      <c r="F19" s="58"/>
      <c r="G19" s="86"/>
    </row>
    <row r="20" spans="1:8" ht="15.75" thickBot="1" x14ac:dyDescent="0.3">
      <c r="D20" s="18" t="s">
        <v>115</v>
      </c>
      <c r="E20" s="87"/>
      <c r="F20" s="87"/>
      <c r="G20" s="35">
        <f>SUM(G23:G52)</f>
        <v>0</v>
      </c>
    </row>
    <row r="21" spans="1:8" ht="15.75" thickBot="1" x14ac:dyDescent="0.3"/>
    <row r="22" spans="1:8" ht="15.75" thickBot="1" x14ac:dyDescent="0.3">
      <c r="A22" s="36" t="s">
        <v>154</v>
      </c>
      <c r="B22" s="37" t="s">
        <v>98</v>
      </c>
      <c r="D22" s="36" t="s">
        <v>107</v>
      </c>
      <c r="E22" s="38" t="s">
        <v>126</v>
      </c>
      <c r="F22" s="38" t="s">
        <v>127</v>
      </c>
      <c r="G22" s="38" t="s">
        <v>128</v>
      </c>
      <c r="H22" s="37" t="s">
        <v>13</v>
      </c>
    </row>
    <row r="23" spans="1:8" x14ac:dyDescent="0.25">
      <c r="A23" s="96">
        <v>5</v>
      </c>
      <c r="B23" s="137">
        <v>-17.2</v>
      </c>
      <c r="D23" s="98"/>
      <c r="E23" s="99"/>
      <c r="F23" s="99"/>
      <c r="G23" s="99"/>
      <c r="H23" s="81"/>
    </row>
    <row r="24" spans="1:8" x14ac:dyDescent="0.25">
      <c r="A24" s="97">
        <v>10</v>
      </c>
      <c r="B24" s="138">
        <v>-15</v>
      </c>
      <c r="D24" s="100"/>
      <c r="E24" s="101"/>
      <c r="F24" s="101"/>
      <c r="G24" s="101"/>
      <c r="H24" s="43"/>
    </row>
    <row r="25" spans="1:8" x14ac:dyDescent="0.25">
      <c r="A25" s="97">
        <v>15</v>
      </c>
      <c r="B25" s="138">
        <v>-14</v>
      </c>
      <c r="D25" s="100"/>
      <c r="E25" s="101"/>
      <c r="F25" s="101"/>
      <c r="G25" s="101"/>
      <c r="H25" s="43"/>
    </row>
    <row r="26" spans="1:8" x14ac:dyDescent="0.25">
      <c r="A26" s="97">
        <v>20</v>
      </c>
      <c r="B26" s="138">
        <v>-10.75</v>
      </c>
      <c r="D26" s="100"/>
      <c r="E26" s="101"/>
      <c r="F26" s="101"/>
      <c r="G26" s="101"/>
      <c r="H26" s="43"/>
    </row>
    <row r="27" spans="1:8" x14ac:dyDescent="0.25">
      <c r="A27" s="97">
        <v>25</v>
      </c>
      <c r="B27" s="138">
        <v>-6.73</v>
      </c>
      <c r="D27" s="100"/>
      <c r="E27" s="101"/>
      <c r="F27" s="101"/>
      <c r="G27" s="101"/>
      <c r="H27" s="43"/>
    </row>
    <row r="28" spans="1:8" x14ac:dyDescent="0.25">
      <c r="A28" s="97"/>
      <c r="B28" s="138"/>
      <c r="D28" s="100"/>
      <c r="E28" s="101"/>
      <c r="F28" s="101"/>
      <c r="G28" s="101"/>
      <c r="H28" s="43"/>
    </row>
    <row r="29" spans="1:8" x14ac:dyDescent="0.25">
      <c r="A29" s="97"/>
      <c r="B29" s="138"/>
      <c r="D29" s="100"/>
      <c r="E29" s="101"/>
      <c r="F29" s="101"/>
      <c r="G29" s="101"/>
      <c r="H29" s="43"/>
    </row>
    <row r="30" spans="1:8" x14ac:dyDescent="0.25">
      <c r="A30" s="97"/>
      <c r="B30" s="138"/>
      <c r="D30" s="100"/>
      <c r="E30" s="101"/>
      <c r="F30" s="101"/>
      <c r="G30" s="101"/>
      <c r="H30" s="43"/>
    </row>
    <row r="31" spans="1:8" x14ac:dyDescent="0.25">
      <c r="A31" s="97"/>
      <c r="B31" s="138"/>
      <c r="D31" s="100"/>
      <c r="E31" s="101"/>
      <c r="F31" s="101"/>
      <c r="G31" s="101"/>
      <c r="H31" s="43"/>
    </row>
    <row r="32" spans="1:8" x14ac:dyDescent="0.25">
      <c r="A32" s="97"/>
      <c r="B32" s="138"/>
      <c r="D32" s="100"/>
      <c r="E32" s="101"/>
      <c r="F32" s="101"/>
      <c r="G32" s="101"/>
      <c r="H32" s="43"/>
    </row>
    <row r="33" spans="1:8" x14ac:dyDescent="0.25">
      <c r="A33" s="97"/>
      <c r="B33" s="138"/>
      <c r="D33" s="100"/>
      <c r="E33" s="101"/>
      <c r="F33" s="101"/>
      <c r="G33" s="101"/>
      <c r="H33" s="43"/>
    </row>
    <row r="34" spans="1:8" x14ac:dyDescent="0.25">
      <c r="A34" s="97"/>
      <c r="B34" s="138"/>
      <c r="D34" s="100"/>
      <c r="E34" s="101"/>
      <c r="F34" s="101"/>
      <c r="G34" s="101"/>
      <c r="H34" s="43"/>
    </row>
    <row r="35" spans="1:8" x14ac:dyDescent="0.25">
      <c r="A35" s="97"/>
      <c r="B35" s="138"/>
      <c r="D35" s="100"/>
      <c r="E35" s="101"/>
      <c r="F35" s="101"/>
      <c r="G35" s="101"/>
      <c r="H35" s="43"/>
    </row>
    <row r="36" spans="1:8" x14ac:dyDescent="0.25">
      <c r="A36" s="97"/>
      <c r="B36" s="138"/>
      <c r="D36" s="100"/>
      <c r="E36" s="101"/>
      <c r="F36" s="101"/>
      <c r="G36" s="101"/>
      <c r="H36" s="43"/>
    </row>
    <row r="37" spans="1:8" x14ac:dyDescent="0.25">
      <c r="A37" s="97"/>
      <c r="B37" s="138"/>
      <c r="D37" s="100"/>
      <c r="E37" s="101"/>
      <c r="F37" s="101"/>
      <c r="G37" s="101"/>
      <c r="H37" s="43"/>
    </row>
    <row r="38" spans="1:8" x14ac:dyDescent="0.25">
      <c r="A38" s="97"/>
      <c r="B38" s="138"/>
      <c r="D38" s="100"/>
      <c r="E38" s="101"/>
      <c r="F38" s="101"/>
      <c r="G38" s="101"/>
      <c r="H38" s="43"/>
    </row>
    <row r="39" spans="1:8" x14ac:dyDescent="0.25">
      <c r="A39" s="97"/>
      <c r="B39" s="138"/>
      <c r="D39" s="100"/>
      <c r="E39" s="101"/>
      <c r="F39" s="101"/>
      <c r="G39" s="101"/>
      <c r="H39" s="43"/>
    </row>
    <row r="40" spans="1:8" x14ac:dyDescent="0.25">
      <c r="A40" s="97"/>
      <c r="B40" s="138"/>
      <c r="D40" s="100"/>
      <c r="E40" s="101"/>
      <c r="F40" s="101"/>
      <c r="G40" s="101"/>
      <c r="H40" s="43"/>
    </row>
    <row r="41" spans="1:8" x14ac:dyDescent="0.25">
      <c r="A41" s="97"/>
      <c r="B41" s="138"/>
      <c r="D41" s="100"/>
      <c r="E41" s="101"/>
      <c r="F41" s="101"/>
      <c r="G41" s="101"/>
      <c r="H41" s="43"/>
    </row>
    <row r="42" spans="1:8" x14ac:dyDescent="0.25">
      <c r="A42" s="97"/>
      <c r="B42" s="138"/>
      <c r="D42" s="100"/>
      <c r="E42" s="101"/>
      <c r="F42" s="101"/>
      <c r="G42" s="101"/>
      <c r="H42" s="43"/>
    </row>
    <row r="43" spans="1:8" x14ac:dyDescent="0.25">
      <c r="A43" s="97"/>
      <c r="B43" s="138"/>
      <c r="D43" s="100"/>
      <c r="E43" s="101"/>
      <c r="F43" s="101"/>
      <c r="G43" s="101"/>
      <c r="H43" s="43"/>
    </row>
    <row r="44" spans="1:8" x14ac:dyDescent="0.25">
      <c r="A44" s="97"/>
      <c r="B44" s="138"/>
      <c r="D44" s="100"/>
      <c r="E44" s="101"/>
      <c r="F44" s="101"/>
      <c r="G44" s="101"/>
      <c r="H44" s="43"/>
    </row>
    <row r="45" spans="1:8" x14ac:dyDescent="0.25">
      <c r="A45" s="97"/>
      <c r="B45" s="138"/>
      <c r="D45" s="100"/>
      <c r="E45" s="101"/>
      <c r="F45" s="101"/>
      <c r="G45" s="101"/>
      <c r="H45" s="43"/>
    </row>
    <row r="46" spans="1:8" x14ac:dyDescent="0.25">
      <c r="A46" s="97"/>
      <c r="B46" s="138"/>
      <c r="D46" s="100"/>
      <c r="E46" s="101"/>
      <c r="F46" s="101"/>
      <c r="G46" s="101"/>
      <c r="H46" s="43"/>
    </row>
    <row r="47" spans="1:8" x14ac:dyDescent="0.25">
      <c r="A47" s="97"/>
      <c r="B47" s="138"/>
      <c r="D47" s="100"/>
      <c r="E47" s="101"/>
      <c r="F47" s="101"/>
      <c r="G47" s="101"/>
      <c r="H47" s="43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topLeftCell="A2" zoomScale="80" zoomScaleNormal="80" workbookViewId="0">
      <selection activeCell="A23" sqref="A23"/>
    </sheetView>
  </sheetViews>
  <sheetFormatPr defaultColWidth="9.140625" defaultRowHeight="15" x14ac:dyDescent="0.25"/>
  <cols>
    <col min="1" max="1" width="23.7109375" style="47" bestFit="1" customWidth="1"/>
    <col min="2" max="2" width="16.7109375" style="47" bestFit="1" customWidth="1"/>
    <col min="3" max="3" width="20.42578125" style="47" bestFit="1" customWidth="1"/>
    <col min="4" max="4" width="27" style="47" bestFit="1" customWidth="1"/>
    <col min="5" max="5" width="18.7109375" style="47" customWidth="1"/>
    <col min="6" max="6" width="20.28515625" style="47" bestFit="1" customWidth="1"/>
    <col min="7" max="7" width="18.7109375" style="47" customWidth="1"/>
    <col min="8" max="8" width="36.7109375" style="47" customWidth="1"/>
    <col min="9" max="16384" width="9.140625" style="47"/>
  </cols>
  <sheetData>
    <row r="1" spans="1:9" ht="34.5" thickBot="1" x14ac:dyDescent="0.55000000000000004">
      <c r="A1" s="176" t="s">
        <v>155</v>
      </c>
      <c r="B1" s="176"/>
      <c r="C1" s="176"/>
      <c r="D1" s="176"/>
    </row>
    <row r="2" spans="1:9" x14ac:dyDescent="0.25">
      <c r="A2" s="31" t="s">
        <v>16</v>
      </c>
      <c r="B2" s="168" t="str">
        <f>CONCATENATE(ExpID,"-",StnNum,"-",StnDay)</f>
        <v>NICE-1-29</v>
      </c>
      <c r="C2" s="168"/>
      <c r="D2" s="73"/>
    </row>
    <row r="3" spans="1:9" x14ac:dyDescent="0.25">
      <c r="A3" s="32" t="s">
        <v>117</v>
      </c>
      <c r="B3" s="169" t="s">
        <v>209</v>
      </c>
      <c r="C3" s="169"/>
      <c r="D3" s="77" t="s">
        <v>210</v>
      </c>
    </row>
    <row r="4" spans="1:9" x14ac:dyDescent="0.25">
      <c r="A4" s="32" t="s">
        <v>4</v>
      </c>
      <c r="B4" s="170">
        <f>ObsDate</f>
        <v>42047</v>
      </c>
      <c r="C4" s="170"/>
      <c r="D4" s="77" t="s">
        <v>212</v>
      </c>
    </row>
    <row r="5" spans="1:9" x14ac:dyDescent="0.25">
      <c r="A5" s="33" t="s">
        <v>95</v>
      </c>
      <c r="B5" s="177">
        <v>0.61527777777777781</v>
      </c>
      <c r="C5" s="177"/>
      <c r="D5" s="77"/>
    </row>
    <row r="6" spans="1:9" x14ac:dyDescent="0.25">
      <c r="A6" s="33" t="s">
        <v>110</v>
      </c>
      <c r="B6" s="164" t="s">
        <v>208</v>
      </c>
      <c r="C6" s="165"/>
      <c r="D6" s="77"/>
    </row>
    <row r="7" spans="1:9" x14ac:dyDescent="0.25">
      <c r="A7" s="178" t="s">
        <v>152</v>
      </c>
      <c r="B7" s="179"/>
      <c r="C7" s="39" t="s">
        <v>215</v>
      </c>
      <c r="D7" s="77"/>
      <c r="E7" s="83"/>
      <c r="F7" s="74"/>
      <c r="G7" s="74"/>
      <c r="H7" s="75"/>
      <c r="I7" s="76"/>
    </row>
    <row r="8" spans="1:9" ht="30" customHeight="1" thickBot="1" x14ac:dyDescent="0.3">
      <c r="A8" s="34" t="s">
        <v>15</v>
      </c>
      <c r="B8" s="173"/>
      <c r="C8" s="174"/>
      <c r="D8" s="175"/>
    </row>
    <row r="10" spans="1:9" ht="15.75" thickBot="1" x14ac:dyDescent="0.3">
      <c r="A10" s="49" t="s">
        <v>72</v>
      </c>
      <c r="D10" s="49" t="s">
        <v>97</v>
      </c>
    </row>
    <row r="11" spans="1:9" x14ac:dyDescent="0.25">
      <c r="A11" s="15" t="s">
        <v>111</v>
      </c>
      <c r="B11" s="88">
        <v>-28.7</v>
      </c>
      <c r="D11" s="15" t="s">
        <v>123</v>
      </c>
      <c r="E11" s="91"/>
    </row>
    <row r="12" spans="1:9" x14ac:dyDescent="0.25">
      <c r="A12" s="16" t="s">
        <v>112</v>
      </c>
      <c r="B12" s="89">
        <v>-24.75</v>
      </c>
      <c r="D12" s="16" t="s">
        <v>124</v>
      </c>
      <c r="E12" s="92"/>
    </row>
    <row r="13" spans="1:9" x14ac:dyDescent="0.25">
      <c r="A13" s="16" t="s">
        <v>113</v>
      </c>
      <c r="B13" s="89" t="s">
        <v>214</v>
      </c>
      <c r="D13" s="16" t="s">
        <v>125</v>
      </c>
      <c r="E13" s="92"/>
    </row>
    <row r="14" spans="1:9" ht="15.75" thickBot="1" x14ac:dyDescent="0.3">
      <c r="A14" s="18" t="s">
        <v>114</v>
      </c>
      <c r="B14" s="90">
        <v>-1.9</v>
      </c>
      <c r="D14" s="16" t="s">
        <v>121</v>
      </c>
      <c r="E14" s="92">
        <v>1</v>
      </c>
    </row>
    <row r="15" spans="1:9" x14ac:dyDescent="0.25">
      <c r="D15" s="16" t="s">
        <v>122</v>
      </c>
      <c r="E15" s="92">
        <v>30</v>
      </c>
    </row>
    <row r="16" spans="1:9" ht="15.75" thickBot="1" x14ac:dyDescent="0.3">
      <c r="D16" s="18" t="s">
        <v>134</v>
      </c>
      <c r="E16" s="93">
        <v>0</v>
      </c>
    </row>
    <row r="17" spans="1:6" ht="15.75" thickBot="1" x14ac:dyDescent="0.3"/>
    <row r="18" spans="1:6" x14ac:dyDescent="0.25">
      <c r="A18" s="15" t="s">
        <v>153</v>
      </c>
      <c r="B18" s="94">
        <v>30</v>
      </c>
      <c r="C18" s="84"/>
      <c r="D18" s="85"/>
    </row>
    <row r="19" spans="1:6" x14ac:dyDescent="0.25">
      <c r="A19" s="16" t="s">
        <v>116</v>
      </c>
      <c r="B19" s="95">
        <v>1</v>
      </c>
      <c r="C19" s="58"/>
      <c r="D19" s="86"/>
    </row>
    <row r="20" spans="1:6" ht="15.75" thickBot="1" x14ac:dyDescent="0.3">
      <c r="A20" s="18" t="s">
        <v>115</v>
      </c>
      <c r="B20" s="87"/>
      <c r="C20" s="87"/>
      <c r="D20" s="35">
        <f>SUM(G23:G52)</f>
        <v>0</v>
      </c>
    </row>
    <row r="21" spans="1:6" ht="15.75" thickBot="1" x14ac:dyDescent="0.3"/>
    <row r="22" spans="1:6" ht="15.75" thickBot="1" x14ac:dyDescent="0.3">
      <c r="A22" s="36" t="s">
        <v>107</v>
      </c>
      <c r="B22" s="38" t="s">
        <v>126</v>
      </c>
      <c r="C22" s="38" t="s">
        <v>127</v>
      </c>
      <c r="D22" s="38" t="s">
        <v>128</v>
      </c>
      <c r="E22" s="181" t="s">
        <v>13</v>
      </c>
      <c r="F22" s="182"/>
    </row>
    <row r="23" spans="1:6" x14ac:dyDescent="0.25">
      <c r="A23" s="98"/>
      <c r="B23" s="99"/>
      <c r="C23" s="99"/>
      <c r="D23" s="99"/>
      <c r="E23" s="183"/>
      <c r="F23" s="183"/>
    </row>
    <row r="24" spans="1:6" x14ac:dyDescent="0.25">
      <c r="A24" s="100"/>
      <c r="B24" s="101"/>
      <c r="C24" s="101"/>
      <c r="D24" s="101"/>
      <c r="E24" s="180"/>
      <c r="F24" s="180"/>
    </row>
    <row r="25" spans="1:6" x14ac:dyDescent="0.25">
      <c r="A25" s="100"/>
      <c r="B25" s="101"/>
      <c r="C25" s="101"/>
      <c r="D25" s="101"/>
      <c r="E25" s="180"/>
      <c r="F25" s="180"/>
    </row>
    <row r="26" spans="1:6" x14ac:dyDescent="0.25">
      <c r="A26" s="100"/>
      <c r="B26" s="101"/>
      <c r="C26" s="101"/>
      <c r="D26" s="101"/>
      <c r="E26" s="180"/>
      <c r="F26" s="180"/>
    </row>
    <row r="27" spans="1:6" x14ac:dyDescent="0.25">
      <c r="A27" s="100"/>
      <c r="B27" s="101"/>
      <c r="C27" s="101"/>
      <c r="D27" s="101"/>
      <c r="E27" s="180"/>
      <c r="F27" s="180"/>
    </row>
    <row r="28" spans="1:6" x14ac:dyDescent="0.25">
      <c r="A28" s="100"/>
      <c r="B28" s="101"/>
      <c r="C28" s="101"/>
      <c r="D28" s="101"/>
      <c r="E28" s="180"/>
      <c r="F28" s="180"/>
    </row>
    <row r="29" spans="1:6" x14ac:dyDescent="0.25">
      <c r="A29" s="100"/>
      <c r="B29" s="101"/>
      <c r="C29" s="101"/>
      <c r="D29" s="101"/>
      <c r="E29" s="180"/>
      <c r="F29" s="180"/>
    </row>
    <row r="30" spans="1:6" x14ac:dyDescent="0.25">
      <c r="A30" s="100"/>
      <c r="B30" s="101"/>
      <c r="C30" s="101"/>
      <c r="D30" s="101"/>
      <c r="E30" s="180"/>
      <c r="F30" s="180"/>
    </row>
    <row r="31" spans="1:6" x14ac:dyDescent="0.25">
      <c r="A31" s="100"/>
      <c r="B31" s="101"/>
      <c r="C31" s="101"/>
      <c r="D31" s="101"/>
      <c r="E31" s="180"/>
      <c r="F31" s="180"/>
    </row>
    <row r="32" spans="1:6" x14ac:dyDescent="0.25">
      <c r="A32" s="100"/>
      <c r="B32" s="101"/>
      <c r="C32" s="101"/>
      <c r="D32" s="101"/>
      <c r="E32" s="180"/>
      <c r="F32" s="180"/>
    </row>
    <row r="33" spans="1:6" x14ac:dyDescent="0.25">
      <c r="A33" s="100"/>
      <c r="B33" s="101"/>
      <c r="C33" s="101"/>
      <c r="D33" s="101"/>
      <c r="E33" s="180"/>
      <c r="F33" s="180"/>
    </row>
    <row r="34" spans="1:6" x14ac:dyDescent="0.25">
      <c r="A34" s="100"/>
      <c r="B34" s="101"/>
      <c r="C34" s="101"/>
      <c r="D34" s="101"/>
      <c r="E34" s="180"/>
      <c r="F34" s="180"/>
    </row>
    <row r="35" spans="1:6" x14ac:dyDescent="0.25">
      <c r="A35" s="100"/>
      <c r="B35" s="101"/>
      <c r="C35" s="101"/>
      <c r="D35" s="101"/>
      <c r="E35" s="180"/>
      <c r="F35" s="180"/>
    </row>
    <row r="36" spans="1:6" x14ac:dyDescent="0.25">
      <c r="A36" s="100"/>
      <c r="B36" s="101"/>
      <c r="C36" s="101"/>
      <c r="D36" s="101"/>
      <c r="E36" s="180"/>
      <c r="F36" s="180"/>
    </row>
    <row r="37" spans="1:6" x14ac:dyDescent="0.25">
      <c r="A37" s="100"/>
      <c r="B37" s="101"/>
      <c r="C37" s="101"/>
      <c r="D37" s="101"/>
      <c r="E37" s="180"/>
      <c r="F37" s="180"/>
    </row>
    <row r="38" spans="1:6" x14ac:dyDescent="0.25">
      <c r="A38" s="100"/>
      <c r="B38" s="101"/>
      <c r="C38" s="101"/>
      <c r="D38" s="101"/>
      <c r="E38" s="180"/>
      <c r="F38" s="180"/>
    </row>
    <row r="39" spans="1:6" x14ac:dyDescent="0.25">
      <c r="A39" s="100"/>
      <c r="B39" s="101"/>
      <c r="C39" s="101"/>
      <c r="D39" s="101"/>
      <c r="E39" s="180"/>
      <c r="F39" s="180"/>
    </row>
    <row r="40" spans="1:6" x14ac:dyDescent="0.25">
      <c r="A40" s="100"/>
      <c r="B40" s="101"/>
      <c r="C40" s="101"/>
      <c r="D40" s="101"/>
      <c r="E40" s="180"/>
      <c r="F40" s="180"/>
    </row>
    <row r="41" spans="1:6" x14ac:dyDescent="0.25">
      <c r="A41" s="100"/>
      <c r="B41" s="101"/>
      <c r="C41" s="101"/>
      <c r="D41" s="101"/>
      <c r="E41" s="180"/>
      <c r="F41" s="180"/>
    </row>
    <row r="42" spans="1:6" x14ac:dyDescent="0.25">
      <c r="A42" s="100"/>
      <c r="B42" s="101"/>
      <c r="C42" s="101"/>
      <c r="D42" s="101"/>
      <c r="E42" s="180"/>
      <c r="F42" s="180"/>
    </row>
    <row r="43" spans="1:6" x14ac:dyDescent="0.25">
      <c r="A43" s="100"/>
      <c r="B43" s="101"/>
      <c r="C43" s="101"/>
      <c r="D43" s="101"/>
      <c r="E43" s="180"/>
      <c r="F43" s="180"/>
    </row>
    <row r="44" spans="1:6" x14ac:dyDescent="0.25">
      <c r="A44" s="100"/>
      <c r="B44" s="101"/>
      <c r="C44" s="101"/>
      <c r="D44" s="101"/>
      <c r="E44" s="180"/>
      <c r="F44" s="180"/>
    </row>
    <row r="45" spans="1:6" x14ac:dyDescent="0.25">
      <c r="A45" s="100"/>
      <c r="B45" s="101"/>
      <c r="C45" s="101"/>
      <c r="D45" s="101"/>
      <c r="E45" s="180"/>
      <c r="F45" s="180"/>
    </row>
    <row r="46" spans="1:6" x14ac:dyDescent="0.25">
      <c r="A46" s="100"/>
      <c r="B46" s="101"/>
      <c r="C46" s="101"/>
      <c r="D46" s="101"/>
      <c r="E46" s="180"/>
      <c r="F46" s="180"/>
    </row>
    <row r="47" spans="1:6" x14ac:dyDescent="0.25">
      <c r="A47" s="100"/>
      <c r="B47" s="101"/>
      <c r="C47" s="101"/>
      <c r="D47" s="101"/>
      <c r="E47" s="180"/>
      <c r="F47" s="18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K41"/>
  <sheetViews>
    <sheetView topLeftCell="A2" zoomScale="80" zoomScaleNormal="80" workbookViewId="0">
      <selection activeCell="A5" sqref="A5"/>
    </sheetView>
  </sheetViews>
  <sheetFormatPr defaultColWidth="9.140625" defaultRowHeight="15" x14ac:dyDescent="0.25"/>
  <cols>
    <col min="1" max="1" width="21.7109375" style="47" customWidth="1"/>
    <col min="2" max="3" width="15.7109375" style="47" customWidth="1"/>
    <col min="4" max="5" width="18.7109375" style="47" customWidth="1"/>
    <col min="6" max="6" width="19.5703125" style="47" bestFit="1" customWidth="1"/>
    <col min="7" max="8" width="19.5703125" style="47" customWidth="1"/>
    <col min="9" max="9" width="19.85546875" style="47" bestFit="1" customWidth="1"/>
    <col min="10" max="10" width="19.5703125" style="47" bestFit="1" customWidth="1"/>
    <col min="11" max="11" width="36.7109375" style="110" customWidth="1"/>
    <col min="12" max="16384" width="9.140625" style="47"/>
  </cols>
  <sheetData>
    <row r="1" spans="1:10" ht="34.5" thickBot="1" x14ac:dyDescent="0.55000000000000004">
      <c r="A1" s="176" t="s">
        <v>109</v>
      </c>
      <c r="B1" s="176"/>
      <c r="C1" s="176"/>
      <c r="D1" s="108"/>
    </row>
    <row r="2" spans="1:10" x14ac:dyDescent="0.25">
      <c r="A2" s="31" t="s">
        <v>16</v>
      </c>
      <c r="B2" s="168" t="str">
        <f>CONCATENATE(ExpID,"-",StnNum,"-",StnDay)</f>
        <v>NICE-1-29</v>
      </c>
      <c r="C2" s="168"/>
      <c r="D2" s="73"/>
    </row>
    <row r="3" spans="1:10" x14ac:dyDescent="0.25">
      <c r="A3" s="32" t="s">
        <v>117</v>
      </c>
      <c r="B3" s="169" t="s">
        <v>209</v>
      </c>
      <c r="C3" s="169"/>
      <c r="D3" s="77" t="s">
        <v>210</v>
      </c>
    </row>
    <row r="4" spans="1:10" x14ac:dyDescent="0.25">
      <c r="A4" s="32" t="s">
        <v>4</v>
      </c>
      <c r="B4" s="170">
        <f>ObsDate</f>
        <v>42047</v>
      </c>
      <c r="C4" s="170"/>
      <c r="D4" s="77" t="s">
        <v>212</v>
      </c>
    </row>
    <row r="5" spans="1:10" x14ac:dyDescent="0.25">
      <c r="A5" s="33" t="s">
        <v>95</v>
      </c>
      <c r="B5" s="177">
        <v>0.61527777777777781</v>
      </c>
      <c r="C5" s="177"/>
      <c r="D5" s="77"/>
    </row>
    <row r="6" spans="1:10" x14ac:dyDescent="0.25">
      <c r="A6" s="33" t="s">
        <v>110</v>
      </c>
      <c r="B6" s="164" t="s">
        <v>208</v>
      </c>
      <c r="C6" s="165"/>
      <c r="D6" s="77"/>
      <c r="E6" s="74"/>
      <c r="F6" s="74"/>
      <c r="G6" s="74"/>
      <c r="H6" s="74"/>
      <c r="I6" s="75"/>
      <c r="J6" s="76"/>
    </row>
    <row r="7" spans="1:10" ht="30" customHeight="1" thickBot="1" x14ac:dyDescent="0.3">
      <c r="A7" s="34" t="s">
        <v>15</v>
      </c>
      <c r="B7" s="184"/>
      <c r="C7" s="185"/>
      <c r="D7" s="186"/>
    </row>
    <row r="9" spans="1:10" ht="15.75" thickBot="1" x14ac:dyDescent="0.3">
      <c r="A9" s="49" t="s">
        <v>97</v>
      </c>
    </row>
    <row r="10" spans="1:10" x14ac:dyDescent="0.25">
      <c r="A10" s="117" t="s">
        <v>134</v>
      </c>
      <c r="B10" s="118">
        <v>0</v>
      </c>
      <c r="F10" s="124" t="s">
        <v>107</v>
      </c>
      <c r="G10" s="125" t="s">
        <v>132</v>
      </c>
      <c r="H10" s="125" t="s">
        <v>133</v>
      </c>
      <c r="I10" s="126" t="s">
        <v>13</v>
      </c>
    </row>
    <row r="11" spans="1:10" x14ac:dyDescent="0.25">
      <c r="A11" s="119" t="s">
        <v>122</v>
      </c>
      <c r="B11" s="120">
        <v>29</v>
      </c>
      <c r="F11" s="127"/>
      <c r="G11" s="113"/>
      <c r="H11" s="41"/>
      <c r="I11" s="128"/>
    </row>
    <row r="12" spans="1:10" x14ac:dyDescent="0.25">
      <c r="A12" s="119" t="s">
        <v>135</v>
      </c>
      <c r="B12" s="120"/>
      <c r="F12" s="127"/>
      <c r="G12" s="41"/>
      <c r="H12" s="114"/>
      <c r="I12" s="129"/>
    </row>
    <row r="13" spans="1:10" x14ac:dyDescent="0.25">
      <c r="A13" s="119" t="s">
        <v>121</v>
      </c>
      <c r="B13" s="120">
        <v>1</v>
      </c>
      <c r="F13" s="127"/>
      <c r="G13" s="41"/>
      <c r="H13" s="41"/>
      <c r="I13" s="129"/>
    </row>
    <row r="14" spans="1:10" ht="15.75" thickBot="1" x14ac:dyDescent="0.3">
      <c r="A14" s="121" t="s">
        <v>136</v>
      </c>
      <c r="B14" s="122">
        <v>29</v>
      </c>
      <c r="F14" s="127"/>
      <c r="G14" s="41"/>
      <c r="H14" s="41"/>
      <c r="I14" s="129"/>
    </row>
    <row r="15" spans="1:10" x14ac:dyDescent="0.25">
      <c r="F15" s="127"/>
      <c r="G15" s="41"/>
      <c r="H15" s="41"/>
      <c r="I15" s="129"/>
    </row>
    <row r="16" spans="1:10" ht="15.75" thickBot="1" x14ac:dyDescent="0.3">
      <c r="A16" s="49" t="s">
        <v>100</v>
      </c>
      <c r="F16" s="127"/>
      <c r="G16" s="41"/>
      <c r="H16" s="41"/>
      <c r="I16" s="129"/>
    </row>
    <row r="17" spans="1:11" x14ac:dyDescent="0.25">
      <c r="A17" s="117" t="s">
        <v>137</v>
      </c>
      <c r="B17" s="118">
        <v>9</v>
      </c>
      <c r="F17" s="127"/>
      <c r="G17" s="41"/>
      <c r="H17" s="41"/>
      <c r="I17" s="129"/>
    </row>
    <row r="18" spans="1:11" ht="15.75" thickBot="1" x14ac:dyDescent="0.3">
      <c r="A18" s="18" t="s">
        <v>138</v>
      </c>
      <c r="B18" s="123"/>
      <c r="F18" s="127"/>
      <c r="G18" s="41"/>
      <c r="H18" s="41"/>
      <c r="I18" s="129"/>
    </row>
    <row r="19" spans="1:11" ht="15.75" thickBot="1" x14ac:dyDescent="0.3">
      <c r="B19" s="111"/>
      <c r="F19" s="130"/>
      <c r="G19" s="131"/>
      <c r="H19" s="131"/>
      <c r="I19" s="132"/>
    </row>
    <row r="21" spans="1:11" ht="15.75" thickBot="1" x14ac:dyDescent="0.3"/>
    <row r="22" spans="1:11" s="112" customFormat="1" ht="15.75" thickBot="1" x14ac:dyDescent="0.3">
      <c r="A22" s="134" t="s">
        <v>129</v>
      </c>
      <c r="B22" s="135" t="s">
        <v>130</v>
      </c>
      <c r="C22" s="135" t="s">
        <v>108</v>
      </c>
      <c r="D22" s="135" t="s">
        <v>104</v>
      </c>
      <c r="E22" s="135" t="s">
        <v>139</v>
      </c>
      <c r="F22" s="135" t="s">
        <v>140</v>
      </c>
      <c r="G22" s="135" t="s">
        <v>157</v>
      </c>
      <c r="H22" s="135" t="s">
        <v>158</v>
      </c>
      <c r="I22" s="135" t="s">
        <v>141</v>
      </c>
      <c r="J22" s="135" t="s">
        <v>106</v>
      </c>
      <c r="K22" s="136" t="s">
        <v>13</v>
      </c>
    </row>
    <row r="23" spans="1:11" x14ac:dyDescent="0.25">
      <c r="A23" s="116">
        <v>0</v>
      </c>
      <c r="B23" s="116">
        <v>10</v>
      </c>
      <c r="C23" s="109" t="s">
        <v>217</v>
      </c>
      <c r="D23" s="109">
        <v>569</v>
      </c>
      <c r="E23" s="116">
        <v>9.6</v>
      </c>
      <c r="F23" s="116">
        <v>9.6999999999999993</v>
      </c>
      <c r="G23" s="116">
        <v>9.6999999999999993</v>
      </c>
      <c r="H23" s="116">
        <v>9.6999999999999993</v>
      </c>
      <c r="I23" s="116"/>
      <c r="J23" s="109"/>
      <c r="K23" s="133"/>
    </row>
    <row r="24" spans="1:11" x14ac:dyDescent="0.25">
      <c r="A24" s="40">
        <v>10</v>
      </c>
      <c r="B24" s="40">
        <v>20</v>
      </c>
      <c r="C24" s="40" t="s">
        <v>218</v>
      </c>
      <c r="D24" s="40">
        <v>609</v>
      </c>
      <c r="E24" s="40">
        <v>9.8000000000000007</v>
      </c>
      <c r="F24" s="40">
        <v>9.8000000000000007</v>
      </c>
      <c r="G24" s="40">
        <v>9.8000000000000007</v>
      </c>
      <c r="H24" s="40">
        <v>9.8000000000000007</v>
      </c>
      <c r="I24" s="116"/>
      <c r="J24" s="40"/>
      <c r="K24" s="115"/>
    </row>
    <row r="25" spans="1:11" x14ac:dyDescent="0.25">
      <c r="A25" s="40">
        <v>20</v>
      </c>
      <c r="B25" s="40">
        <v>30</v>
      </c>
      <c r="C25" s="40" t="s">
        <v>219</v>
      </c>
      <c r="D25" s="40">
        <v>546</v>
      </c>
      <c r="E25" s="40">
        <v>9.8000000000000007</v>
      </c>
      <c r="F25" s="40">
        <v>9.6999999999999993</v>
      </c>
      <c r="G25" s="40">
        <v>9.8000000000000007</v>
      </c>
      <c r="H25" s="40">
        <v>9.6</v>
      </c>
      <c r="I25" s="116"/>
      <c r="J25" s="40"/>
      <c r="K25" s="115"/>
    </row>
    <row r="26" spans="1:11" x14ac:dyDescent="0.25">
      <c r="A26" s="40"/>
      <c r="B26" s="40"/>
      <c r="C26" s="40"/>
      <c r="D26" s="40"/>
      <c r="E26" s="40"/>
      <c r="F26" s="40"/>
      <c r="G26" s="40"/>
      <c r="H26" s="40"/>
      <c r="I26" s="116"/>
      <c r="J26" s="40"/>
      <c r="K26" s="115"/>
    </row>
    <row r="27" spans="1:11" x14ac:dyDescent="0.25">
      <c r="A27" s="40"/>
      <c r="B27" s="40"/>
      <c r="C27" s="40"/>
      <c r="D27" s="40"/>
      <c r="E27" s="40"/>
      <c r="F27" s="40"/>
      <c r="G27" s="40"/>
      <c r="H27" s="40"/>
      <c r="I27" s="116"/>
      <c r="J27" s="40"/>
      <c r="K27" s="115"/>
    </row>
    <row r="28" spans="1:11" x14ac:dyDescent="0.25">
      <c r="A28" s="40"/>
      <c r="B28" s="40"/>
      <c r="C28" s="40"/>
      <c r="D28" s="40"/>
      <c r="E28" s="40"/>
      <c r="F28" s="40"/>
      <c r="G28" s="40"/>
      <c r="H28" s="40"/>
      <c r="I28" s="116"/>
      <c r="J28" s="40"/>
      <c r="K28" s="115"/>
    </row>
    <row r="29" spans="1:11" x14ac:dyDescent="0.25">
      <c r="A29" s="40"/>
      <c r="B29" s="40"/>
      <c r="C29" s="40"/>
      <c r="D29" s="40"/>
      <c r="E29" s="40"/>
      <c r="F29" s="40"/>
      <c r="G29" s="40"/>
      <c r="H29" s="40"/>
      <c r="I29" s="116"/>
      <c r="J29" s="40"/>
      <c r="K29" s="115"/>
    </row>
    <row r="30" spans="1:11" x14ac:dyDescent="0.25">
      <c r="A30" s="40"/>
      <c r="B30" s="40"/>
      <c r="C30" s="40"/>
      <c r="D30" s="40"/>
      <c r="E30" s="40"/>
      <c r="F30" s="40"/>
      <c r="G30" s="40"/>
      <c r="H30" s="40"/>
      <c r="I30" s="116"/>
      <c r="J30" s="40"/>
      <c r="K30" s="115"/>
    </row>
    <row r="31" spans="1:11" x14ac:dyDescent="0.25">
      <c r="A31" s="40"/>
      <c r="B31" s="40"/>
      <c r="C31" s="40"/>
      <c r="D31" s="40"/>
      <c r="E31" s="40"/>
      <c r="F31" s="40"/>
      <c r="G31" s="40"/>
      <c r="H31" s="40"/>
      <c r="I31" s="116"/>
      <c r="J31" s="40"/>
      <c r="K31" s="115"/>
    </row>
    <row r="32" spans="1:11" x14ac:dyDescent="0.25">
      <c r="A32" s="40"/>
      <c r="B32" s="40"/>
      <c r="C32" s="40"/>
      <c r="D32" s="40"/>
      <c r="E32" s="40"/>
      <c r="F32" s="40"/>
      <c r="G32" s="40"/>
      <c r="H32" s="40"/>
      <c r="I32" s="116"/>
      <c r="J32" s="40"/>
      <c r="K32" s="115"/>
    </row>
    <row r="33" spans="1:1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115"/>
    </row>
    <row r="34" spans="1:1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115"/>
    </row>
    <row r="35" spans="1:1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115"/>
    </row>
    <row r="36" spans="1:1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115"/>
    </row>
    <row r="37" spans="1:1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115"/>
    </row>
    <row r="38" spans="1:1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115"/>
    </row>
    <row r="39" spans="1:1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115"/>
    </row>
    <row r="40" spans="1:1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115"/>
    </row>
    <row r="41" spans="1:1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115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5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98B8-4A6B-4074-8957-C2EF29E6E680}">
  <sheetPr>
    <tabColor rgb="FF92D050"/>
    <pageSetUpPr fitToPage="1"/>
  </sheetPr>
  <dimension ref="A1:L41"/>
  <sheetViews>
    <sheetView zoomScale="80" zoomScaleNormal="80" workbookViewId="0">
      <selection activeCell="D4" sqref="D4"/>
    </sheetView>
  </sheetViews>
  <sheetFormatPr defaultColWidth="9.140625" defaultRowHeight="15" x14ac:dyDescent="0.25"/>
  <cols>
    <col min="1" max="1" width="21.7109375" style="47" customWidth="1"/>
    <col min="2" max="3" width="15.7109375" style="47" customWidth="1"/>
    <col min="4" max="5" width="18.7109375" style="47" customWidth="1"/>
    <col min="6" max="6" width="19.5703125" style="47" bestFit="1" customWidth="1"/>
    <col min="7" max="8" width="19.5703125" style="47" customWidth="1"/>
    <col min="9" max="9" width="19.85546875" style="47" bestFit="1" customWidth="1"/>
    <col min="10" max="10" width="19.5703125" style="47" bestFit="1" customWidth="1"/>
    <col min="11" max="11" width="17.85546875" style="110" customWidth="1"/>
    <col min="12" max="16384" width="9.140625" style="47"/>
  </cols>
  <sheetData>
    <row r="1" spans="1:10" ht="34.5" thickBot="1" x14ac:dyDescent="0.55000000000000004">
      <c r="A1" s="176" t="s">
        <v>109</v>
      </c>
      <c r="B1" s="176"/>
      <c r="C1" s="176"/>
      <c r="D1" s="108"/>
    </row>
    <row r="2" spans="1:10" x14ac:dyDescent="0.25">
      <c r="A2" s="31" t="s">
        <v>16</v>
      </c>
      <c r="B2" s="168" t="str">
        <f>CONCATENATE(ExpID,"-",StnNum,"-",StnDay)</f>
        <v>NICE-1-29</v>
      </c>
      <c r="C2" s="168"/>
      <c r="D2" s="73"/>
    </row>
    <row r="3" spans="1:10" x14ac:dyDescent="0.25">
      <c r="A3" s="32" t="s">
        <v>117</v>
      </c>
      <c r="B3" s="169" t="s">
        <v>209</v>
      </c>
      <c r="C3" s="169"/>
      <c r="D3" s="77" t="s">
        <v>210</v>
      </c>
    </row>
    <row r="4" spans="1:10" x14ac:dyDescent="0.25">
      <c r="A4" s="32" t="s">
        <v>4</v>
      </c>
      <c r="B4" s="170">
        <f>ObsDate</f>
        <v>42047</v>
      </c>
      <c r="C4" s="170"/>
      <c r="D4" s="77" t="s">
        <v>212</v>
      </c>
    </row>
    <row r="5" spans="1:10" x14ac:dyDescent="0.25">
      <c r="A5" s="33" t="s">
        <v>95</v>
      </c>
      <c r="B5" s="177">
        <v>0.61527777777777781</v>
      </c>
      <c r="C5" s="177"/>
      <c r="D5" s="77"/>
    </row>
    <row r="6" spans="1:10" x14ac:dyDescent="0.25">
      <c r="A6" s="33" t="s">
        <v>110</v>
      </c>
      <c r="B6" s="164" t="s">
        <v>208</v>
      </c>
      <c r="C6" s="165"/>
      <c r="D6" s="77"/>
      <c r="E6" s="74"/>
      <c r="F6" s="74"/>
      <c r="G6" s="74"/>
      <c r="H6" s="74"/>
      <c r="I6" s="75"/>
      <c r="J6" s="76"/>
    </row>
    <row r="7" spans="1:10" ht="30" customHeight="1" thickBot="1" x14ac:dyDescent="0.3">
      <c r="A7" s="34" t="s">
        <v>15</v>
      </c>
      <c r="B7" s="184" t="s">
        <v>220</v>
      </c>
      <c r="C7" s="185"/>
      <c r="D7" s="186"/>
      <c r="F7" s="47" t="s">
        <v>233</v>
      </c>
      <c r="G7" s="47">
        <v>-19</v>
      </c>
    </row>
    <row r="8" spans="1:10" x14ac:dyDescent="0.25">
      <c r="F8" s="47" t="s">
        <v>234</v>
      </c>
      <c r="G8" s="47">
        <v>0.83599999999999997</v>
      </c>
    </row>
    <row r="9" spans="1:10" ht="15.75" thickBot="1" x14ac:dyDescent="0.3">
      <c r="A9" s="49" t="s">
        <v>97</v>
      </c>
    </row>
    <row r="10" spans="1:10" x14ac:dyDescent="0.25">
      <c r="A10" s="117" t="s">
        <v>134</v>
      </c>
      <c r="B10" s="118">
        <v>0</v>
      </c>
      <c r="F10" s="124" t="s">
        <v>107</v>
      </c>
      <c r="G10" s="125" t="s">
        <v>132</v>
      </c>
      <c r="H10" s="125" t="s">
        <v>133</v>
      </c>
      <c r="I10" s="126" t="s">
        <v>13</v>
      </c>
    </row>
    <row r="11" spans="1:10" x14ac:dyDescent="0.25">
      <c r="A11" s="119" t="s">
        <v>122</v>
      </c>
      <c r="B11" s="120">
        <v>30</v>
      </c>
      <c r="F11" s="127">
        <v>1</v>
      </c>
      <c r="G11" s="113"/>
      <c r="H11" s="41">
        <v>30</v>
      </c>
      <c r="I11" s="128"/>
    </row>
    <row r="12" spans="1:10" x14ac:dyDescent="0.25">
      <c r="A12" s="119" t="s">
        <v>135</v>
      </c>
      <c r="B12" s="120"/>
      <c r="F12" s="127"/>
      <c r="G12" s="41"/>
      <c r="H12" s="114"/>
      <c r="I12" s="129"/>
    </row>
    <row r="13" spans="1:10" x14ac:dyDescent="0.25">
      <c r="A13" s="119" t="s">
        <v>121</v>
      </c>
      <c r="B13" s="120"/>
      <c r="F13" s="127"/>
      <c r="G13" s="41"/>
      <c r="H13" s="41"/>
      <c r="I13" s="129"/>
    </row>
    <row r="14" spans="1:10" ht="15.75" thickBot="1" x14ac:dyDescent="0.3">
      <c r="A14" s="121" t="s">
        <v>136</v>
      </c>
      <c r="B14" s="122"/>
      <c r="F14" s="127"/>
      <c r="G14" s="41"/>
      <c r="H14" s="41"/>
      <c r="I14" s="129"/>
    </row>
    <row r="15" spans="1:10" x14ac:dyDescent="0.25">
      <c r="F15" s="127"/>
      <c r="G15" s="41"/>
      <c r="H15" s="41"/>
      <c r="I15" s="129"/>
    </row>
    <row r="16" spans="1:10" ht="15.75" thickBot="1" x14ac:dyDescent="0.3">
      <c r="A16" s="49" t="s">
        <v>100</v>
      </c>
      <c r="F16" s="127"/>
      <c r="G16" s="41"/>
      <c r="H16" s="41"/>
      <c r="I16" s="129"/>
    </row>
    <row r="17" spans="1:12" x14ac:dyDescent="0.25">
      <c r="A17" s="117" t="s">
        <v>137</v>
      </c>
      <c r="B17" s="118">
        <v>9</v>
      </c>
      <c r="F17" s="127"/>
      <c r="G17" s="41"/>
      <c r="H17" s="41"/>
      <c r="I17" s="129"/>
    </row>
    <row r="18" spans="1:12" ht="15.75" thickBot="1" x14ac:dyDescent="0.3">
      <c r="A18" s="18" t="s">
        <v>138</v>
      </c>
      <c r="B18" s="123"/>
      <c r="F18" s="127"/>
      <c r="G18" s="41"/>
      <c r="H18" s="41"/>
      <c r="I18" s="129"/>
    </row>
    <row r="19" spans="1:12" ht="15.75" thickBot="1" x14ac:dyDescent="0.3">
      <c r="B19" s="111"/>
      <c r="F19" s="130"/>
      <c r="G19" s="131"/>
      <c r="H19" s="131"/>
      <c r="I19" s="132"/>
    </row>
    <row r="21" spans="1:12" ht="15.75" thickBot="1" x14ac:dyDescent="0.3"/>
    <row r="22" spans="1:12" s="112" customFormat="1" ht="45.75" thickBot="1" x14ac:dyDescent="0.3">
      <c r="A22" s="134" t="s">
        <v>129</v>
      </c>
      <c r="B22" s="135" t="s">
        <v>130</v>
      </c>
      <c r="C22" s="135" t="s">
        <v>108</v>
      </c>
      <c r="D22" s="135" t="s">
        <v>221</v>
      </c>
      <c r="E22" s="135" t="s">
        <v>222</v>
      </c>
      <c r="F22" s="135" t="s">
        <v>223</v>
      </c>
      <c r="G22" s="135" t="s">
        <v>224</v>
      </c>
      <c r="H22" s="135" t="s">
        <v>225</v>
      </c>
      <c r="I22" s="136" t="s">
        <v>13</v>
      </c>
      <c r="J22" s="10" t="s">
        <v>102</v>
      </c>
      <c r="K22" s="10" t="s">
        <v>103</v>
      </c>
      <c r="L22" s="10" t="s">
        <v>105</v>
      </c>
    </row>
    <row r="23" spans="1:12" x14ac:dyDescent="0.25">
      <c r="A23" s="116">
        <v>0</v>
      </c>
      <c r="B23" s="116">
        <v>5</v>
      </c>
      <c r="C23" s="109"/>
      <c r="D23" s="109">
        <v>295.43</v>
      </c>
      <c r="E23" s="142">
        <v>25.51</v>
      </c>
      <c r="F23" s="116" t="s">
        <v>226</v>
      </c>
      <c r="G23" s="116">
        <f>(A23+B23)/2</f>
        <v>2.5</v>
      </c>
      <c r="H23" s="109">
        <f>0.836*D23/(D23-E23)</f>
        <v>0.91500992886781263</v>
      </c>
      <c r="I23" s="133"/>
      <c r="J23" s="47">
        <v>16.899999999999999</v>
      </c>
      <c r="K23" s="47">
        <v>27.8</v>
      </c>
      <c r="L23" s="47">
        <v>15.8</v>
      </c>
    </row>
    <row r="24" spans="1:12" x14ac:dyDescent="0.25">
      <c r="A24" s="40">
        <v>5</v>
      </c>
      <c r="B24" s="40">
        <v>10</v>
      </c>
      <c r="C24" s="40"/>
      <c r="D24" s="40">
        <v>320.58999999999997</v>
      </c>
      <c r="E24" s="40">
        <v>30.27</v>
      </c>
      <c r="F24" s="40" t="s">
        <v>227</v>
      </c>
      <c r="G24" s="116">
        <f t="shared" ref="G24:G28" si="0">(A24+B24)/2</f>
        <v>7.5</v>
      </c>
      <c r="H24" s="109">
        <f t="shared" ref="H24:H28" si="1">0.836*D24/(D24-E24)</f>
        <v>0.92316492146596862</v>
      </c>
      <c r="I24" s="115"/>
      <c r="J24" s="47">
        <v>13.5</v>
      </c>
      <c r="K24" s="47">
        <v>22.6</v>
      </c>
      <c r="L24" s="47">
        <v>15.9</v>
      </c>
    </row>
    <row r="25" spans="1:12" x14ac:dyDescent="0.25">
      <c r="A25" s="40">
        <v>10</v>
      </c>
      <c r="B25" s="40">
        <v>15</v>
      </c>
      <c r="C25" s="109"/>
      <c r="D25" s="40">
        <v>311.08</v>
      </c>
      <c r="E25" s="40">
        <v>29.01</v>
      </c>
      <c r="F25" s="116" t="s">
        <v>228</v>
      </c>
      <c r="G25" s="116">
        <f t="shared" si="0"/>
        <v>12.5</v>
      </c>
      <c r="H25" s="109">
        <f t="shared" si="1"/>
        <v>0.92197993405892142</v>
      </c>
      <c r="I25" s="115"/>
      <c r="J25" s="47">
        <v>12.7</v>
      </c>
      <c r="K25" s="47">
        <v>21.4</v>
      </c>
      <c r="L25" s="47">
        <v>15.8</v>
      </c>
    </row>
    <row r="26" spans="1:12" x14ac:dyDescent="0.25">
      <c r="A26" s="116">
        <v>15</v>
      </c>
      <c r="B26" s="116">
        <v>20</v>
      </c>
      <c r="C26" s="40"/>
      <c r="D26" s="40">
        <v>339.65</v>
      </c>
      <c r="E26" s="40">
        <v>30.79</v>
      </c>
      <c r="F26" s="40" t="s">
        <v>229</v>
      </c>
      <c r="G26" s="116">
        <f t="shared" si="0"/>
        <v>17.5</v>
      </c>
      <c r="H26" s="109">
        <f t="shared" si="1"/>
        <v>0.91934015411513303</v>
      </c>
      <c r="I26" s="115"/>
      <c r="J26" s="47">
        <v>10.9</v>
      </c>
      <c r="K26" s="47">
        <v>18.600000000000001</v>
      </c>
      <c r="L26" s="47">
        <v>15.9</v>
      </c>
    </row>
    <row r="27" spans="1:12" x14ac:dyDescent="0.25">
      <c r="A27" s="40">
        <v>20</v>
      </c>
      <c r="B27" s="40">
        <v>25</v>
      </c>
      <c r="C27" s="109"/>
      <c r="D27" s="40">
        <v>300.13</v>
      </c>
      <c r="E27" s="40">
        <v>27.45</v>
      </c>
      <c r="F27" s="40" t="s">
        <v>230</v>
      </c>
      <c r="G27" s="116">
        <f t="shared" si="0"/>
        <v>22.5</v>
      </c>
      <c r="H27" s="109">
        <f t="shared" si="1"/>
        <v>0.92015798738447985</v>
      </c>
      <c r="I27" s="115"/>
      <c r="J27" s="47">
        <v>10.1</v>
      </c>
      <c r="K27" s="47">
        <v>17.29</v>
      </c>
      <c r="L27" s="47">
        <v>15.9</v>
      </c>
    </row>
    <row r="28" spans="1:12" x14ac:dyDescent="0.25">
      <c r="A28" s="40">
        <v>25</v>
      </c>
      <c r="B28" s="40">
        <v>30</v>
      </c>
      <c r="C28" s="40"/>
      <c r="D28" s="40">
        <v>245.23</v>
      </c>
      <c r="E28" s="40">
        <v>22.51</v>
      </c>
      <c r="F28" s="40" t="s">
        <v>231</v>
      </c>
      <c r="G28" s="116">
        <f t="shared" si="0"/>
        <v>27.5</v>
      </c>
      <c r="H28" s="109">
        <f t="shared" si="1"/>
        <v>0.92049335488505735</v>
      </c>
      <c r="I28" s="115" t="s">
        <v>232</v>
      </c>
      <c r="J28" s="47">
        <v>10.3</v>
      </c>
      <c r="K28" s="47">
        <v>17.649999999999999</v>
      </c>
      <c r="L28" s="47">
        <v>15.9</v>
      </c>
    </row>
    <row r="29" spans="1:12" x14ac:dyDescent="0.25">
      <c r="A29" s="116"/>
      <c r="B29" s="116"/>
      <c r="C29" s="109"/>
      <c r="D29" s="40"/>
      <c r="E29" s="40"/>
      <c r="F29" s="116"/>
      <c r="G29" s="116"/>
      <c r="H29" s="109"/>
      <c r="I29" s="115"/>
      <c r="K29" s="47"/>
    </row>
    <row r="30" spans="1:12" x14ac:dyDescent="0.25">
      <c r="A30" s="40"/>
      <c r="B30" s="40"/>
      <c r="C30" s="109"/>
      <c r="D30" s="40"/>
      <c r="E30" s="40"/>
      <c r="F30" s="40"/>
      <c r="G30" s="116"/>
      <c r="H30" s="109"/>
      <c r="I30" s="115"/>
      <c r="K30" s="47"/>
    </row>
    <row r="31" spans="1:12" x14ac:dyDescent="0.25">
      <c r="A31" s="40"/>
      <c r="B31" s="40"/>
      <c r="C31" s="40"/>
      <c r="D31" s="40"/>
      <c r="E31" s="40"/>
      <c r="F31" s="40"/>
      <c r="G31" s="116"/>
      <c r="H31" s="109"/>
      <c r="I31" s="115"/>
      <c r="K31" s="47"/>
    </row>
    <row r="32" spans="1:12" x14ac:dyDescent="0.25">
      <c r="A32" s="40"/>
      <c r="B32" s="40"/>
      <c r="C32" s="40"/>
      <c r="D32" s="40"/>
      <c r="E32" s="40"/>
      <c r="F32" s="40"/>
      <c r="G32" s="40"/>
      <c r="H32" s="40"/>
      <c r="I32" s="116"/>
      <c r="J32" s="40"/>
      <c r="K32" s="115"/>
    </row>
    <row r="33" spans="1:1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115"/>
    </row>
    <row r="34" spans="1:1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115"/>
    </row>
    <row r="35" spans="1:1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115"/>
    </row>
    <row r="36" spans="1:1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115"/>
    </row>
    <row r="37" spans="1:1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115"/>
    </row>
    <row r="38" spans="1:1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115"/>
    </row>
    <row r="39" spans="1:1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115"/>
    </row>
    <row r="40" spans="1:1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115"/>
    </row>
    <row r="41" spans="1:1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115"/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15" type="noConversion"/>
  <pageMargins left="0.7" right="0.7" top="0.75" bottom="0.75" header="0.3" footer="0.3"/>
  <pageSetup paperSize="9" scale="5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N50"/>
  <sheetViews>
    <sheetView zoomScale="80" zoomScaleNormal="80" workbookViewId="0">
      <selection activeCell="B7" sqref="B7:D7"/>
    </sheetView>
  </sheetViews>
  <sheetFormatPr defaultColWidth="9.140625" defaultRowHeight="15" x14ac:dyDescent="0.25"/>
  <cols>
    <col min="1" max="1" width="29.42578125" style="47" bestFit="1" customWidth="1"/>
    <col min="2" max="8" width="15.7109375" style="47" customWidth="1"/>
    <col min="9" max="9" width="36.7109375" style="47" customWidth="1"/>
    <col min="10" max="10" width="9.140625" style="47"/>
    <col min="11" max="13" width="15.7109375" style="47" customWidth="1"/>
    <col min="14" max="14" width="36.7109375" style="47" customWidth="1"/>
    <col min="15" max="16384" width="9.140625" style="47"/>
  </cols>
  <sheetData>
    <row r="1" spans="1:13" ht="32.25" thickBot="1" x14ac:dyDescent="0.55000000000000004">
      <c r="A1" s="189" t="s">
        <v>99</v>
      </c>
      <c r="B1" s="189"/>
      <c r="C1" s="189"/>
      <c r="D1" s="189"/>
    </row>
    <row r="2" spans="1:13" x14ac:dyDescent="0.25">
      <c r="A2" s="4" t="s">
        <v>16</v>
      </c>
      <c r="B2" s="168" t="str">
        <f>CONCATENATE(ExpID,"-",StnNum,"-",StnDay)</f>
        <v>NICE-1-29</v>
      </c>
      <c r="C2" s="168"/>
      <c r="D2" s="73"/>
    </row>
    <row r="3" spans="1:13" x14ac:dyDescent="0.25">
      <c r="A3" s="4" t="s">
        <v>117</v>
      </c>
      <c r="B3" s="169" t="s">
        <v>209</v>
      </c>
      <c r="C3" s="169"/>
      <c r="D3" s="77" t="s">
        <v>210</v>
      </c>
    </row>
    <row r="4" spans="1:13" x14ac:dyDescent="0.25">
      <c r="A4" s="4" t="s">
        <v>4</v>
      </c>
      <c r="B4" s="170">
        <f>ObsDate</f>
        <v>42047</v>
      </c>
      <c r="C4" s="170"/>
      <c r="D4" s="77" t="s">
        <v>212</v>
      </c>
    </row>
    <row r="5" spans="1:13" x14ac:dyDescent="0.25">
      <c r="A5" s="5" t="s">
        <v>95</v>
      </c>
      <c r="B5" s="177">
        <v>0.61527777777777781</v>
      </c>
      <c r="C5" s="177"/>
      <c r="D5" s="77"/>
    </row>
    <row r="6" spans="1:13" x14ac:dyDescent="0.25">
      <c r="A6" s="5" t="s">
        <v>110</v>
      </c>
      <c r="B6" s="164" t="s">
        <v>208</v>
      </c>
      <c r="C6" s="165"/>
      <c r="D6" s="77"/>
      <c r="E6" s="74"/>
    </row>
    <row r="7" spans="1:13" ht="30" customHeight="1" x14ac:dyDescent="0.25">
      <c r="A7" s="6" t="s">
        <v>15</v>
      </c>
      <c r="B7" s="190" t="s">
        <v>216</v>
      </c>
      <c r="C7" s="191"/>
      <c r="D7" s="192"/>
    </row>
    <row r="9" spans="1:13" x14ac:dyDescent="0.25">
      <c r="A9" s="49" t="s">
        <v>97</v>
      </c>
    </row>
    <row r="10" spans="1:13" x14ac:dyDescent="0.25">
      <c r="A10" s="7" t="s">
        <v>123</v>
      </c>
      <c r="B10" s="102"/>
      <c r="K10" s="187" t="s">
        <v>153</v>
      </c>
      <c r="L10" s="188"/>
      <c r="M10" s="44"/>
    </row>
    <row r="11" spans="1:13" x14ac:dyDescent="0.25">
      <c r="A11" s="7" t="s">
        <v>124</v>
      </c>
      <c r="B11" s="102"/>
      <c r="K11" s="187" t="s">
        <v>116</v>
      </c>
      <c r="L11" s="188"/>
      <c r="M11" s="43"/>
    </row>
    <row r="12" spans="1:13" x14ac:dyDescent="0.25">
      <c r="A12" s="7" t="s">
        <v>125</v>
      </c>
      <c r="B12" s="102"/>
      <c r="K12" s="7" t="s">
        <v>115</v>
      </c>
      <c r="L12" s="7"/>
      <c r="M12" s="42">
        <f>SUM(M18:M50)</f>
        <v>0</v>
      </c>
    </row>
    <row r="13" spans="1:13" x14ac:dyDescent="0.25">
      <c r="A13" s="7" t="s">
        <v>121</v>
      </c>
      <c r="B13" s="102"/>
    </row>
    <row r="14" spans="1:13" x14ac:dyDescent="0.25">
      <c r="A14" s="7" t="s">
        <v>122</v>
      </c>
      <c r="B14" s="102"/>
    </row>
    <row r="15" spans="1:13" x14ac:dyDescent="0.25">
      <c r="A15" s="7" t="s">
        <v>134</v>
      </c>
      <c r="B15" s="102"/>
    </row>
    <row r="17" spans="1:14" s="107" customFormat="1" ht="45" x14ac:dyDescent="0.25">
      <c r="A17" s="10" t="s">
        <v>101</v>
      </c>
      <c r="B17" s="10" t="s">
        <v>129</v>
      </c>
      <c r="C17" s="10" t="s">
        <v>130</v>
      </c>
      <c r="D17" s="10" t="s">
        <v>102</v>
      </c>
      <c r="E17" s="10" t="s">
        <v>103</v>
      </c>
      <c r="F17" s="10" t="s">
        <v>105</v>
      </c>
      <c r="G17" s="10" t="s">
        <v>131</v>
      </c>
      <c r="H17" s="10" t="s">
        <v>106</v>
      </c>
      <c r="I17" s="10" t="s">
        <v>13</v>
      </c>
      <c r="K17" s="10" t="s">
        <v>107</v>
      </c>
      <c r="L17" s="10" t="s">
        <v>132</v>
      </c>
      <c r="M17" s="10" t="s">
        <v>133</v>
      </c>
      <c r="N17" s="10" t="s">
        <v>13</v>
      </c>
    </row>
    <row r="18" spans="1:14" x14ac:dyDescent="0.25">
      <c r="A18" s="103"/>
      <c r="B18" s="102"/>
      <c r="C18" s="102"/>
      <c r="D18" s="104"/>
      <c r="E18" s="104"/>
      <c r="F18" s="105"/>
      <c r="G18" s="102"/>
      <c r="H18" s="104"/>
      <c r="I18" s="106"/>
      <c r="K18" s="103"/>
      <c r="L18" s="102"/>
      <c r="M18" s="102"/>
      <c r="N18" s="106"/>
    </row>
    <row r="19" spans="1:14" x14ac:dyDescent="0.25">
      <c r="A19" s="103"/>
      <c r="B19" s="102"/>
      <c r="C19" s="102"/>
      <c r="D19" s="104"/>
      <c r="E19" s="104"/>
      <c r="F19" s="105"/>
      <c r="G19" s="102"/>
      <c r="H19" s="104"/>
      <c r="I19" s="106"/>
      <c r="K19" s="103"/>
      <c r="L19" s="102"/>
      <c r="M19" s="102"/>
      <c r="N19" s="106"/>
    </row>
    <row r="20" spans="1:14" x14ac:dyDescent="0.25">
      <c r="A20" s="103"/>
      <c r="B20" s="102"/>
      <c r="C20" s="102"/>
      <c r="D20" s="104"/>
      <c r="E20" s="104"/>
      <c r="F20" s="105"/>
      <c r="G20" s="102"/>
      <c r="H20" s="104"/>
      <c r="I20" s="106"/>
      <c r="K20" s="103"/>
      <c r="L20" s="102"/>
      <c r="M20" s="102"/>
      <c r="N20" s="106"/>
    </row>
    <row r="21" spans="1:14" x14ac:dyDescent="0.25">
      <c r="A21" s="103"/>
      <c r="B21" s="102"/>
      <c r="C21" s="102"/>
      <c r="D21" s="104"/>
      <c r="E21" s="104"/>
      <c r="F21" s="105"/>
      <c r="G21" s="102"/>
      <c r="H21" s="104"/>
      <c r="I21" s="106"/>
      <c r="K21" s="103"/>
      <c r="L21" s="102"/>
      <c r="M21" s="102"/>
      <c r="N21" s="106"/>
    </row>
    <row r="22" spans="1:14" x14ac:dyDescent="0.25">
      <c r="A22" s="103"/>
      <c r="B22" s="102"/>
      <c r="C22" s="102"/>
      <c r="D22" s="104"/>
      <c r="E22" s="104"/>
      <c r="F22" s="105"/>
      <c r="G22" s="102"/>
      <c r="H22" s="104"/>
      <c r="I22" s="106"/>
      <c r="K22" s="103"/>
      <c r="L22" s="102"/>
      <c r="M22" s="102"/>
      <c r="N22" s="106"/>
    </row>
    <row r="23" spans="1:14" x14ac:dyDescent="0.25">
      <c r="A23" s="103"/>
      <c r="B23" s="102"/>
      <c r="C23" s="102"/>
      <c r="D23" s="104"/>
      <c r="E23" s="104"/>
      <c r="F23" s="105"/>
      <c r="G23" s="102"/>
      <c r="H23" s="104"/>
      <c r="I23" s="106"/>
      <c r="K23" s="103"/>
      <c r="L23" s="102"/>
      <c r="M23" s="102"/>
      <c r="N23" s="106"/>
    </row>
    <row r="24" spans="1:14" x14ac:dyDescent="0.25">
      <c r="A24" s="103"/>
      <c r="B24" s="102"/>
      <c r="C24" s="102"/>
      <c r="D24" s="104"/>
      <c r="E24" s="104"/>
      <c r="F24" s="105"/>
      <c r="G24" s="102"/>
      <c r="H24" s="104"/>
      <c r="I24" s="106"/>
      <c r="K24" s="103"/>
      <c r="L24" s="102"/>
      <c r="M24" s="102"/>
      <c r="N24" s="106"/>
    </row>
    <row r="25" spans="1:14" x14ac:dyDescent="0.25">
      <c r="A25" s="103"/>
      <c r="B25" s="102"/>
      <c r="C25" s="102"/>
      <c r="D25" s="104"/>
      <c r="E25" s="104"/>
      <c r="F25" s="105"/>
      <c r="G25" s="102"/>
      <c r="H25" s="104"/>
      <c r="I25" s="106"/>
      <c r="K25" s="103"/>
      <c r="L25" s="102"/>
      <c r="M25" s="102"/>
      <c r="N25" s="106"/>
    </row>
    <row r="26" spans="1:14" x14ac:dyDescent="0.25">
      <c r="A26" s="103"/>
      <c r="B26" s="102"/>
      <c r="C26" s="102"/>
      <c r="D26" s="104"/>
      <c r="E26" s="104"/>
      <c r="F26" s="105"/>
      <c r="G26" s="102"/>
      <c r="H26" s="104"/>
      <c r="I26" s="106"/>
      <c r="K26" s="103"/>
      <c r="L26" s="102"/>
      <c r="M26" s="102"/>
      <c r="N26" s="106"/>
    </row>
    <row r="27" spans="1:14" x14ac:dyDescent="0.25">
      <c r="A27" s="103"/>
      <c r="B27" s="102"/>
      <c r="C27" s="102"/>
      <c r="D27" s="104"/>
      <c r="E27" s="104"/>
      <c r="F27" s="105"/>
      <c r="G27" s="102"/>
      <c r="H27" s="104"/>
      <c r="I27" s="106"/>
      <c r="K27" s="103"/>
      <c r="L27" s="102"/>
      <c r="M27" s="102"/>
      <c r="N27" s="106"/>
    </row>
    <row r="28" spans="1:14" x14ac:dyDescent="0.25">
      <c r="A28" s="103"/>
      <c r="B28" s="102"/>
      <c r="C28" s="102"/>
      <c r="D28" s="104"/>
      <c r="E28" s="104"/>
      <c r="F28" s="105"/>
      <c r="G28" s="102"/>
      <c r="H28" s="104"/>
      <c r="I28" s="106"/>
      <c r="K28" s="103"/>
      <c r="L28" s="102"/>
      <c r="M28" s="102"/>
      <c r="N28" s="106"/>
    </row>
    <row r="29" spans="1:14" x14ac:dyDescent="0.25">
      <c r="A29" s="103"/>
      <c r="B29" s="102"/>
      <c r="C29" s="102"/>
      <c r="D29" s="104"/>
      <c r="E29" s="104"/>
      <c r="F29" s="105"/>
      <c r="G29" s="102"/>
      <c r="H29" s="104"/>
      <c r="I29" s="106"/>
      <c r="K29" s="103"/>
      <c r="L29" s="102"/>
      <c r="M29" s="102"/>
      <c r="N29" s="106"/>
    </row>
    <row r="30" spans="1:14" x14ac:dyDescent="0.25">
      <c r="A30" s="103"/>
      <c r="B30" s="102"/>
      <c r="C30" s="102"/>
      <c r="D30" s="104"/>
      <c r="E30" s="104"/>
      <c r="F30" s="105"/>
      <c r="G30" s="102"/>
      <c r="H30" s="104"/>
      <c r="I30" s="106"/>
      <c r="K30" s="103"/>
      <c r="L30" s="102"/>
      <c r="M30" s="102"/>
      <c r="N30" s="106"/>
    </row>
    <row r="31" spans="1:14" x14ac:dyDescent="0.25">
      <c r="A31" s="103"/>
      <c r="B31" s="102"/>
      <c r="C31" s="102"/>
      <c r="D31" s="104"/>
      <c r="E31" s="104"/>
      <c r="F31" s="105"/>
      <c r="G31" s="102"/>
      <c r="H31" s="104"/>
      <c r="I31" s="106"/>
      <c r="K31" s="103"/>
      <c r="L31" s="102"/>
      <c r="M31" s="102"/>
      <c r="N31" s="106"/>
    </row>
    <row r="32" spans="1:14" x14ac:dyDescent="0.25">
      <c r="A32" s="103"/>
      <c r="B32" s="102"/>
      <c r="C32" s="102"/>
      <c r="D32" s="104"/>
      <c r="E32" s="104"/>
      <c r="F32" s="105"/>
      <c r="G32" s="102"/>
      <c r="H32" s="104"/>
      <c r="I32" s="106"/>
      <c r="K32" s="103"/>
      <c r="L32" s="102"/>
      <c r="M32" s="102"/>
      <c r="N32" s="106"/>
    </row>
    <row r="33" spans="1:14" x14ac:dyDescent="0.25">
      <c r="A33" s="103"/>
      <c r="B33" s="102"/>
      <c r="C33" s="102"/>
      <c r="D33" s="104"/>
      <c r="E33" s="104"/>
      <c r="F33" s="105"/>
      <c r="G33" s="102"/>
      <c r="H33" s="104"/>
      <c r="I33" s="106"/>
      <c r="K33" s="103"/>
      <c r="L33" s="102"/>
      <c r="M33" s="102"/>
      <c r="N33" s="106"/>
    </row>
    <row r="34" spans="1:14" x14ac:dyDescent="0.25">
      <c r="A34" s="103"/>
      <c r="B34" s="102"/>
      <c r="C34" s="102"/>
      <c r="D34" s="104"/>
      <c r="E34" s="104"/>
      <c r="F34" s="105"/>
      <c r="G34" s="102"/>
      <c r="H34" s="104"/>
      <c r="I34" s="106"/>
      <c r="K34" s="103"/>
      <c r="L34" s="102"/>
      <c r="M34" s="102"/>
      <c r="N34" s="106"/>
    </row>
    <row r="35" spans="1:14" x14ac:dyDescent="0.25">
      <c r="A35" s="103"/>
      <c r="B35" s="102"/>
      <c r="C35" s="102"/>
      <c r="D35" s="104"/>
      <c r="E35" s="104"/>
      <c r="F35" s="105"/>
      <c r="G35" s="102"/>
      <c r="H35" s="104"/>
      <c r="I35" s="106"/>
      <c r="K35" s="103"/>
      <c r="L35" s="102"/>
      <c r="M35" s="102"/>
      <c r="N35" s="106"/>
    </row>
    <row r="36" spans="1:14" x14ac:dyDescent="0.25">
      <c r="A36" s="103"/>
      <c r="B36" s="102"/>
      <c r="C36" s="102"/>
      <c r="D36" s="104"/>
      <c r="E36" s="104"/>
      <c r="F36" s="105"/>
      <c r="G36" s="102"/>
      <c r="H36" s="104"/>
      <c r="I36" s="106"/>
      <c r="K36" s="103"/>
      <c r="L36" s="102"/>
      <c r="M36" s="102"/>
      <c r="N36" s="106"/>
    </row>
    <row r="37" spans="1:14" x14ac:dyDescent="0.25">
      <c r="A37" s="103"/>
      <c r="B37" s="102"/>
      <c r="C37" s="102"/>
      <c r="D37" s="104"/>
      <c r="E37" s="104"/>
      <c r="F37" s="105"/>
      <c r="G37" s="102"/>
      <c r="H37" s="104"/>
      <c r="I37" s="106"/>
      <c r="K37" s="103"/>
      <c r="L37" s="102"/>
      <c r="M37" s="102"/>
      <c r="N37" s="106"/>
    </row>
    <row r="38" spans="1:14" x14ac:dyDescent="0.25">
      <c r="A38" s="103"/>
      <c r="B38" s="102"/>
      <c r="C38" s="102"/>
      <c r="D38" s="104"/>
      <c r="E38" s="104"/>
      <c r="F38" s="105"/>
      <c r="G38" s="102"/>
      <c r="H38" s="104"/>
      <c r="I38" s="106"/>
      <c r="K38" s="103"/>
      <c r="L38" s="102"/>
      <c r="M38" s="102"/>
      <c r="N38" s="106"/>
    </row>
    <row r="39" spans="1:14" x14ac:dyDescent="0.25">
      <c r="A39" s="103"/>
      <c r="B39" s="102"/>
      <c r="C39" s="102"/>
      <c r="D39" s="104"/>
      <c r="E39" s="104"/>
      <c r="F39" s="105"/>
      <c r="G39" s="102"/>
      <c r="H39" s="104"/>
      <c r="I39" s="106"/>
      <c r="K39" s="103"/>
      <c r="L39" s="102"/>
      <c r="M39" s="102"/>
      <c r="N39" s="106"/>
    </row>
    <row r="40" spans="1:14" x14ac:dyDescent="0.25">
      <c r="A40" s="103"/>
      <c r="B40" s="102"/>
      <c r="C40" s="102"/>
      <c r="D40" s="104"/>
      <c r="E40" s="104"/>
      <c r="F40" s="105"/>
      <c r="G40" s="102"/>
      <c r="H40" s="104"/>
      <c r="I40" s="106"/>
      <c r="K40" s="103"/>
      <c r="L40" s="102"/>
      <c r="M40" s="102"/>
      <c r="N40" s="106"/>
    </row>
    <row r="41" spans="1:14" x14ac:dyDescent="0.25">
      <c r="A41" s="103"/>
      <c r="B41" s="102"/>
      <c r="C41" s="102"/>
      <c r="D41" s="104"/>
      <c r="E41" s="104"/>
      <c r="F41" s="105"/>
      <c r="G41" s="102"/>
      <c r="H41" s="104"/>
      <c r="I41" s="106"/>
      <c r="K41" s="103"/>
      <c r="L41" s="102"/>
      <c r="M41" s="102"/>
      <c r="N41" s="106"/>
    </row>
    <row r="42" spans="1:14" x14ac:dyDescent="0.25">
      <c r="A42" s="103"/>
      <c r="B42" s="102"/>
      <c r="C42" s="102"/>
      <c r="D42" s="104"/>
      <c r="E42" s="104"/>
      <c r="F42" s="105"/>
      <c r="G42" s="102"/>
      <c r="H42" s="104"/>
      <c r="I42" s="106"/>
      <c r="K42" s="103"/>
      <c r="L42" s="102"/>
      <c r="M42" s="102"/>
      <c r="N42" s="106"/>
    </row>
    <row r="43" spans="1:14" x14ac:dyDescent="0.25">
      <c r="A43" s="103"/>
      <c r="B43" s="102"/>
      <c r="C43" s="102"/>
      <c r="D43" s="104"/>
      <c r="E43" s="104"/>
      <c r="F43" s="105"/>
      <c r="G43" s="102"/>
      <c r="H43" s="104"/>
      <c r="I43" s="106"/>
      <c r="K43" s="103"/>
      <c r="L43" s="102"/>
      <c r="M43" s="102"/>
      <c r="N43" s="106"/>
    </row>
    <row r="44" spans="1:14" x14ac:dyDescent="0.25">
      <c r="A44" s="103"/>
      <c r="B44" s="102"/>
      <c r="C44" s="102"/>
      <c r="D44" s="104"/>
      <c r="E44" s="104"/>
      <c r="F44" s="105"/>
      <c r="G44" s="102"/>
      <c r="H44" s="104"/>
      <c r="I44" s="106"/>
      <c r="K44" s="103"/>
      <c r="L44" s="102"/>
      <c r="M44" s="102"/>
      <c r="N44" s="106"/>
    </row>
    <row r="45" spans="1:14" x14ac:dyDescent="0.25">
      <c r="A45" s="103"/>
      <c r="B45" s="102"/>
      <c r="C45" s="102"/>
      <c r="D45" s="104"/>
      <c r="E45" s="104"/>
      <c r="F45" s="105"/>
      <c r="G45" s="102"/>
      <c r="H45" s="104"/>
      <c r="I45" s="106"/>
      <c r="K45" s="103"/>
      <c r="L45" s="102"/>
      <c r="M45" s="102"/>
      <c r="N45" s="106"/>
    </row>
    <row r="46" spans="1:14" x14ac:dyDescent="0.25">
      <c r="A46" s="103"/>
      <c r="B46" s="102"/>
      <c r="C46" s="102"/>
      <c r="D46" s="104"/>
      <c r="E46" s="104"/>
      <c r="F46" s="105"/>
      <c r="G46" s="102"/>
      <c r="H46" s="104"/>
      <c r="I46" s="106"/>
      <c r="K46" s="103"/>
      <c r="L46" s="102"/>
      <c r="M46" s="102"/>
      <c r="N46" s="106"/>
    </row>
    <row r="47" spans="1:14" x14ac:dyDescent="0.25">
      <c r="A47" s="103"/>
      <c r="B47" s="102"/>
      <c r="C47" s="102"/>
      <c r="D47" s="104"/>
      <c r="E47" s="104"/>
      <c r="F47" s="105"/>
      <c r="G47" s="102"/>
      <c r="H47" s="104"/>
      <c r="I47" s="106"/>
      <c r="K47" s="103"/>
      <c r="L47" s="102"/>
      <c r="M47" s="102"/>
      <c r="N47" s="106"/>
    </row>
    <row r="48" spans="1:14" x14ac:dyDescent="0.25">
      <c r="A48" s="103"/>
      <c r="B48" s="102"/>
      <c r="C48" s="102"/>
      <c r="D48" s="104"/>
      <c r="E48" s="104"/>
      <c r="F48" s="105"/>
      <c r="G48" s="102"/>
      <c r="H48" s="104"/>
      <c r="I48" s="106"/>
      <c r="K48" s="103"/>
      <c r="L48" s="102"/>
      <c r="M48" s="102"/>
      <c r="N48" s="106"/>
    </row>
    <row r="49" spans="1:14" x14ac:dyDescent="0.25">
      <c r="A49" s="103"/>
      <c r="B49" s="102"/>
      <c r="C49" s="102"/>
      <c r="D49" s="104"/>
      <c r="E49" s="104"/>
      <c r="F49" s="105"/>
      <c r="G49" s="102"/>
      <c r="H49" s="104"/>
      <c r="I49" s="106"/>
      <c r="K49" s="103"/>
      <c r="L49" s="102"/>
      <c r="M49" s="102"/>
      <c r="N49" s="106"/>
    </row>
    <row r="50" spans="1:14" x14ac:dyDescent="0.25">
      <c r="A50" s="103"/>
      <c r="B50" s="102"/>
      <c r="C50" s="102"/>
      <c r="D50" s="104"/>
      <c r="E50" s="104"/>
      <c r="F50" s="105"/>
      <c r="G50" s="102"/>
      <c r="H50" s="104"/>
      <c r="I50" s="106"/>
      <c r="K50" s="103"/>
      <c r="L50" s="102"/>
      <c r="M50" s="102"/>
      <c r="N50" s="106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RowHeight="15" x14ac:dyDescent="0.25"/>
  <cols>
    <col min="1" max="1" width="22.7109375" bestFit="1" customWidth="1"/>
    <col min="2" max="2" width="24.7109375" bestFit="1" customWidth="1"/>
    <col min="3" max="3" width="62.28515625" bestFit="1" customWidth="1"/>
    <col min="4" max="4" width="14.42578125" bestFit="1" customWidth="1"/>
    <col min="5" max="5" width="12.42578125" customWidth="1"/>
    <col min="7" max="15" width="9.140625" style="2"/>
  </cols>
  <sheetData>
    <row r="1" spans="1:15" s="1" customFormat="1" x14ac:dyDescent="0.25">
      <c r="A1" s="3" t="s">
        <v>18</v>
      </c>
      <c r="B1" s="3" t="s">
        <v>19</v>
      </c>
      <c r="C1" s="3" t="s">
        <v>11</v>
      </c>
      <c r="D1" s="3" t="s">
        <v>73</v>
      </c>
      <c r="E1" s="3" t="s">
        <v>81</v>
      </c>
      <c r="F1" s="3" t="s">
        <v>149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25">
      <c r="A2" t="s">
        <v>43</v>
      </c>
      <c r="B2" t="s">
        <v>20</v>
      </c>
      <c r="C2" t="s">
        <v>12</v>
      </c>
      <c r="D2" t="s">
        <v>74</v>
      </c>
      <c r="E2" t="s">
        <v>82</v>
      </c>
      <c r="F2" t="s">
        <v>150</v>
      </c>
    </row>
    <row r="3" spans="1:15" x14ac:dyDescent="0.25">
      <c r="A3" t="s">
        <v>44</v>
      </c>
      <c r="B3" t="s">
        <v>21</v>
      </c>
      <c r="C3" t="s">
        <v>22</v>
      </c>
      <c r="D3" t="s">
        <v>75</v>
      </c>
      <c r="E3" t="s">
        <v>83</v>
      </c>
      <c r="F3" t="s">
        <v>151</v>
      </c>
    </row>
    <row r="4" spans="1:15" x14ac:dyDescent="0.25">
      <c r="A4" t="s">
        <v>45</v>
      </c>
      <c r="B4" t="s">
        <v>10</v>
      </c>
      <c r="C4" t="s">
        <v>23</v>
      </c>
      <c r="D4" t="s">
        <v>76</v>
      </c>
      <c r="E4" t="s">
        <v>84</v>
      </c>
    </row>
    <row r="5" spans="1:15" x14ac:dyDescent="0.25">
      <c r="A5" t="s">
        <v>46</v>
      </c>
      <c r="B5" t="s">
        <v>24</v>
      </c>
      <c r="C5" t="s">
        <v>25</v>
      </c>
      <c r="D5" t="s">
        <v>77</v>
      </c>
      <c r="E5" t="s">
        <v>85</v>
      </c>
    </row>
    <row r="6" spans="1:15" x14ac:dyDescent="0.25">
      <c r="A6" t="s">
        <v>47</v>
      </c>
      <c r="C6" t="s">
        <v>26</v>
      </c>
      <c r="D6" t="s">
        <v>78</v>
      </c>
      <c r="E6" t="s">
        <v>86</v>
      </c>
    </row>
    <row r="7" spans="1:15" x14ac:dyDescent="0.25">
      <c r="A7" t="s">
        <v>48</v>
      </c>
      <c r="C7" t="s">
        <v>27</v>
      </c>
      <c r="D7" t="s">
        <v>79</v>
      </c>
      <c r="E7" t="s">
        <v>87</v>
      </c>
    </row>
    <row r="8" spans="1:15" x14ac:dyDescent="0.25">
      <c r="A8" t="s">
        <v>49</v>
      </c>
      <c r="C8" t="s">
        <v>28</v>
      </c>
      <c r="D8" t="s">
        <v>80</v>
      </c>
      <c r="E8" t="s">
        <v>88</v>
      </c>
    </row>
    <row r="9" spans="1:15" x14ac:dyDescent="0.25">
      <c r="A9" t="s">
        <v>50</v>
      </c>
      <c r="C9" t="s">
        <v>29</v>
      </c>
      <c r="D9" t="s">
        <v>94</v>
      </c>
      <c r="E9" t="s">
        <v>89</v>
      </c>
    </row>
    <row r="10" spans="1:15" x14ac:dyDescent="0.25">
      <c r="A10" t="s">
        <v>51</v>
      </c>
      <c r="C10" t="s">
        <v>30</v>
      </c>
      <c r="E10" t="s">
        <v>90</v>
      </c>
    </row>
    <row r="11" spans="1:15" x14ac:dyDescent="0.25">
      <c r="A11" t="s">
        <v>52</v>
      </c>
      <c r="C11" t="s">
        <v>31</v>
      </c>
      <c r="E11" t="s">
        <v>91</v>
      </c>
    </row>
    <row r="12" spans="1:15" x14ac:dyDescent="0.25">
      <c r="A12" t="s">
        <v>53</v>
      </c>
      <c r="C12" t="s">
        <v>32</v>
      </c>
      <c r="E12" t="s">
        <v>92</v>
      </c>
    </row>
    <row r="13" spans="1:15" x14ac:dyDescent="0.25">
      <c r="A13" t="s">
        <v>54</v>
      </c>
      <c r="C13" t="s">
        <v>33</v>
      </c>
      <c r="E13" t="s">
        <v>93</v>
      </c>
    </row>
    <row r="14" spans="1:15" x14ac:dyDescent="0.25">
      <c r="A14" s="1" t="s">
        <v>5</v>
      </c>
      <c r="C14" t="s">
        <v>34</v>
      </c>
    </row>
    <row r="15" spans="1:15" x14ac:dyDescent="0.25">
      <c r="A15" s="1" t="s">
        <v>66</v>
      </c>
      <c r="C15" t="s">
        <v>35</v>
      </c>
    </row>
    <row r="16" spans="1:15" x14ac:dyDescent="0.25">
      <c r="A16" s="1" t="s">
        <v>65</v>
      </c>
      <c r="C16" t="s">
        <v>36</v>
      </c>
    </row>
    <row r="17" spans="1:6" x14ac:dyDescent="0.25">
      <c r="A17" t="s">
        <v>55</v>
      </c>
    </row>
    <row r="18" spans="1:6" x14ac:dyDescent="0.25">
      <c r="A18" t="s">
        <v>56</v>
      </c>
    </row>
    <row r="19" spans="1:6" x14ac:dyDescent="0.25">
      <c r="A19" t="s">
        <v>57</v>
      </c>
    </row>
    <row r="20" spans="1:6" x14ac:dyDescent="0.25">
      <c r="A20" t="s">
        <v>58</v>
      </c>
    </row>
    <row r="21" spans="1:6" x14ac:dyDescent="0.25">
      <c r="A21" t="s">
        <v>59</v>
      </c>
    </row>
    <row r="22" spans="1:6" x14ac:dyDescent="0.25">
      <c r="A22" t="s">
        <v>60</v>
      </c>
    </row>
    <row r="23" spans="1:6" x14ac:dyDescent="0.25">
      <c r="A23" t="s">
        <v>61</v>
      </c>
    </row>
    <row r="24" spans="1:6" x14ac:dyDescent="0.25">
      <c r="A24" t="s">
        <v>62</v>
      </c>
    </row>
    <row r="25" spans="1:6" x14ac:dyDescent="0.25">
      <c r="A25" t="s">
        <v>63</v>
      </c>
    </row>
    <row r="26" spans="1:6" x14ac:dyDescent="0.25">
      <c r="A26" t="s">
        <v>64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Station Overview</vt:lpstr>
      <vt:lpstr>Snowstakes Hotwires</vt:lpstr>
      <vt:lpstr>Thickness Drilling</vt:lpstr>
      <vt:lpstr>Temperature Core</vt:lpstr>
      <vt:lpstr>Archive Core</vt:lpstr>
      <vt:lpstr>Density Core_old</vt:lpstr>
      <vt:lpstr>Density Core</vt:lpstr>
      <vt:lpstr>Salinity Core</vt:lpstr>
      <vt:lpstr>Lists</vt:lpstr>
      <vt:lpstr>asdfasdf</vt:lpstr>
      <vt:lpstr>ExpID</vt:lpstr>
      <vt:lpstr>GeneralConditions</vt:lpstr>
      <vt:lpstr>ObsDate</vt:lpstr>
      <vt:lpstr>'Archive Core'!Print_Area</vt:lpstr>
      <vt:lpstr>'Density Core'!Print_Area</vt:lpstr>
      <vt:lpstr>'Density Core_old'!Print_Area</vt:lpstr>
      <vt:lpstr>'Salinity Core'!Print_Area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2015-01-30T14:48:53Z</cp:lastPrinted>
  <dcterms:created xsi:type="dcterms:W3CDTF">2011-01-27T20:27:49Z</dcterms:created>
  <dcterms:modified xsi:type="dcterms:W3CDTF">2026-04-13T17:09:31Z</dcterms:modified>
  <cp:contentStatus>Rev. September 2011</cp:contentStatus>
</cp:coreProperties>
</file>