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Svalbard_seaice_work\KF2025_field_work_AprMay\IceStation6_02052025_Dyrevika\"/>
    </mc:Choice>
  </mc:AlternateContent>
  <xr:revisionPtr revIDLastSave="0" documentId="13_ncr:1_{38640123-F6AC-4993-A15C-C12AD7BB7DBC}" xr6:coauthVersionLast="47" xr6:coauthVersionMax="47" xr10:uidLastSave="{00000000-0000-0000-0000-000000000000}"/>
  <bookViews>
    <workbookView xWindow="-108" yWindow="-108" windowWidth="23256" windowHeight="12456" tabRatio="766" firstSheet="2" activeTab="5" xr2:uid="{00000000-000D-0000-FFFF-FFFF00000000}"/>
  </bookViews>
  <sheets>
    <sheet name="Station Overview" sheetId="1" r:id="rId1"/>
    <sheet name="Thickness Drilling" sheetId="3" r:id="rId2"/>
    <sheet name="Salinity Core" sheetId="4" r:id="rId3"/>
    <sheet name="Temperature Core" sheetId="15" r:id="rId4"/>
    <sheet name="Chemistry core" sheetId="17" r:id="rId5"/>
    <sheet name="Density Core" sheetId="14" r:id="rId6"/>
    <sheet name="Archive Core" sheetId="16" r:id="rId7"/>
    <sheet name="BioCores Philipp" sheetId="19" r:id="rId8"/>
    <sheet name="BioCores NCPOR" sheetId="18" r:id="rId9"/>
    <sheet name="Snow Pit" sheetId="5" r:id="rId10"/>
    <sheet name="Lists" sheetId="13" r:id="rId11"/>
  </sheets>
  <externalReferences>
    <externalReference r:id="rId12"/>
  </externalReferences>
  <definedNames>
    <definedName name="asdfasdf">'Station Overview'!$B$16</definedName>
    <definedName name="EM_IDs">OFFSET(Lists!$A$14:$A$26,0,0,[1]StationOverview!$J$8)</definedName>
    <definedName name="ExpID">'Station Overview'!$B$4</definedName>
    <definedName name="GeneralConditions">Lists!$C$2:$C$16</definedName>
    <definedName name="ObsDate">'Station Overview'!$B$17</definedName>
    <definedName name="_xlnm.Print_Area" localSheetId="6">'Archive Core'!$A$1:$H$46</definedName>
    <definedName name="_xlnm.Print_Area" localSheetId="8">'BioCores NCPOR'!$A$1:$H$46</definedName>
    <definedName name="_xlnm.Print_Area" localSheetId="7">'BioCores Philipp'!$A$1:$H$46</definedName>
    <definedName name="_xlnm.Print_Area" localSheetId="4">'Chemistry core'!$A$1:$H$46</definedName>
    <definedName name="_xlnm.Print_Area" localSheetId="5">'Density Core'!$A$1:$I$36</definedName>
    <definedName name="_xlnm.Print_Area" localSheetId="2">'Salinity Core'!$A$1:$N$41</definedName>
    <definedName name="_xlnm.Print_Area" localSheetId="9">'Snow Pit'!$A$1:$S$48</definedName>
    <definedName name="_xlnm.Print_Area" localSheetId="0">'Station Overview'!$A$1:$F$37</definedName>
    <definedName name="_xlnm.Print_Area" localSheetId="3">'Temperature Core'!$A$1:$H$46</definedName>
    <definedName name="_xlnm.Print_Area" localSheetId="1">'Thickness Drilling'!$A$1:$H$26</definedName>
    <definedName name="SnowHardness">Lists!$D$2:$D$9</definedName>
    <definedName name="SnowType">Lists!$E$2:$E$13</definedName>
    <definedName name="StationTypes">Lists!$B$2:$B$5</definedName>
    <definedName name="StnDay">'Station Overview'!$B$6</definedName>
    <definedName name="StnNum">'Station Overview'!$B$5</definedName>
    <definedName name="TimeZones">Lists!$A$2:$A$26</definedName>
    <definedName name="Yes_No">Lists!$F$2:$F$3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4" l="1"/>
  <c r="G26" i="14"/>
  <c r="G25" i="14"/>
  <c r="G24" i="14"/>
  <c r="G23" i="14"/>
  <c r="H27" i="14"/>
  <c r="H26" i="14"/>
  <c r="H25" i="14"/>
  <c r="H24" i="14"/>
  <c r="H23" i="14"/>
  <c r="G12" i="3" l="1"/>
  <c r="G13" i="3"/>
  <c r="G14" i="3"/>
  <c r="G15" i="3"/>
  <c r="G16" i="3"/>
  <c r="G17" i="3"/>
  <c r="G11" i="3"/>
  <c r="E12" i="3"/>
  <c r="E13" i="3"/>
  <c r="E14" i="3"/>
  <c r="E15" i="3"/>
  <c r="E16" i="3"/>
  <c r="E17" i="3"/>
  <c r="E11" i="3"/>
  <c r="F12" i="3"/>
  <c r="F13" i="3"/>
  <c r="F14" i="3"/>
  <c r="F15" i="3"/>
  <c r="F16" i="3"/>
  <c r="F17" i="3"/>
  <c r="F11" i="3"/>
  <c r="B4" i="19"/>
  <c r="B2" i="19"/>
  <c r="B4" i="18"/>
  <c r="B2" i="18"/>
  <c r="B4" i="17"/>
  <c r="B2" i="17"/>
  <c r="O17" i="5"/>
  <c r="B4" i="16"/>
  <c r="B2" i="16"/>
  <c r="B4" i="3" l="1"/>
  <c r="B2" i="3"/>
  <c r="B2" i="15"/>
  <c r="B4" i="15"/>
  <c r="B18" i="14"/>
  <c r="B4" i="14" l="1"/>
  <c r="B2" i="14"/>
  <c r="B4" i="5" l="1"/>
  <c r="B4" i="4"/>
  <c r="B2" i="4"/>
</calcChain>
</file>

<file path=xl/sharedStrings.xml><?xml version="1.0" encoding="utf-8"?>
<sst xmlns="http://schemas.openxmlformats.org/spreadsheetml/2006/main" count="433" uniqueCount="228">
  <si>
    <t>Ice Station Daily Report</t>
  </si>
  <si>
    <t>Expedition ID</t>
  </si>
  <si>
    <t>Station number</t>
  </si>
  <si>
    <t>Day at station</t>
  </si>
  <si>
    <t>Date</t>
  </si>
  <si>
    <t>UTC</t>
  </si>
  <si>
    <t>Degrees</t>
  </si>
  <si>
    <t>Minutes</t>
  </si>
  <si>
    <t>Seconds</t>
  </si>
  <si>
    <t>Station type</t>
  </si>
  <si>
    <t>Ice floe, single-day station</t>
  </si>
  <si>
    <t>General conditions</t>
  </si>
  <si>
    <t>Cold, snow (winter/spring conditions)</t>
  </si>
  <si>
    <t>Comments</t>
  </si>
  <si>
    <t>Explanation</t>
  </si>
  <si>
    <t>General comments</t>
  </si>
  <si>
    <t>Station</t>
  </si>
  <si>
    <t>Distance [m]</t>
  </si>
  <si>
    <t>Time zones</t>
  </si>
  <si>
    <t>Station types</t>
  </si>
  <si>
    <t>Snow Pits</t>
  </si>
  <si>
    <t>Fast ice visit</t>
  </si>
  <si>
    <t>Fast ice repeated location</t>
  </si>
  <si>
    <t>Melting snow</t>
  </si>
  <si>
    <t>Flooded</t>
  </si>
  <si>
    <t>Ice floe, multi-day station</t>
  </si>
  <si>
    <t>Bare ice, warm, few or no melt ponds</t>
  </si>
  <si>
    <t>Bare ice, warm, with melt ponds</t>
  </si>
  <si>
    <t>Bare ice, warm, partially refrozen melt ponds</t>
  </si>
  <si>
    <t>Bare ice, frozen, few or no melt ponds</t>
  </si>
  <si>
    <t>Bare ice, frozen, with melt ponds</t>
  </si>
  <si>
    <t>Bare ice, frozen, partially refrozen melt ponds</t>
  </si>
  <si>
    <t>New (summer/autumn) snow, warm, few or no melt ponds</t>
  </si>
  <si>
    <t>New (summer/autumn) snow, warm, with melt ponds</t>
  </si>
  <si>
    <t>New (summer/autumn) snow, warm, partially refrozen melt ponds</t>
  </si>
  <si>
    <t>New (summer/autumn) snow, frozen, few or no melt ponds</t>
  </si>
  <si>
    <t>New (summer/autumn) snow, frozen, with melt ponds</t>
  </si>
  <si>
    <t>New (summer/autumn) snow, frozen, partially refrozen melt ponds</t>
  </si>
  <si>
    <t>Starting Latitude</t>
  </si>
  <si>
    <t>Starting Longitude</t>
  </si>
  <si>
    <t>Ending Latitude</t>
  </si>
  <si>
    <t>Ending Longitude</t>
  </si>
  <si>
    <t>Ending Date</t>
  </si>
  <si>
    <t>Ending Time</t>
  </si>
  <si>
    <t>UTC-12</t>
  </si>
  <si>
    <t>UTC-11</t>
  </si>
  <si>
    <t>UTC-10</t>
  </si>
  <si>
    <t>UTC-9</t>
  </si>
  <si>
    <t>UTC-8</t>
  </si>
  <si>
    <t>UTC-7</t>
  </si>
  <si>
    <t>UTC-6</t>
  </si>
  <si>
    <t>UTC-5</t>
  </si>
  <si>
    <t>UTC-4</t>
  </si>
  <si>
    <t>UTC-3</t>
  </si>
  <si>
    <t>UTC-2</t>
  </si>
  <si>
    <t>UTC-1</t>
  </si>
  <si>
    <t>UTC+3</t>
  </si>
  <si>
    <t>UTC+4</t>
  </si>
  <si>
    <t>UTC+5</t>
  </si>
  <si>
    <t>UTC+6</t>
  </si>
  <si>
    <t>UTC+7</t>
  </si>
  <si>
    <t>UTC+8</t>
  </si>
  <si>
    <t>UTC+9</t>
  </si>
  <si>
    <t>UTC+10</t>
  </si>
  <si>
    <t>UTC+11</t>
  </si>
  <si>
    <t>UTC+12</t>
  </si>
  <si>
    <t>UTC+2 (Norwegian DST)</t>
  </si>
  <si>
    <t>UTC+1 (Norwegian SDT)</t>
  </si>
  <si>
    <t>Ice Station Name</t>
  </si>
  <si>
    <t>Starting Position</t>
  </si>
  <si>
    <t>Ending Position</t>
  </si>
  <si>
    <t>Station Description</t>
  </si>
  <si>
    <t>Thickness Drillings</t>
  </si>
  <si>
    <t>Air temp 1m [°C]</t>
  </si>
  <si>
    <t>Air/snow temp [°C]</t>
  </si>
  <si>
    <t>Snow/ice temp [°C]</t>
  </si>
  <si>
    <t>Water surface temp [°C]</t>
  </si>
  <si>
    <t>Temperatures:</t>
  </si>
  <si>
    <t>Snow Thickness:</t>
  </si>
  <si>
    <t>Layer</t>
  </si>
  <si>
    <t>Diameter min [mm]</t>
  </si>
  <si>
    <t>Diameter max [mm]</t>
  </si>
  <si>
    <t>Hardness</t>
  </si>
  <si>
    <t>Density:</t>
  </si>
  <si>
    <t>Snow hardness</t>
  </si>
  <si>
    <t>Fist</t>
  </si>
  <si>
    <t>4 fingers</t>
  </si>
  <si>
    <t>3 fingers</t>
  </si>
  <si>
    <t>2 fingers</t>
  </si>
  <si>
    <t>1 finger</t>
  </si>
  <si>
    <t>Pencil</t>
  </si>
  <si>
    <t>Knife</t>
  </si>
  <si>
    <t>Snow type</t>
  </si>
  <si>
    <t>I-A</t>
  </si>
  <si>
    <t>I-B</t>
  </si>
  <si>
    <t>II-A-1</t>
  </si>
  <si>
    <t>II-A-2</t>
  </si>
  <si>
    <t>II-B-1</t>
  </si>
  <si>
    <t>II-B-2</t>
  </si>
  <si>
    <t>III-A-1</t>
  </si>
  <si>
    <t>III-A-2</t>
  </si>
  <si>
    <t>III-A-3</t>
  </si>
  <si>
    <t>IV-A</t>
  </si>
  <si>
    <t>IV-B</t>
  </si>
  <si>
    <t>Glacier Ice</t>
  </si>
  <si>
    <t>Ice</t>
  </si>
  <si>
    <t>Time</t>
  </si>
  <si>
    <t>Temperature Core</t>
  </si>
  <si>
    <t>Thickness:</t>
  </si>
  <si>
    <t>Temperature [°C]</t>
  </si>
  <si>
    <t>Salinity Core</t>
  </si>
  <si>
    <t>Sampling box:</t>
  </si>
  <si>
    <t>Box Number</t>
  </si>
  <si>
    <t>Salinity</t>
  </si>
  <si>
    <t>Conductivity [mS/cm]</t>
  </si>
  <si>
    <r>
      <t>Sample Temperature [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C]</t>
    </r>
  </si>
  <si>
    <r>
      <t>Density [kg/m</t>
    </r>
    <r>
      <rPr>
        <b/>
        <sz val="11"/>
        <color theme="1"/>
        <rFont val="Calibri"/>
        <family val="2"/>
      </rPr>
      <t>³]</t>
    </r>
  </si>
  <si>
    <t>Core piece section #</t>
  </si>
  <si>
    <t>Box #</t>
  </si>
  <si>
    <t>Density Core</t>
  </si>
  <si>
    <t>Observer</t>
  </si>
  <si>
    <r>
      <t>Air temp 1m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C]</t>
    </r>
  </si>
  <si>
    <t>Surface temp [°C]</t>
  </si>
  <si>
    <t>Snow-Ice temp [°C]</t>
  </si>
  <si>
    <t>Water temp [°C]</t>
  </si>
  <si>
    <t>Sum length of pieces</t>
  </si>
  <si>
    <t># of pieces</t>
  </si>
  <si>
    <t>Type 1</t>
  </si>
  <si>
    <t>Type 2</t>
  </si>
  <si>
    <t>Moisture</t>
  </si>
  <si>
    <t>Temperature:</t>
  </si>
  <si>
    <t>Site</t>
  </si>
  <si>
    <t>Thickness bottom to water [cm]</t>
  </si>
  <si>
    <t>Thickness bottom to ice surface [cm]</t>
  </si>
  <si>
    <t>Thickness bottom to snow surface [cm]</t>
  </si>
  <si>
    <t>Freeboard [cm]</t>
  </si>
  <si>
    <t>Ice Thickness [cm]</t>
  </si>
  <si>
    <t>Bottom to Snow surface [cm]</t>
  </si>
  <si>
    <t>Bottom to Ice surface [cm]</t>
  </si>
  <si>
    <t>Bottom to Water [cm]</t>
  </si>
  <si>
    <t>Depth at top [cm]</t>
  </si>
  <si>
    <t>Depth at bottom [cm]</t>
  </si>
  <si>
    <t>Lenght of piece [cm]</t>
  </si>
  <si>
    <t>Top [cm]</t>
  </si>
  <si>
    <t>Bottom [cm]</t>
  </si>
  <si>
    <t>Section Length [cm]</t>
  </si>
  <si>
    <t>At depth [cm]</t>
  </si>
  <si>
    <t>Lenght og piece [cm]</t>
  </si>
  <si>
    <t>Snow Thickness [cm]</t>
  </si>
  <si>
    <t>Under Water [cm]</t>
  </si>
  <si>
    <t>Total Thickness [cm]</t>
  </si>
  <si>
    <t>Core ø [cm]</t>
  </si>
  <si>
    <r>
      <t>Cross section [cm</t>
    </r>
    <r>
      <rPr>
        <sz val="11"/>
        <color theme="1"/>
        <rFont val="Arial"/>
        <family val="2"/>
      </rPr>
      <t>²</t>
    </r>
    <r>
      <rPr>
        <sz val="11"/>
        <color theme="1"/>
        <rFont val="Calibri"/>
        <family val="2"/>
        <scheme val="minor"/>
      </rPr>
      <t>]</t>
    </r>
  </si>
  <si>
    <t>Cylinder weight [g]</t>
  </si>
  <si>
    <t>Stn. Number</t>
  </si>
  <si>
    <t>Exp. ID</t>
  </si>
  <si>
    <t>Time zone used</t>
  </si>
  <si>
    <t>Starting Date</t>
  </si>
  <si>
    <t>Starting Time</t>
  </si>
  <si>
    <t>Associate with station</t>
  </si>
  <si>
    <t>Link to other data</t>
  </si>
  <si>
    <t>Yes_No</t>
  </si>
  <si>
    <t>Yes</t>
  </si>
  <si>
    <t>No</t>
  </si>
  <si>
    <t>Core Kept for Texture Analasis?</t>
  </si>
  <si>
    <r>
      <t>Tube volume  [cm</t>
    </r>
    <r>
      <rPr>
        <sz val="11"/>
        <color theme="1"/>
        <rFont val="Calibri"/>
        <family val="2"/>
      </rPr>
      <t>³</t>
    </r>
    <r>
      <rPr>
        <sz val="11"/>
        <color theme="1"/>
        <rFont val="Calibri"/>
        <family val="2"/>
        <scheme val="minor"/>
      </rPr>
      <t>]</t>
    </r>
  </si>
  <si>
    <t>[All distances measured from snow/ice interface]</t>
  </si>
  <si>
    <t>Total core length [cm]</t>
  </si>
  <si>
    <t>Depth Top [cm]</t>
  </si>
  <si>
    <t>Depth Bottom [cm]</t>
  </si>
  <si>
    <t>Depth [cm]</t>
  </si>
  <si>
    <r>
      <t>Temp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C]</t>
    </r>
  </si>
  <si>
    <t>Ice depth (from top) [cm]</t>
  </si>
  <si>
    <t>Epsilon value</t>
  </si>
  <si>
    <t>Archive Core</t>
  </si>
  <si>
    <t>Original weight [g]</t>
  </si>
  <si>
    <t>Snow Density [g/cm³]</t>
  </si>
  <si>
    <t>DD,SG</t>
  </si>
  <si>
    <t>coring site</t>
  </si>
  <si>
    <t>DD, SG</t>
  </si>
  <si>
    <t>B01</t>
  </si>
  <si>
    <t>B02</t>
  </si>
  <si>
    <t>B03</t>
  </si>
  <si>
    <t>B04</t>
  </si>
  <si>
    <t>Chemistry Core</t>
  </si>
  <si>
    <t>core 2 (Temperature), packed for analysis. See details on T-core</t>
  </si>
  <si>
    <t xml:space="preserve">Weight in the air [g] </t>
  </si>
  <si>
    <t xml:space="preserve">Weight in the parafine [g] </t>
  </si>
  <si>
    <t>salinity bag</t>
  </si>
  <si>
    <t>Mean depth [cm]</t>
  </si>
  <si>
    <r>
      <t>Density [g/cm</t>
    </r>
    <r>
      <rPr>
        <b/>
        <sz val="11"/>
        <color theme="1"/>
        <rFont val="Calibri"/>
        <family val="2"/>
      </rPr>
      <t>³]</t>
    </r>
  </si>
  <si>
    <t>temperature lab</t>
  </si>
  <si>
    <t>density parafine</t>
  </si>
  <si>
    <t>KF2025</t>
  </si>
  <si>
    <t>B05</t>
  </si>
  <si>
    <t>top</t>
  </si>
  <si>
    <t>snow bulk sample</t>
  </si>
  <si>
    <t>core 4 for density, packed</t>
  </si>
  <si>
    <t>core 5 Archive, packed for analysis</t>
  </si>
  <si>
    <t>no clear signs of algae</t>
  </si>
  <si>
    <t>SG, DD</t>
  </si>
  <si>
    <t>GPS mark 293</t>
  </si>
  <si>
    <t>GPS mark 302</t>
  </si>
  <si>
    <t>Ice station 6 in Dyrevika. Level fast ice. Sunny, light wind in the beginning, fresh easterly breeze later in the day. Air temperature around -4 -5 C. Smooth level fast ice.  Did full coring program for physics + 3 bio cores for Philipp Assmy/Alison + 2 Bio ice cores for NCPOR. Fresh snow cover, 6-8 cm thick. See snowpit data.</t>
  </si>
  <si>
    <t>snow: 6,5,6,6,6,6</t>
  </si>
  <si>
    <t>core 2, packed as a Chemistry core.  Algae at the bottom</t>
  </si>
  <si>
    <t>Coring site GPS mark 294; core 1; core pictures were taken, snow at the coring site about 6 cm; Use Cond3110 prove S/N 14141062 (also used for density measurements). Probe used for the entire field work. Algae at the bottom</t>
  </si>
  <si>
    <t>no algae signs</t>
  </si>
  <si>
    <t>BIO Cores for Philipp</t>
  </si>
  <si>
    <t>Core 5; algaes on bottom</t>
  </si>
  <si>
    <t>Core 6; algaes on bottom</t>
  </si>
  <si>
    <t>Core 7; algaes on bottom</t>
  </si>
  <si>
    <t>Core 8; algaes on bottom</t>
  </si>
  <si>
    <t>Core 9; algaes on bottom</t>
  </si>
  <si>
    <t>core 8-9 BIO for microbial analysis at NCPOR, packed for analysis</t>
  </si>
  <si>
    <t>BIO Cores NCPOR</t>
  </si>
  <si>
    <t>core 5-7 Archive (optionally BIO for microbial analysis at NCAOR), packed for analysis</t>
  </si>
  <si>
    <t>Snow pit next to coring site</t>
  </si>
  <si>
    <t>Slushy</t>
  </si>
  <si>
    <t>Loose</t>
  </si>
  <si>
    <t>Loose; New snow from the day before</t>
  </si>
  <si>
    <t>J17</t>
  </si>
  <si>
    <t>J18</t>
  </si>
  <si>
    <t>J19</t>
  </si>
  <si>
    <t>C1</t>
  </si>
  <si>
    <t>C2</t>
  </si>
  <si>
    <t>bubbles out at immersion</t>
  </si>
  <si>
    <t>some spot of algae/sediments at the very surface of the 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</si>
</sst>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 * #,##0.00_ ;_ * \-#,##0.00_ ;_ * &quot;-&quot;??_ ;_ @_ "/>
    <numFmt numFmtId="165" formatCode="0#"/>
    <numFmt numFmtId="166" formatCode="dd/mm/yyyy;@"/>
    <numFmt numFmtId="167" formatCode="0.0000"/>
    <numFmt numFmtId="168" formatCode="hh:mm;@"/>
    <numFmt numFmtId="169" formatCode="0.0&quot; g&quot;"/>
    <numFmt numFmtId="170" formatCode="0.0&quot; °C&quot;"/>
    <numFmt numFmtId="171" formatCode="0.0&quot; cm³&quot;"/>
    <numFmt numFmtId="172" formatCode="&quot;Yes&quot;;&quot;Yes&quot;;&quot;No&quot;"/>
    <numFmt numFmtId="173" formatCode="0.00&quot; m&quot;"/>
    <numFmt numFmtId="174" formatCode="0&quot; cm&quot;"/>
    <numFmt numFmtId="175" formatCode="0&quot; cm²&quot;"/>
    <numFmt numFmtId="176" formatCode="0.0&quot; mm&quot;"/>
    <numFmt numFmtId="177" formatCode="0.0&quot; cm&quot;"/>
  </numFmts>
  <fonts count="17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24"/>
      <color rgb="FF9C6500"/>
      <name val="Calibri"/>
      <family val="2"/>
      <scheme val="minor"/>
    </font>
    <font>
      <b/>
      <sz val="26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8" fillId="4" borderId="8" applyNumberFormat="0" applyAlignment="0" applyProtection="0"/>
    <xf numFmtId="164" fontId="14" fillId="0" borderId="0" applyFont="0" applyFill="0" applyBorder="0" applyAlignment="0" applyProtection="0"/>
  </cellStyleXfs>
  <cellXfs count="212">
    <xf numFmtId="0" fontId="0" fillId="0" borderId="0" xfId="0"/>
    <xf numFmtId="0" fontId="3" fillId="0" borderId="0" xfId="0" applyFont="1"/>
    <xf numFmtId="49" fontId="0" fillId="0" borderId="0" xfId="0" applyNumberFormat="1"/>
    <xf numFmtId="0" fontId="8" fillId="4" borderId="8" xfId="2"/>
    <xf numFmtId="0" fontId="5" fillId="3" borderId="9" xfId="0" applyFont="1" applyFill="1" applyBorder="1"/>
    <xf numFmtId="0" fontId="5" fillId="3" borderId="10" xfId="0" applyFont="1" applyFill="1" applyBorder="1"/>
    <xf numFmtId="0" fontId="5" fillId="3" borderId="9" xfId="0" applyFont="1" applyFill="1" applyBorder="1" applyAlignment="1">
      <alignment vertical="top"/>
    </xf>
    <xf numFmtId="0" fontId="0" fillId="3" borderId="9" xfId="0" applyFill="1" applyBorder="1"/>
    <xf numFmtId="167" fontId="0" fillId="3" borderId="9" xfId="0" applyNumberFormat="1" applyFill="1" applyBorder="1"/>
    <xf numFmtId="0" fontId="0" fillId="3" borderId="11" xfId="0" applyFill="1" applyBorder="1"/>
    <xf numFmtId="0" fontId="3" fillId="3" borderId="9" xfId="0" applyFont="1" applyFill="1" applyBorder="1" applyAlignment="1">
      <alignment horizontal="center" wrapText="1"/>
    </xf>
    <xf numFmtId="49" fontId="0" fillId="3" borderId="15" xfId="0" applyNumberFormat="1" applyFill="1" applyBorder="1" applyAlignment="1">
      <alignment wrapText="1"/>
    </xf>
    <xf numFmtId="49" fontId="0" fillId="3" borderId="17" xfId="0" applyNumberFormat="1" applyFill="1" applyBorder="1" applyAlignment="1">
      <alignment wrapText="1"/>
    </xf>
    <xf numFmtId="49" fontId="0" fillId="3" borderId="20" xfId="0" applyNumberFormat="1" applyFill="1" applyBorder="1" applyAlignment="1">
      <alignment wrapText="1"/>
    </xf>
    <xf numFmtId="0" fontId="3" fillId="3" borderId="24" xfId="0" applyFont="1" applyFill="1" applyBorder="1" applyAlignment="1">
      <alignment vertical="top" wrapText="1"/>
    </xf>
    <xf numFmtId="0" fontId="0" fillId="3" borderId="12" xfId="0" applyFill="1" applyBorder="1"/>
    <xf numFmtId="0" fontId="0" fillId="3" borderId="15" xfId="0" applyFill="1" applyBorder="1"/>
    <xf numFmtId="0" fontId="0" fillId="3" borderId="21" xfId="0" applyFill="1" applyBorder="1"/>
    <xf numFmtId="0" fontId="0" fillId="3" borderId="17" xfId="0" applyFill="1" applyBorder="1"/>
    <xf numFmtId="167" fontId="0" fillId="3" borderId="18" xfId="0" applyNumberFormat="1" applyFill="1" applyBorder="1"/>
    <xf numFmtId="0" fontId="0" fillId="3" borderId="15" xfId="0" applyFill="1" applyBorder="1" applyAlignment="1">
      <alignment vertical="top"/>
    </xf>
    <xf numFmtId="0" fontId="0" fillId="3" borderId="17" xfId="0" applyFill="1" applyBorder="1" applyAlignment="1">
      <alignment vertical="top"/>
    </xf>
    <xf numFmtId="49" fontId="8" fillId="4" borderId="8" xfId="2" applyNumberFormat="1"/>
    <xf numFmtId="0" fontId="0" fillId="3" borderId="9" xfId="0" applyFill="1" applyBorder="1" applyAlignment="1">
      <alignment horizontal="center" wrapText="1"/>
    </xf>
    <xf numFmtId="0" fontId="7" fillId="3" borderId="12" xfId="0" applyFont="1" applyFill="1" applyBorder="1"/>
    <xf numFmtId="0" fontId="7" fillId="3" borderId="15" xfId="0" applyFont="1" applyFill="1" applyBorder="1"/>
    <xf numFmtId="0" fontId="7" fillId="3" borderId="30" xfId="0" applyFont="1" applyFill="1" applyBorder="1"/>
    <xf numFmtId="0" fontId="7" fillId="3" borderId="17" xfId="0" applyFont="1" applyFill="1" applyBorder="1" applyAlignment="1">
      <alignment vertical="top"/>
    </xf>
    <xf numFmtId="0" fontId="6" fillId="3" borderId="23" xfId="0" applyFont="1" applyFill="1" applyBorder="1" applyAlignment="1">
      <alignment horizontal="center" wrapText="1"/>
    </xf>
    <xf numFmtId="0" fontId="3" fillId="3" borderId="22" xfId="0" applyFont="1" applyFill="1" applyBorder="1" applyAlignment="1">
      <alignment horizontal="center" wrapText="1"/>
    </xf>
    <xf numFmtId="0" fontId="3" fillId="3" borderId="23" xfId="0" applyFont="1" applyFill="1" applyBorder="1" applyAlignment="1">
      <alignment horizontal="center" wrapText="1"/>
    </xf>
    <xf numFmtId="0" fontId="3" fillId="3" borderId="24" xfId="0" applyFont="1" applyFill="1" applyBorder="1" applyAlignment="1">
      <alignment horizontal="center" wrapText="1"/>
    </xf>
    <xf numFmtId="0" fontId="5" fillId="3" borderId="12" xfId="0" applyFont="1" applyFill="1" applyBorder="1"/>
    <xf numFmtId="0" fontId="5" fillId="3" borderId="15" xfId="0" applyFont="1" applyFill="1" applyBorder="1"/>
    <xf numFmtId="0" fontId="5" fillId="3" borderId="30" xfId="0" applyFont="1" applyFill="1" applyBorder="1"/>
    <xf numFmtId="0" fontId="5" fillId="3" borderId="17" xfId="0" applyFont="1" applyFill="1" applyBorder="1" applyAlignment="1">
      <alignment vertical="top"/>
    </xf>
    <xf numFmtId="174" fontId="0" fillId="3" borderId="19" xfId="0" applyNumberFormat="1" applyFill="1" applyBorder="1"/>
    <xf numFmtId="0" fontId="3" fillId="3" borderId="22" xfId="0" applyFont="1" applyFill="1" applyBorder="1"/>
    <xf numFmtId="0" fontId="3" fillId="3" borderId="24" xfId="0" applyFont="1" applyFill="1" applyBorder="1"/>
    <xf numFmtId="0" fontId="3" fillId="3" borderId="23" xfId="0" applyFont="1" applyFill="1" applyBorder="1"/>
    <xf numFmtId="49" fontId="5" fillId="5" borderId="4" xfId="0" applyNumberFormat="1" applyFont="1" applyFill="1" applyBorder="1" applyAlignment="1" applyProtection="1">
      <alignment horizontal="right"/>
      <protection locked="0"/>
    </xf>
    <xf numFmtId="0" fontId="0" fillId="5" borderId="9" xfId="0" applyFill="1" applyBorder="1"/>
    <xf numFmtId="174" fontId="0" fillId="5" borderId="9" xfId="0" applyNumberFormat="1" applyFill="1" applyBorder="1" applyAlignment="1">
      <alignment horizontal="right"/>
    </xf>
    <xf numFmtId="174" fontId="0" fillId="3" borderId="9" xfId="0" applyNumberFormat="1" applyFill="1" applyBorder="1"/>
    <xf numFmtId="0" fontId="0" fillId="5" borderId="9" xfId="0" applyFill="1" applyBorder="1" applyProtection="1">
      <protection locked="0"/>
    </xf>
    <xf numFmtId="174" fontId="0" fillId="5" borderId="9" xfId="0" applyNumberFormat="1" applyFill="1" applyBorder="1" applyProtection="1">
      <protection locked="0"/>
    </xf>
    <xf numFmtId="0" fontId="0" fillId="6" borderId="22" xfId="0" applyFill="1" applyBorder="1"/>
    <xf numFmtId="0" fontId="2" fillId="7" borderId="0" xfId="0" applyFont="1" applyFill="1"/>
    <xf numFmtId="0" fontId="0" fillId="7" borderId="0" xfId="0" applyFill="1"/>
    <xf numFmtId="0" fontId="4" fillId="7" borderId="0" xfId="1" applyFont="1" applyFill="1" applyBorder="1"/>
    <xf numFmtId="0" fontId="3" fillId="7" borderId="0" xfId="0" applyFont="1" applyFill="1"/>
    <xf numFmtId="0" fontId="2" fillId="7" borderId="0" xfId="0" applyFont="1" applyFill="1" applyAlignment="1">
      <alignment wrapText="1"/>
    </xf>
    <xf numFmtId="0" fontId="0" fillId="7" borderId="15" xfId="0" applyFill="1" applyBorder="1"/>
    <xf numFmtId="0" fontId="0" fillId="7" borderId="0" xfId="0" applyFill="1" applyAlignment="1">
      <alignment vertical="top"/>
    </xf>
    <xf numFmtId="0" fontId="0" fillId="7" borderId="0" xfId="0" applyFill="1" applyAlignment="1">
      <alignment vertical="top" wrapText="1"/>
    </xf>
    <xf numFmtId="0" fontId="0" fillId="7" borderId="28" xfId="0" applyFill="1" applyBorder="1"/>
    <xf numFmtId="0" fontId="0" fillId="7" borderId="26" xfId="0" applyFill="1" applyBorder="1"/>
    <xf numFmtId="0" fontId="0" fillId="7" borderId="27" xfId="0" applyFill="1" applyBorder="1"/>
    <xf numFmtId="20" fontId="0" fillId="7" borderId="27" xfId="0" applyNumberFormat="1" applyFill="1" applyBorder="1"/>
    <xf numFmtId="0" fontId="0" fillId="7" borderId="9" xfId="0" applyFill="1" applyBorder="1"/>
    <xf numFmtId="168" fontId="0" fillId="7" borderId="0" xfId="0" applyNumberFormat="1" applyFill="1"/>
    <xf numFmtId="20" fontId="0" fillId="7" borderId="0" xfId="0" applyNumberFormat="1" applyFill="1"/>
    <xf numFmtId="165" fontId="0" fillId="7" borderId="0" xfId="0" applyNumberFormat="1" applyFill="1"/>
    <xf numFmtId="49" fontId="0" fillId="7" borderId="0" xfId="0" quotePrefix="1" applyNumberFormat="1" applyFill="1"/>
    <xf numFmtId="0" fontId="0" fillId="7" borderId="22" xfId="0" applyFill="1" applyBorder="1" applyAlignment="1">
      <alignment vertical="top"/>
    </xf>
    <xf numFmtId="0" fontId="0" fillId="7" borderId="0" xfId="0" applyFill="1" applyProtection="1">
      <protection locked="0"/>
    </xf>
    <xf numFmtId="168" fontId="0" fillId="5" borderId="2" xfId="0" applyNumberFormat="1" applyFill="1" applyBorder="1" applyProtection="1">
      <protection locked="0"/>
    </xf>
    <xf numFmtId="0" fontId="0" fillId="5" borderId="16" xfId="0" applyFill="1" applyBorder="1" applyProtection="1">
      <protection locked="0"/>
    </xf>
    <xf numFmtId="0" fontId="0" fillId="5" borderId="18" xfId="0" applyFill="1" applyBorder="1" applyProtection="1">
      <protection locked="0"/>
    </xf>
    <xf numFmtId="0" fontId="0" fillId="5" borderId="19" xfId="0" applyFill="1" applyBorder="1" applyProtection="1">
      <protection locked="0"/>
    </xf>
    <xf numFmtId="0" fontId="0" fillId="5" borderId="21" xfId="0" applyFill="1" applyBorder="1" applyAlignment="1" applyProtection="1">
      <alignment horizontal="left" wrapText="1"/>
      <protection locked="0"/>
    </xf>
    <xf numFmtId="0" fontId="0" fillId="5" borderId="16" xfId="0" applyFill="1" applyBorder="1" applyAlignment="1" applyProtection="1">
      <alignment horizontal="left"/>
      <protection locked="0"/>
    </xf>
    <xf numFmtId="0" fontId="0" fillId="5" borderId="19" xfId="0" applyFill="1" applyBorder="1" applyAlignment="1" applyProtection="1">
      <alignment horizontal="left"/>
      <protection locked="0"/>
    </xf>
    <xf numFmtId="0" fontId="5" fillId="7" borderId="25" xfId="0" applyFont="1" applyFill="1" applyBorder="1" applyAlignment="1">
      <alignment vertical="top"/>
    </xf>
    <xf numFmtId="0" fontId="5" fillId="7" borderId="0" xfId="0" applyFont="1" applyFill="1" applyAlignment="1">
      <alignment vertical="top" wrapText="1"/>
    </xf>
    <xf numFmtId="0" fontId="5" fillId="7" borderId="0" xfId="0" applyFont="1" applyFill="1"/>
    <xf numFmtId="0" fontId="5" fillId="7" borderId="0" xfId="0" applyFont="1" applyFill="1" applyAlignment="1">
      <alignment horizontal="right"/>
    </xf>
    <xf numFmtId="0" fontId="5" fillId="7" borderId="29" xfId="0" applyFont="1" applyFill="1" applyBorder="1" applyAlignment="1">
      <alignment vertical="top"/>
    </xf>
    <xf numFmtId="0" fontId="0" fillId="7" borderId="0" xfId="0" applyFill="1" applyAlignment="1">
      <alignment wrapText="1"/>
    </xf>
    <xf numFmtId="173" fontId="0" fillId="5" borderId="11" xfId="0" applyNumberFormat="1" applyFill="1" applyBorder="1" applyProtection="1">
      <protection locked="0"/>
    </xf>
    <xf numFmtId="173" fontId="0" fillId="5" borderId="9" xfId="0" applyNumberFormat="1" applyFill="1" applyBorder="1" applyProtection="1">
      <protection locked="0"/>
    </xf>
    <xf numFmtId="2" fontId="0" fillId="5" borderId="9" xfId="0" applyNumberFormat="1" applyFill="1" applyBorder="1" applyProtection="1">
      <protection locked="0"/>
    </xf>
    <xf numFmtId="0" fontId="3" fillId="7" borderId="0" xfId="0" applyFont="1" applyFill="1" applyAlignment="1">
      <alignment horizontal="center" wrapText="1"/>
    </xf>
    <xf numFmtId="0" fontId="0" fillId="5" borderId="11" xfId="0" applyFill="1" applyBorder="1" applyProtection="1">
      <protection locked="0"/>
    </xf>
    <xf numFmtId="172" fontId="5" fillId="7" borderId="0" xfId="0" applyNumberFormat="1" applyFont="1" applyFill="1" applyAlignment="1">
      <alignment vertical="top" wrapText="1"/>
    </xf>
    <xf numFmtId="0" fontId="0" fillId="7" borderId="13" xfId="0" applyFill="1" applyBorder="1"/>
    <xf numFmtId="0" fontId="0" fillId="7" borderId="14" xfId="0" applyFill="1" applyBorder="1"/>
    <xf numFmtId="0" fontId="0" fillId="7" borderId="16" xfId="0" applyFill="1" applyBorder="1"/>
    <xf numFmtId="0" fontId="0" fillId="7" borderId="18" xfId="0" applyFill="1" applyBorder="1"/>
    <xf numFmtId="170" fontId="0" fillId="5" borderId="14" xfId="0" applyNumberFormat="1" applyFill="1" applyBorder="1" applyAlignment="1" applyProtection="1">
      <alignment horizontal="right"/>
      <protection locked="0"/>
    </xf>
    <xf numFmtId="170" fontId="0" fillId="5" borderId="16" xfId="0" applyNumberFormat="1" applyFill="1" applyBorder="1" applyAlignment="1" applyProtection="1">
      <alignment horizontal="right"/>
      <protection locked="0"/>
    </xf>
    <xf numFmtId="170" fontId="0" fillId="5" borderId="19" xfId="0" applyNumberFormat="1" applyFill="1" applyBorder="1" applyAlignment="1" applyProtection="1">
      <alignment horizontal="right"/>
      <protection locked="0"/>
    </xf>
    <xf numFmtId="174" fontId="0" fillId="5" borderId="14" xfId="0" applyNumberFormat="1" applyFill="1" applyBorder="1" applyAlignment="1" applyProtection="1">
      <alignment horizontal="right"/>
      <protection locked="0"/>
    </xf>
    <xf numFmtId="174" fontId="0" fillId="5" borderId="16" xfId="0" applyNumberFormat="1" applyFill="1" applyBorder="1" applyAlignment="1" applyProtection="1">
      <alignment horizontal="right"/>
      <protection locked="0"/>
    </xf>
    <xf numFmtId="174" fontId="0" fillId="5" borderId="19" xfId="0" applyNumberFormat="1" applyFill="1" applyBorder="1" applyAlignment="1" applyProtection="1">
      <alignment horizontal="right"/>
      <protection locked="0"/>
    </xf>
    <xf numFmtId="174" fontId="0" fillId="5" borderId="13" xfId="0" applyNumberFormat="1" applyFill="1" applyBorder="1" applyAlignment="1" applyProtection="1">
      <alignment horizontal="right"/>
      <protection locked="0"/>
    </xf>
    <xf numFmtId="1" fontId="0" fillId="5" borderId="9" xfId="0" applyNumberFormat="1" applyFill="1" applyBorder="1" applyAlignment="1" applyProtection="1">
      <alignment horizontal="right"/>
      <protection locked="0"/>
    </xf>
    <xf numFmtId="174" fontId="0" fillId="5" borderId="5" xfId="0" applyNumberFormat="1" applyFill="1" applyBorder="1" applyAlignment="1" applyProtection="1">
      <alignment horizontal="right"/>
      <protection locked="0"/>
    </xf>
    <xf numFmtId="174" fontId="0" fillId="5" borderId="2" xfId="0" applyNumberFormat="1" applyFill="1" applyBorder="1" applyAlignment="1" applyProtection="1">
      <alignment horizontal="right"/>
      <protection locked="0"/>
    </xf>
    <xf numFmtId="0" fontId="0" fillId="5" borderId="11" xfId="0" applyFill="1" applyBorder="1" applyAlignment="1" applyProtection="1">
      <alignment horizontal="center"/>
      <protection locked="0"/>
    </xf>
    <xf numFmtId="174" fontId="0" fillId="5" borderId="11" xfId="0" applyNumberFormat="1" applyFill="1" applyBorder="1" applyAlignment="1" applyProtection="1">
      <alignment horizontal="right"/>
      <protection locked="0"/>
    </xf>
    <xf numFmtId="0" fontId="0" fillId="5" borderId="9" xfId="0" applyFill="1" applyBorder="1" applyAlignment="1" applyProtection="1">
      <alignment horizontal="center"/>
      <protection locked="0"/>
    </xf>
    <xf numFmtId="174" fontId="0" fillId="5" borderId="9" xfId="0" applyNumberFormat="1" applyFill="1" applyBorder="1" applyAlignment="1" applyProtection="1">
      <alignment horizontal="right"/>
      <protection locked="0"/>
    </xf>
    <xf numFmtId="174" fontId="0" fillId="5" borderId="9" xfId="3" applyNumberFormat="1" applyFont="1" applyFill="1" applyBorder="1" applyAlignment="1" applyProtection="1">
      <alignment horizontal="right"/>
      <protection locked="0"/>
    </xf>
    <xf numFmtId="2" fontId="0" fillId="5" borderId="9" xfId="0" applyNumberFormat="1" applyFill="1" applyBorder="1" applyAlignment="1" applyProtection="1">
      <alignment horizontal="center"/>
      <protection locked="0"/>
    </xf>
    <xf numFmtId="170" fontId="0" fillId="5" borderId="9" xfId="0" applyNumberFormat="1" applyFill="1" applyBorder="1" applyProtection="1">
      <protection locked="0"/>
    </xf>
    <xf numFmtId="49" fontId="0" fillId="5" borderId="9" xfId="0" applyNumberFormat="1" applyFill="1" applyBorder="1" applyAlignment="1" applyProtection="1">
      <alignment horizontal="left"/>
      <protection locked="0"/>
    </xf>
    <xf numFmtId="0" fontId="5" fillId="7" borderId="6" xfId="0" applyFont="1" applyFill="1" applyBorder="1" applyAlignment="1">
      <alignment vertical="top"/>
    </xf>
    <xf numFmtId="0" fontId="5" fillId="7" borderId="7" xfId="0" applyFont="1" applyFill="1" applyBorder="1" applyAlignment="1">
      <alignment vertical="top"/>
    </xf>
    <xf numFmtId="0" fontId="15" fillId="7" borderId="0" xfId="0" applyFont="1" applyFill="1"/>
    <xf numFmtId="0" fontId="0" fillId="7" borderId="0" xfId="0" applyFill="1" applyAlignment="1">
      <alignment horizontal="center" wrapText="1"/>
    </xf>
    <xf numFmtId="170" fontId="0" fillId="5" borderId="9" xfId="0" applyNumberFormat="1" applyFill="1" applyBorder="1" applyAlignment="1" applyProtection="1">
      <alignment horizontal="right"/>
      <protection locked="0"/>
    </xf>
    <xf numFmtId="171" fontId="0" fillId="5" borderId="9" xfId="0" applyNumberFormat="1" applyFill="1" applyBorder="1" applyAlignment="1" applyProtection="1">
      <alignment horizontal="right"/>
      <protection locked="0"/>
    </xf>
    <xf numFmtId="169" fontId="0" fillId="5" borderId="9" xfId="0" applyNumberFormat="1" applyFill="1" applyBorder="1" applyAlignment="1" applyProtection="1">
      <alignment horizontal="right"/>
      <protection locked="0"/>
    </xf>
    <xf numFmtId="0" fontId="1" fillId="7" borderId="0" xfId="1" applyFill="1" applyBorder="1"/>
    <xf numFmtId="0" fontId="0" fillId="5" borderId="11" xfId="0" applyFill="1" applyBorder="1"/>
    <xf numFmtId="0" fontId="0" fillId="7" borderId="0" xfId="0" applyFill="1" applyAlignment="1">
      <alignment horizontal="left"/>
    </xf>
    <xf numFmtId="167" fontId="0" fillId="7" borderId="0" xfId="0" applyNumberFormat="1" applyFill="1" applyAlignment="1">
      <alignment horizontal="right"/>
    </xf>
    <xf numFmtId="0" fontId="3" fillId="7" borderId="0" xfId="0" applyFont="1" applyFill="1" applyAlignment="1">
      <alignment horizontal="center"/>
    </xf>
    <xf numFmtId="174" fontId="0" fillId="5" borderId="2" xfId="0" applyNumberFormat="1" applyFill="1" applyBorder="1" applyAlignment="1">
      <alignment horizontal="right"/>
    </xf>
    <xf numFmtId="174" fontId="0" fillId="5" borderId="11" xfId="0" applyNumberFormat="1" applyFill="1" applyBorder="1" applyAlignment="1">
      <alignment horizontal="right"/>
    </xf>
    <xf numFmtId="0" fontId="0" fillId="5" borderId="9" xfId="0" applyFill="1" applyBorder="1" applyAlignment="1">
      <alignment horizontal="left"/>
    </xf>
    <xf numFmtId="174" fontId="0" fillId="5" borderId="11" xfId="0" applyNumberFormat="1" applyFill="1" applyBorder="1"/>
    <xf numFmtId="0" fontId="0" fillId="3" borderId="37" xfId="0" applyFill="1" applyBorder="1"/>
    <xf numFmtId="174" fontId="0" fillId="5" borderId="14" xfId="0" applyNumberFormat="1" applyFill="1" applyBorder="1" applyAlignment="1">
      <alignment horizontal="right"/>
    </xf>
    <xf numFmtId="0" fontId="0" fillId="3" borderId="34" xfId="0" applyFill="1" applyBorder="1"/>
    <xf numFmtId="174" fontId="0" fillId="5" borderId="16" xfId="0" applyNumberFormat="1" applyFill="1" applyBorder="1" applyAlignment="1">
      <alignment horizontal="right"/>
    </xf>
    <xf numFmtId="0" fontId="0" fillId="3" borderId="38" xfId="0" applyFill="1" applyBorder="1"/>
    <xf numFmtId="174" fontId="0" fillId="5" borderId="19" xfId="0" applyNumberFormat="1" applyFill="1" applyBorder="1" applyAlignment="1">
      <alignment horizontal="right"/>
    </xf>
    <xf numFmtId="175" fontId="9" fillId="5" borderId="39" xfId="0" applyNumberFormat="1" applyFont="1" applyFill="1" applyBorder="1" applyAlignment="1">
      <alignment horizontal="right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36" xfId="0" applyFill="1" applyBorder="1" applyAlignment="1">
      <alignment horizontal="left"/>
    </xf>
    <xf numFmtId="0" fontId="0" fillId="5" borderId="16" xfId="0" applyFill="1" applyBorder="1" applyAlignment="1">
      <alignment horizontal="left"/>
    </xf>
    <xf numFmtId="0" fontId="0" fillId="5" borderId="17" xfId="0" applyFill="1" applyBorder="1" applyAlignment="1">
      <alignment horizontal="center"/>
    </xf>
    <xf numFmtId="174" fontId="0" fillId="5" borderId="18" xfId="0" applyNumberFormat="1" applyFill="1" applyBorder="1" applyAlignment="1">
      <alignment horizontal="right"/>
    </xf>
    <xf numFmtId="0" fontId="0" fillId="5" borderId="19" xfId="0" applyFill="1" applyBorder="1" applyAlignment="1">
      <alignment horizontal="left"/>
    </xf>
    <xf numFmtId="0" fontId="0" fillId="5" borderId="11" xfId="0" applyFill="1" applyBorder="1" applyAlignment="1">
      <alignment horizontal="left"/>
    </xf>
    <xf numFmtId="0" fontId="3" fillId="3" borderId="22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170" fontId="0" fillId="5" borderId="13" xfId="0" applyNumberFormat="1" applyFill="1" applyBorder="1" applyAlignment="1" applyProtection="1">
      <alignment horizontal="right"/>
      <protection locked="0"/>
    </xf>
    <xf numFmtId="176" fontId="0" fillId="5" borderId="9" xfId="0" applyNumberFormat="1" applyFill="1" applyBorder="1" applyProtection="1">
      <protection locked="0"/>
    </xf>
    <xf numFmtId="169" fontId="0" fillId="5" borderId="9" xfId="0" applyNumberFormat="1" applyFill="1" applyBorder="1" applyProtection="1">
      <protection locked="0"/>
    </xf>
    <xf numFmtId="14" fontId="0" fillId="7" borderId="28" xfId="0" applyNumberFormat="1" applyFill="1" applyBorder="1"/>
    <xf numFmtId="2" fontId="0" fillId="5" borderId="11" xfId="0" applyNumberFormat="1" applyFill="1" applyBorder="1"/>
    <xf numFmtId="0" fontId="0" fillId="3" borderId="0" xfId="0" applyFill="1"/>
    <xf numFmtId="0" fontId="0" fillId="3" borderId="41" xfId="0" applyFill="1" applyBorder="1"/>
    <xf numFmtId="177" fontId="0" fillId="5" borderId="11" xfId="0" applyNumberFormat="1" applyFill="1" applyBorder="1" applyProtection="1">
      <protection locked="0"/>
    </xf>
    <xf numFmtId="177" fontId="0" fillId="5" borderId="9" xfId="0" applyNumberFormat="1" applyFill="1" applyBorder="1" applyProtection="1">
      <protection locked="0"/>
    </xf>
    <xf numFmtId="0" fontId="0" fillId="5" borderId="9" xfId="0" applyFill="1" applyBorder="1" applyAlignment="1" applyProtection="1">
      <alignment horizontal="left"/>
      <protection locked="0"/>
    </xf>
    <xf numFmtId="0" fontId="0" fillId="5" borderId="16" xfId="0" applyFill="1" applyBorder="1" applyAlignment="1" applyProtection="1">
      <alignment horizontal="left"/>
      <protection locked="0"/>
    </xf>
    <xf numFmtId="49" fontId="0" fillId="5" borderId="23" xfId="0" applyNumberFormat="1" applyFill="1" applyBorder="1" applyProtection="1">
      <protection locked="0"/>
    </xf>
    <xf numFmtId="49" fontId="0" fillId="5" borderId="24" xfId="0" applyNumberFormat="1" applyFill="1" applyBorder="1" applyProtection="1">
      <protection locked="0"/>
    </xf>
    <xf numFmtId="0" fontId="0" fillId="5" borderId="9" xfId="0" applyFill="1" applyBorder="1" applyAlignment="1" applyProtection="1">
      <alignment horizontal="center" vertical="top" wrapText="1"/>
      <protection locked="0"/>
    </xf>
    <xf numFmtId="0" fontId="0" fillId="5" borderId="16" xfId="0" applyFill="1" applyBorder="1" applyAlignment="1" applyProtection="1">
      <alignment horizontal="center" vertical="top" wrapText="1"/>
      <protection locked="0"/>
    </xf>
    <xf numFmtId="0" fontId="0" fillId="5" borderId="18" xfId="0" applyFill="1" applyBorder="1" applyAlignment="1" applyProtection="1">
      <alignment horizontal="center" vertical="top" wrapText="1"/>
      <protection locked="0"/>
    </xf>
    <xf numFmtId="0" fontId="0" fillId="5" borderId="19" xfId="0" applyFill="1" applyBorder="1" applyAlignment="1" applyProtection="1">
      <alignment horizontal="center" vertical="top" wrapText="1"/>
      <protection locked="0"/>
    </xf>
    <xf numFmtId="0" fontId="12" fillId="8" borderId="0" xfId="1" applyFont="1" applyFill="1" applyBorder="1" applyAlignment="1">
      <alignment horizontal="left"/>
    </xf>
    <xf numFmtId="0" fontId="0" fillId="5" borderId="13" xfId="0" applyFill="1" applyBorder="1" applyAlignment="1" applyProtection="1">
      <alignment horizontal="left"/>
      <protection locked="0"/>
    </xf>
    <xf numFmtId="0" fontId="0" fillId="5" borderId="14" xfId="0" applyFill="1" applyBorder="1" applyAlignment="1" applyProtection="1">
      <alignment horizontal="left"/>
      <protection locked="0"/>
    </xf>
    <xf numFmtId="49" fontId="0" fillId="5" borderId="13" xfId="0" applyNumberFormat="1" applyFill="1" applyBorder="1" applyAlignment="1" applyProtection="1">
      <alignment horizontal="right"/>
      <protection locked="0"/>
    </xf>
    <xf numFmtId="49" fontId="0" fillId="5" borderId="14" xfId="0" applyNumberFormat="1" applyFill="1" applyBorder="1" applyAlignment="1" applyProtection="1">
      <alignment horizontal="right"/>
      <protection locked="0"/>
    </xf>
    <xf numFmtId="1" fontId="0" fillId="5" borderId="9" xfId="0" applyNumberFormat="1" applyFill="1" applyBorder="1" applyAlignment="1" applyProtection="1">
      <alignment horizontal="right"/>
      <protection locked="0"/>
    </xf>
    <xf numFmtId="1" fontId="0" fillId="5" borderId="16" xfId="0" applyNumberFormat="1" applyFill="1" applyBorder="1" applyAlignment="1" applyProtection="1">
      <alignment horizontal="right"/>
      <protection locked="0"/>
    </xf>
    <xf numFmtId="49" fontId="0" fillId="5" borderId="18" xfId="0" applyNumberFormat="1" applyFill="1" applyBorder="1" applyAlignment="1" applyProtection="1">
      <alignment horizontal="right"/>
      <protection locked="0"/>
    </xf>
    <xf numFmtId="49" fontId="0" fillId="5" borderId="19" xfId="0" applyNumberFormat="1" applyFill="1" applyBorder="1" applyAlignment="1" applyProtection="1">
      <alignment horizontal="right"/>
      <protection locked="0"/>
    </xf>
    <xf numFmtId="0" fontId="0" fillId="5" borderId="9" xfId="0" applyFill="1" applyBorder="1" applyAlignment="1" applyProtection="1">
      <alignment horizontal="right"/>
      <protection locked="0"/>
    </xf>
    <xf numFmtId="0" fontId="0" fillId="5" borderId="18" xfId="0" applyFill="1" applyBorder="1" applyAlignment="1" applyProtection="1">
      <alignment horizontal="right"/>
      <protection locked="0"/>
    </xf>
    <xf numFmtId="0" fontId="3" fillId="3" borderId="23" xfId="0" applyFont="1" applyFill="1" applyBorder="1" applyAlignment="1">
      <alignment horizontal="center" vertical="top" wrapText="1"/>
    </xf>
    <xf numFmtId="0" fontId="0" fillId="5" borderId="11" xfId="0" applyFill="1" applyBorder="1" applyAlignment="1" applyProtection="1">
      <alignment horizontal="right" wrapText="1"/>
      <protection locked="0"/>
    </xf>
    <xf numFmtId="49" fontId="5" fillId="5" borderId="2" xfId="0" applyNumberFormat="1" applyFont="1" applyFill="1" applyBorder="1" applyAlignment="1" applyProtection="1">
      <alignment horizontal="right"/>
      <protection locked="0"/>
    </xf>
    <xf numFmtId="49" fontId="5" fillId="5" borderId="4" xfId="0" applyNumberFormat="1" applyFont="1" applyFill="1" applyBorder="1" applyAlignment="1" applyProtection="1">
      <alignment horizontal="right"/>
      <protection locked="0"/>
    </xf>
    <xf numFmtId="0" fontId="5" fillId="5" borderId="2" xfId="0" applyFont="1" applyFill="1" applyBorder="1" applyAlignment="1" applyProtection="1">
      <alignment horizontal="right"/>
      <protection locked="0"/>
    </xf>
    <xf numFmtId="0" fontId="5" fillId="5" borderId="4" xfId="0" applyFont="1" applyFill="1" applyBorder="1" applyAlignment="1" applyProtection="1">
      <alignment horizontal="right"/>
      <protection locked="0"/>
    </xf>
    <xf numFmtId="0" fontId="7" fillId="5" borderId="31" xfId="0" applyFont="1" applyFill="1" applyBorder="1" applyAlignment="1" applyProtection="1">
      <alignment horizontal="left" vertical="top"/>
      <protection locked="0"/>
    </xf>
    <xf numFmtId="0" fontId="7" fillId="5" borderId="32" xfId="0" applyFont="1" applyFill="1" applyBorder="1" applyAlignment="1" applyProtection="1">
      <alignment horizontal="left" vertical="top"/>
      <protection locked="0"/>
    </xf>
    <xf numFmtId="0" fontId="7" fillId="5" borderId="33" xfId="0" applyFont="1" applyFill="1" applyBorder="1" applyAlignment="1" applyProtection="1">
      <alignment horizontal="left" vertical="top"/>
      <protection locked="0"/>
    </xf>
    <xf numFmtId="49" fontId="5" fillId="3" borderId="13" xfId="0" applyNumberFormat="1" applyFont="1" applyFill="1" applyBorder="1" applyAlignment="1">
      <alignment horizontal="right"/>
    </xf>
    <xf numFmtId="0" fontId="5" fillId="5" borderId="9" xfId="0" applyFont="1" applyFill="1" applyBorder="1" applyAlignment="1" applyProtection="1">
      <alignment horizontal="right"/>
      <protection locked="0"/>
    </xf>
    <xf numFmtId="166" fontId="5" fillId="3" borderId="9" xfId="0" applyNumberFormat="1" applyFont="1" applyFill="1" applyBorder="1" applyAlignment="1">
      <alignment horizontal="right"/>
    </xf>
    <xf numFmtId="168" fontId="5" fillId="5" borderId="2" xfId="0" applyNumberFormat="1" applyFont="1" applyFill="1" applyBorder="1" applyAlignment="1" applyProtection="1">
      <alignment horizontal="right"/>
      <protection locked="0"/>
    </xf>
    <xf numFmtId="168" fontId="5" fillId="5" borderId="4" xfId="0" applyNumberFormat="1" applyFont="1" applyFill="1" applyBorder="1" applyAlignment="1" applyProtection="1">
      <alignment horizontal="right"/>
      <protection locked="0"/>
    </xf>
    <xf numFmtId="0" fontId="0" fillId="3" borderId="2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2" fillId="8" borderId="1" xfId="1" applyFont="1" applyFill="1" applyBorder="1" applyAlignment="1">
      <alignment horizontal="left"/>
    </xf>
    <xf numFmtId="49" fontId="5" fillId="5" borderId="2" xfId="0" applyNumberFormat="1" applyFont="1" applyFill="1" applyBorder="1" applyAlignment="1" applyProtection="1">
      <alignment horizontal="left" wrapText="1"/>
      <protection locked="0"/>
    </xf>
    <xf numFmtId="49" fontId="5" fillId="5" borderId="3" xfId="0" applyNumberFormat="1" applyFont="1" applyFill="1" applyBorder="1" applyAlignment="1" applyProtection="1">
      <alignment horizontal="left" wrapText="1"/>
      <protection locked="0"/>
    </xf>
    <xf numFmtId="49" fontId="5" fillId="5" borderId="4" xfId="0" applyNumberFormat="1" applyFont="1" applyFill="1" applyBorder="1" applyAlignment="1" applyProtection="1">
      <alignment horizontal="left" wrapText="1"/>
      <protection locked="0"/>
    </xf>
    <xf numFmtId="0" fontId="5" fillId="3" borderId="9" xfId="0" applyFont="1" applyFill="1" applyBorder="1" applyAlignment="1">
      <alignment horizontal="right"/>
    </xf>
    <xf numFmtId="168" fontId="5" fillId="5" borderId="9" xfId="0" applyNumberFormat="1" applyFont="1" applyFill="1" applyBorder="1" applyAlignment="1" applyProtection="1">
      <alignment horizontal="right"/>
      <protection locked="0"/>
    </xf>
    <xf numFmtId="49" fontId="5" fillId="5" borderId="9" xfId="0" applyNumberFormat="1" applyFont="1" applyFill="1" applyBorder="1" applyAlignment="1" applyProtection="1">
      <alignment horizontal="right"/>
      <protection locked="0"/>
    </xf>
    <xf numFmtId="49" fontId="5" fillId="5" borderId="31" xfId="0" applyNumberFormat="1" applyFont="1" applyFill="1" applyBorder="1" applyAlignment="1" applyProtection="1">
      <alignment horizontal="left" wrapText="1"/>
      <protection locked="0"/>
    </xf>
    <xf numFmtId="49" fontId="5" fillId="5" borderId="32" xfId="0" applyNumberFormat="1" applyFont="1" applyFill="1" applyBorder="1" applyAlignment="1" applyProtection="1">
      <alignment horizontal="left" wrapText="1"/>
      <protection locked="0"/>
    </xf>
    <xf numFmtId="49" fontId="5" fillId="5" borderId="33" xfId="0" applyNumberFormat="1" applyFont="1" applyFill="1" applyBorder="1" applyAlignment="1" applyProtection="1">
      <alignment horizontal="left" wrapText="1"/>
      <protection locked="0"/>
    </xf>
    <xf numFmtId="0" fontId="13" fillId="8" borderId="0" xfId="1" applyFont="1" applyFill="1" applyBorder="1" applyAlignment="1">
      <alignment horizontal="left"/>
    </xf>
    <xf numFmtId="0" fontId="5" fillId="3" borderId="3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49" fontId="0" fillId="5" borderId="9" xfId="0" applyNumberFormat="1" applyFill="1" applyBorder="1" applyAlignment="1" applyProtection="1">
      <alignment wrapText="1"/>
      <protection locked="0"/>
    </xf>
    <xf numFmtId="0" fontId="3" fillId="3" borderId="35" xfId="0" applyFont="1" applyFill="1" applyBorder="1"/>
    <xf numFmtId="0" fontId="3" fillId="3" borderId="40" xfId="0" applyFont="1" applyFill="1" applyBorder="1"/>
    <xf numFmtId="49" fontId="0" fillId="5" borderId="11" xfId="0" applyNumberFormat="1" applyFill="1" applyBorder="1" applyAlignment="1" applyProtection="1">
      <alignment wrapText="1"/>
      <protection locked="0"/>
    </xf>
    <xf numFmtId="0" fontId="5" fillId="5" borderId="31" xfId="0" applyFont="1" applyFill="1" applyBorder="1" applyAlignment="1">
      <alignment wrapText="1"/>
    </xf>
    <xf numFmtId="0" fontId="5" fillId="5" borderId="32" xfId="0" applyFont="1" applyFill="1" applyBorder="1" applyAlignment="1">
      <alignment wrapText="1"/>
    </xf>
    <xf numFmtId="0" fontId="5" fillId="5" borderId="33" xfId="0" applyFont="1" applyFill="1" applyBorder="1" applyAlignment="1">
      <alignment wrapText="1"/>
    </xf>
    <xf numFmtId="0" fontId="5" fillId="3" borderId="13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168" fontId="5" fillId="5" borderId="9" xfId="0" applyNumberFormat="1" applyFont="1" applyFill="1" applyBorder="1" applyAlignment="1">
      <alignment horizontal="right"/>
    </xf>
    <xf numFmtId="168" fontId="5" fillId="5" borderId="2" xfId="0" applyNumberFormat="1" applyFont="1" applyFill="1" applyBorder="1" applyAlignment="1">
      <alignment horizontal="right"/>
    </xf>
    <xf numFmtId="168" fontId="5" fillId="5" borderId="4" xfId="0" applyNumberFormat="1" applyFont="1" applyFill="1" applyBorder="1" applyAlignment="1">
      <alignment horizontal="right"/>
    </xf>
  </cellXfs>
  <cellStyles count="4">
    <cellStyle name="Calculation" xfId="2" builtinId="22"/>
    <cellStyle name="Comma" xfId="3" builtinId="3"/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ice 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 Core'!$G$23:$G$27</c:f>
              <c:numCache>
                <c:formatCode>0" cm"</c:formatCode>
                <c:ptCount val="5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21.5</c:v>
                </c:pt>
              </c:numCache>
            </c:numRef>
          </c:xVal>
          <c:yVal>
            <c:numRef>
              <c:f>'Density Core'!$H$23:$H$27</c:f>
              <c:numCache>
                <c:formatCode>General</c:formatCode>
                <c:ptCount val="5"/>
                <c:pt idx="0">
                  <c:v>0.86504134428355317</c:v>
                </c:pt>
                <c:pt idx="1">
                  <c:v>0.9128197863278712</c:v>
                </c:pt>
                <c:pt idx="2">
                  <c:v>0.91556160164271061</c:v>
                </c:pt>
                <c:pt idx="3">
                  <c:v>0.91176094955226539</c:v>
                </c:pt>
                <c:pt idx="4">
                  <c:v>0.91740786182251344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78-4037-BE72-4A5DA6370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4006336"/>
        <c:axId val="1764006816"/>
      </c:scatterChart>
      <c:valAx>
        <c:axId val="176400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764006816"/>
        <c:crosses val="autoZero"/>
        <c:crossBetween val="midCat"/>
      </c:valAx>
      <c:valAx>
        <c:axId val="17640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76400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ice salinity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 Core'!$G$23:$G$27</c:f>
              <c:numCache>
                <c:formatCode>0" cm"</c:formatCode>
                <c:ptCount val="5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21.5</c:v>
                </c:pt>
              </c:numCache>
            </c:numRef>
          </c:xVal>
          <c:yVal>
            <c:numRef>
              <c:f>'Density Core'!$J$23:$J$27</c:f>
              <c:numCache>
                <c:formatCode>General</c:formatCode>
                <c:ptCount val="5"/>
                <c:pt idx="0">
                  <c:v>11</c:v>
                </c:pt>
                <c:pt idx="1">
                  <c:v>6.9</c:v>
                </c:pt>
                <c:pt idx="2">
                  <c:v>5.6</c:v>
                </c:pt>
                <c:pt idx="3">
                  <c:v>4.0999999999999996</c:v>
                </c:pt>
                <c:pt idx="4">
                  <c:v>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A5-4D0B-8D63-144952771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243423"/>
        <c:axId val="1230243903"/>
      </c:scatterChart>
      <c:valAx>
        <c:axId val="123024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230243903"/>
        <c:crosses val="autoZero"/>
        <c:crossBetween val="midCat"/>
      </c:valAx>
      <c:valAx>
        <c:axId val="123024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230243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695325</xdr:colOff>
      <xdr:row>30</xdr:row>
      <xdr:rowOff>61913</xdr:rowOff>
    </xdr:from>
    <xdr:to>
      <xdr:col>8</xdr:col>
      <xdr:colOff>1219200</xdr:colOff>
      <xdr:row>45</xdr:row>
      <xdr:rowOff>90488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6B58EF-94E9-2998-E580-2108F1637F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180975</xdr:colOff>
      <xdr:row>29</xdr:row>
      <xdr:rowOff>33338</xdr:rowOff>
    </xdr:from>
    <xdr:to>
      <xdr:col>16</xdr:col>
      <xdr:colOff>352425</xdr:colOff>
      <xdr:row>44</xdr:row>
      <xdr:rowOff>61913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0E910B-D455-B68A-A817-54EBA6749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tionOvervie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ionOverview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I46"/>
  <sheetViews>
    <sheetView topLeftCell="A4" zoomScale="80" zoomScaleNormal="80" workbookViewId="0">
      <selection activeCell="F12" sqref="F12"/>
    </sheetView>
  </sheetViews>
  <sheetFormatPr defaultColWidth="9.109375" defaultRowHeight="14.4" x14ac:dyDescent="0.3"/>
  <cols>
    <col min="1" max="1" width="22.6640625" style="48" customWidth="1"/>
    <col min="2" max="2" width="12.6640625" style="48" customWidth="1"/>
    <col min="3" max="5" width="10.6640625" style="48" customWidth="1"/>
    <col min="6" max="6" width="32.6640625" style="48" customWidth="1"/>
    <col min="7" max="7" width="9.109375" style="48"/>
    <col min="8" max="9" width="9.109375" style="48" customWidth="1"/>
    <col min="10" max="16384" width="9.109375" style="48"/>
  </cols>
  <sheetData>
    <row r="1" spans="1:9" ht="31.2" x14ac:dyDescent="0.6">
      <c r="A1" s="160" t="s">
        <v>0</v>
      </c>
      <c r="B1" s="160"/>
      <c r="C1" s="160"/>
      <c r="D1" s="160"/>
      <c r="E1" s="160"/>
      <c r="F1" s="47"/>
      <c r="G1" s="47"/>
      <c r="H1" s="47"/>
    </row>
    <row r="2" spans="1:9" ht="15.75" customHeight="1" x14ac:dyDescent="0.4">
      <c r="A2" s="49"/>
      <c r="D2" s="47"/>
      <c r="E2" s="47"/>
      <c r="F2" s="47"/>
      <c r="G2" s="47"/>
      <c r="H2" s="47"/>
    </row>
    <row r="3" spans="1:9" ht="15" thickBot="1" x14ac:dyDescent="0.35">
      <c r="A3" s="50" t="s">
        <v>68</v>
      </c>
      <c r="D3" s="47"/>
      <c r="E3" s="47"/>
    </row>
    <row r="4" spans="1:9" x14ac:dyDescent="0.3">
      <c r="A4" s="15" t="s">
        <v>1</v>
      </c>
      <c r="B4" s="163" t="s">
        <v>193</v>
      </c>
      <c r="C4" s="164"/>
      <c r="H4" s="51"/>
      <c r="I4" s="51"/>
    </row>
    <row r="5" spans="1:9" x14ac:dyDescent="0.3">
      <c r="A5" s="16" t="s">
        <v>2</v>
      </c>
      <c r="B5" s="165">
        <v>6</v>
      </c>
      <c r="C5" s="166"/>
      <c r="H5" s="51"/>
      <c r="I5" s="51"/>
    </row>
    <row r="6" spans="1:9" x14ac:dyDescent="0.3">
      <c r="A6" s="16" t="s">
        <v>3</v>
      </c>
      <c r="B6" s="165">
        <v>1</v>
      </c>
      <c r="C6" s="166"/>
    </row>
    <row r="7" spans="1:9" ht="15" thickBot="1" x14ac:dyDescent="0.35">
      <c r="A7" s="18" t="s">
        <v>120</v>
      </c>
      <c r="B7" s="167" t="s">
        <v>177</v>
      </c>
      <c r="C7" s="168"/>
    </row>
    <row r="9" spans="1:9" ht="15" thickBot="1" x14ac:dyDescent="0.35">
      <c r="A9" s="50" t="s">
        <v>71</v>
      </c>
    </row>
    <row r="10" spans="1:9" x14ac:dyDescent="0.3">
      <c r="A10" s="15" t="s">
        <v>9</v>
      </c>
      <c r="B10" s="161" t="s">
        <v>21</v>
      </c>
      <c r="C10" s="161"/>
      <c r="D10" s="161"/>
      <c r="E10" s="162"/>
    </row>
    <row r="11" spans="1:9" x14ac:dyDescent="0.3">
      <c r="A11" s="16" t="s">
        <v>11</v>
      </c>
      <c r="B11" s="152" t="s">
        <v>12</v>
      </c>
      <c r="C11" s="152"/>
      <c r="D11" s="152"/>
      <c r="E11" s="153"/>
    </row>
    <row r="12" spans="1:9" x14ac:dyDescent="0.3">
      <c r="A12" s="20" t="s">
        <v>13</v>
      </c>
      <c r="B12" s="156" t="s">
        <v>203</v>
      </c>
      <c r="C12" s="156"/>
      <c r="D12" s="156"/>
      <c r="E12" s="157"/>
    </row>
    <row r="13" spans="1:9" x14ac:dyDescent="0.3">
      <c r="A13" s="20"/>
      <c r="B13" s="156"/>
      <c r="C13" s="156"/>
      <c r="D13" s="156"/>
      <c r="E13" s="157"/>
    </row>
    <row r="14" spans="1:9" ht="15" thickBot="1" x14ac:dyDescent="0.35">
      <c r="A14" s="21"/>
      <c r="B14" s="158"/>
      <c r="C14" s="158"/>
      <c r="D14" s="158"/>
      <c r="E14" s="159"/>
    </row>
    <row r="15" spans="1:9" x14ac:dyDescent="0.3">
      <c r="A15" s="53"/>
      <c r="B15" s="54"/>
      <c r="C15" s="54"/>
      <c r="D15" s="54"/>
      <c r="E15" s="54"/>
    </row>
    <row r="16" spans="1:9" ht="15" thickBot="1" x14ac:dyDescent="0.35">
      <c r="A16" s="50" t="s">
        <v>69</v>
      </c>
    </row>
    <row r="17" spans="1:6" x14ac:dyDescent="0.3">
      <c r="A17" s="15" t="s">
        <v>157</v>
      </c>
      <c r="B17" s="146">
        <v>45779</v>
      </c>
      <c r="C17" s="146"/>
    </row>
    <row r="18" spans="1:6" ht="15" thickBot="1" x14ac:dyDescent="0.35">
      <c r="A18" s="16" t="s">
        <v>158</v>
      </c>
      <c r="B18" s="66">
        <v>0.43819444444444444</v>
      </c>
      <c r="C18" s="56"/>
      <c r="D18" s="57"/>
      <c r="E18" s="58"/>
      <c r="F18" s="48" t="s">
        <v>201</v>
      </c>
    </row>
    <row r="19" spans="1:6" x14ac:dyDescent="0.3">
      <c r="A19" s="52"/>
      <c r="B19" s="59"/>
      <c r="C19" s="9" t="s">
        <v>6</v>
      </c>
      <c r="D19" s="9" t="s">
        <v>7</v>
      </c>
      <c r="E19" s="17" t="s">
        <v>8</v>
      </c>
    </row>
    <row r="20" spans="1:6" x14ac:dyDescent="0.3">
      <c r="A20" s="16" t="s">
        <v>38</v>
      </c>
      <c r="B20" s="8"/>
      <c r="C20" s="44">
        <v>78</v>
      </c>
      <c r="D20" s="44">
        <v>57.452599999999997</v>
      </c>
      <c r="E20" s="67"/>
    </row>
    <row r="21" spans="1:6" ht="15" thickBot="1" x14ac:dyDescent="0.35">
      <c r="A21" s="18" t="s">
        <v>39</v>
      </c>
      <c r="B21" s="19"/>
      <c r="C21" s="68">
        <v>12</v>
      </c>
      <c r="D21" s="68">
        <v>20.055499999999999</v>
      </c>
      <c r="E21" s="69"/>
    </row>
    <row r="23" spans="1:6" ht="15" thickBot="1" x14ac:dyDescent="0.35">
      <c r="A23" s="50" t="s">
        <v>70</v>
      </c>
      <c r="B23" s="60"/>
      <c r="E23" s="61"/>
    </row>
    <row r="24" spans="1:6" x14ac:dyDescent="0.3">
      <c r="A24" s="15" t="s">
        <v>42</v>
      </c>
      <c r="B24" s="146">
        <v>45779</v>
      </c>
      <c r="C24" s="55"/>
    </row>
    <row r="25" spans="1:6" ht="15" thickBot="1" x14ac:dyDescent="0.35">
      <c r="A25" s="16" t="s">
        <v>43</v>
      </c>
      <c r="B25" s="66">
        <v>0.53125</v>
      </c>
      <c r="C25" s="56"/>
      <c r="D25" s="57"/>
      <c r="F25" s="48" t="s">
        <v>202</v>
      </c>
    </row>
    <row r="26" spans="1:6" x14ac:dyDescent="0.3">
      <c r="A26" s="52"/>
      <c r="B26" s="59"/>
      <c r="C26" s="9" t="s">
        <v>6</v>
      </c>
      <c r="D26" s="9" t="s">
        <v>7</v>
      </c>
      <c r="E26" s="17" t="s">
        <v>8</v>
      </c>
    </row>
    <row r="27" spans="1:6" x14ac:dyDescent="0.3">
      <c r="A27" s="16" t="s">
        <v>40</v>
      </c>
      <c r="B27" s="8"/>
      <c r="C27" s="44">
        <v>78</v>
      </c>
      <c r="D27" s="44">
        <v>57.453400000000002</v>
      </c>
      <c r="E27" s="67"/>
    </row>
    <row r="28" spans="1:6" ht="15" thickBot="1" x14ac:dyDescent="0.35">
      <c r="A28" s="18" t="s">
        <v>41</v>
      </c>
      <c r="B28" s="19"/>
      <c r="C28" s="68">
        <v>12</v>
      </c>
      <c r="D28" s="68">
        <v>20.05444</v>
      </c>
      <c r="E28" s="69"/>
    </row>
    <row r="29" spans="1:6" ht="15" thickBot="1" x14ac:dyDescent="0.35">
      <c r="B29" s="62"/>
      <c r="C29" s="63"/>
    </row>
    <row r="30" spans="1:6" ht="15" thickBot="1" x14ac:dyDescent="0.35">
      <c r="A30" s="46" t="s">
        <v>156</v>
      </c>
      <c r="B30" s="154" t="s">
        <v>66</v>
      </c>
      <c r="C30" s="154"/>
      <c r="D30" s="154"/>
      <c r="E30" s="155"/>
    </row>
    <row r="31" spans="1:6" ht="15" thickBot="1" x14ac:dyDescent="0.35"/>
    <row r="32" spans="1:6" ht="30" customHeight="1" thickBot="1" x14ac:dyDescent="0.35">
      <c r="A32" s="64"/>
      <c r="B32" s="171" t="s">
        <v>155</v>
      </c>
      <c r="C32" s="171"/>
      <c r="D32" s="171" t="s">
        <v>154</v>
      </c>
      <c r="E32" s="171"/>
      <c r="F32" s="14" t="s">
        <v>14</v>
      </c>
    </row>
    <row r="33" spans="1:6" ht="30" customHeight="1" x14ac:dyDescent="0.3">
      <c r="A33" s="13" t="s">
        <v>159</v>
      </c>
      <c r="B33" s="172"/>
      <c r="C33" s="172"/>
      <c r="D33" s="172"/>
      <c r="E33" s="172"/>
      <c r="F33" s="70"/>
    </row>
    <row r="34" spans="1:6" ht="30" customHeight="1" x14ac:dyDescent="0.3">
      <c r="A34" s="11" t="s">
        <v>159</v>
      </c>
      <c r="B34" s="169"/>
      <c r="C34" s="169"/>
      <c r="D34" s="169"/>
      <c r="E34" s="169"/>
      <c r="F34" s="71"/>
    </row>
    <row r="35" spans="1:6" ht="30" customHeight="1" x14ac:dyDescent="0.3">
      <c r="A35" s="11" t="s">
        <v>159</v>
      </c>
      <c r="B35" s="169"/>
      <c r="C35" s="169"/>
      <c r="D35" s="169"/>
      <c r="E35" s="169"/>
      <c r="F35" s="71"/>
    </row>
    <row r="36" spans="1:6" ht="30" customHeight="1" x14ac:dyDescent="0.3">
      <c r="A36" s="11" t="s">
        <v>159</v>
      </c>
      <c r="B36" s="169"/>
      <c r="C36" s="169"/>
      <c r="D36" s="169"/>
      <c r="E36" s="169"/>
      <c r="F36" s="71"/>
    </row>
    <row r="37" spans="1:6" ht="30" customHeight="1" thickBot="1" x14ac:dyDescent="0.35">
      <c r="A37" s="12" t="s">
        <v>159</v>
      </c>
      <c r="B37" s="170"/>
      <c r="C37" s="170"/>
      <c r="D37" s="170"/>
      <c r="E37" s="170"/>
      <c r="F37" s="72"/>
    </row>
    <row r="38" spans="1:6" x14ac:dyDescent="0.3">
      <c r="B38" s="65"/>
      <c r="C38" s="65"/>
      <c r="D38" s="65"/>
      <c r="E38" s="65"/>
      <c r="F38" s="65"/>
    </row>
    <row r="39" spans="1:6" x14ac:dyDescent="0.3">
      <c r="B39" s="65"/>
      <c r="C39" s="65"/>
      <c r="D39" s="65"/>
      <c r="E39" s="65"/>
      <c r="F39" s="65"/>
    </row>
    <row r="40" spans="1:6" x14ac:dyDescent="0.3">
      <c r="B40" s="65"/>
      <c r="C40" s="65"/>
      <c r="D40" s="65"/>
      <c r="E40" s="65"/>
      <c r="F40" s="65"/>
    </row>
    <row r="41" spans="1:6" x14ac:dyDescent="0.3">
      <c r="B41" s="65"/>
      <c r="C41" s="65"/>
      <c r="D41" s="65"/>
      <c r="E41" s="65"/>
      <c r="F41" s="65"/>
    </row>
    <row r="42" spans="1:6" x14ac:dyDescent="0.3">
      <c r="B42" s="65"/>
      <c r="C42" s="65"/>
      <c r="D42" s="65"/>
      <c r="E42" s="65"/>
      <c r="F42" s="65"/>
    </row>
    <row r="43" spans="1:6" x14ac:dyDescent="0.3">
      <c r="B43" s="65"/>
      <c r="C43" s="65"/>
      <c r="D43" s="65"/>
      <c r="E43" s="65"/>
      <c r="F43" s="65"/>
    </row>
    <row r="44" spans="1:6" x14ac:dyDescent="0.3">
      <c r="B44" s="65"/>
      <c r="C44" s="65"/>
      <c r="D44" s="65"/>
      <c r="E44" s="65"/>
      <c r="F44" s="65"/>
    </row>
    <row r="45" spans="1:6" x14ac:dyDescent="0.3">
      <c r="B45" s="65"/>
      <c r="C45" s="65"/>
      <c r="D45" s="65"/>
      <c r="E45" s="65"/>
      <c r="F45" s="65"/>
    </row>
    <row r="46" spans="1:6" x14ac:dyDescent="0.3">
      <c r="B46" s="65"/>
      <c r="C46" s="65"/>
      <c r="D46" s="65"/>
      <c r="E46" s="65"/>
      <c r="F46" s="65"/>
    </row>
  </sheetData>
  <mergeCells count="21">
    <mergeCell ref="D32:E32"/>
    <mergeCell ref="D33:E33"/>
    <mergeCell ref="B32:C32"/>
    <mergeCell ref="B33:C33"/>
    <mergeCell ref="B34:C34"/>
    <mergeCell ref="B35:C35"/>
    <mergeCell ref="B36:C36"/>
    <mergeCell ref="B37:C37"/>
    <mergeCell ref="D34:E34"/>
    <mergeCell ref="D35:E35"/>
    <mergeCell ref="D36:E36"/>
    <mergeCell ref="D37:E37"/>
    <mergeCell ref="B11:E11"/>
    <mergeCell ref="B30:E30"/>
    <mergeCell ref="B12:E14"/>
    <mergeCell ref="A1:E1"/>
    <mergeCell ref="B10:E10"/>
    <mergeCell ref="B4:C4"/>
    <mergeCell ref="B5:C5"/>
    <mergeCell ref="B6:C6"/>
    <mergeCell ref="B7:C7"/>
  </mergeCells>
  <dataValidations xWindow="316" yWindow="263" count="24">
    <dataValidation type="custom" allowBlank="1" showInputMessage="1" showErrorMessage="1" error="Must be blank if entered decimal degrees in first cell; otherwise, must be a  number between 0 and 60" prompt="Ending longitude seconds (0 to less than 60)_x000a_Leave blank if decimal degrees entered in previous cell" sqref="E28" xr:uid="{00000000-0002-0000-0000-000000000000}">
      <formula1>IF(C28=INT(C28),AND(E28&gt;=0,E28&lt;60),ISBLANK(E28))</formula1>
    </dataValidation>
    <dataValidation type="custom" allowBlank="1" showInputMessage="1" showErrorMessage="1" error="Must be blank if entered decimal degrees in first cell; otherwise, must be a  number between 0 and 60" prompt="Ending latitude seconds (0 to less than 60)_x000a_Leave blank if decimal degrees entered in previous cell" sqref="E27" xr:uid="{00000000-0002-0000-0000-000001000000}">
      <formula1>IF(C27=INT(C27),AND(E27&gt;=0,E27&lt;60),ISBLANK(E27))</formula1>
    </dataValidation>
    <dataValidation type="custom" allowBlank="1" showInputMessage="1" showErrorMessage="1" error="Must be blank if entered decimal degrees in first cell; otherwise, must be a  number between 0 and 60" prompt="Starting longitude seconds (0 to less than 60)_x000a_Leave blank if decimal degrees entered in previous cell" sqref="E21" xr:uid="{00000000-0002-0000-0000-000002000000}">
      <formula1>IF(C21=INT(C21),AND(E21&gt;=0,E21&lt;60),ISBLANK(E21))</formula1>
    </dataValidation>
    <dataValidation type="custom" allowBlank="1" showInputMessage="1" showErrorMessage="1" error="Must be blank if entered decimal degrees in first cell; otherwise, must be a  number between 0 and 60" prompt="Starting latitude seconds (0 to less than 60)_x000a_Leave blank if decimal degrees entered in previous cell" sqref="E20" xr:uid="{00000000-0002-0000-0000-000003000000}">
      <formula1>IF(C20=INT(C20),AND(E20&gt;=0,E20&lt;60),ISBLANK(E20))</formula1>
    </dataValidation>
    <dataValidation allowBlank="1" showInputMessage="1" showErrorMessage="1" promptTitle="Identify associated stations" prompt="Enter the station number (from the expedition in the previous cell) of the station with which this station should be associated" sqref="D33:D37" xr:uid="{00000000-0002-0000-0000-000004000000}"/>
    <dataValidation allowBlank="1" showInputMessage="1" showErrorMessage="1" promptTitle="Identify associated stations" prompt="Explain the reason for the association given in this row" sqref="F33:F37" xr:uid="{00000000-0002-0000-0000-000005000000}"/>
    <dataValidation allowBlank="1" showInputMessage="1" showErrorMessage="1" promptTitle="Identify associated stations" prompt="If this station should be associated with any others, enter them here and explain the reason._x000a__x000a_Enter the Expedition ID of the associated station" sqref="B33:B37" xr:uid="{00000000-0002-0000-0000-000006000000}"/>
    <dataValidation type="list" allowBlank="1" showInputMessage="1" showErrorMessage="1" error="Must choose a value from the list" prompt="Choose from drop down list" sqref="B10" xr:uid="{00000000-0002-0000-0000-000007000000}">
      <formula1>StationTypes</formula1>
    </dataValidation>
    <dataValidation allowBlank="1" showInputMessage="1" showErrorMessage="1" prompt="Any general comments about the station.  Free text." sqref="B12 B15:E15" xr:uid="{00000000-0002-0000-0000-000008000000}"/>
    <dataValidation type="list" allowBlank="1" showInputMessage="1" showErrorMessage="1" error="Must choose a value from the list" prompt="Choose a description from the drop down list" sqref="B11" xr:uid="{00000000-0002-0000-0000-000009000000}">
      <formula1>GeneralConditions</formula1>
    </dataValidation>
    <dataValidation type="decimal" allowBlank="1" showInputMessage="1" showErrorMessage="1" error="Must be blank if entered decimal degrees in first cell; otherwise, must be a whole number between 0 and 59" prompt="Starting latitude minutes 0 to 59 or 0,0 to 59,99_x000a_Leave blank if decimal degrees entered in previous cell" sqref="D20:D21 D27:D28" xr:uid="{00000000-0002-0000-0000-00000A000000}">
      <formula1>0</formula1>
      <formula2>59.99</formula2>
    </dataValidation>
    <dataValidation type="decimal" allowBlank="1" showInputMessage="1" showErrorMessage="1" error="Must be a valid longitude between -180 and 360" promptTitle="Longitude at end time" prompt="Enter DD MM SS.sss in the three cells, or DD.dddd in this cell (then leave others blank)._x000a_For western longitudes, enter either a value between 180 and 360, or make the degrees between 0 and -180 (minutes and seconds, if entered, remain positive)." sqref="C28" xr:uid="{00000000-0002-0000-0000-00000B000000}">
      <formula1>-180</formula1>
      <formula2>360</formula2>
    </dataValidation>
    <dataValidation type="decimal" allowBlank="1" showInputMessage="1" showErrorMessage="1" error="Must be a valid latitude between -90 and 90" promptTitle="Latitude at end time" prompt="Enter DD MM SS.sss in the three cells, or DD.dddd in this cell (then leave others blank)._x000a_For southern latitudes, enter a negative value for degrees (minutes and seconds, if entered, remain positive)." sqref="C27" xr:uid="{00000000-0002-0000-0000-00000C000000}">
      <formula1>-90</formula1>
      <formula2>90</formula2>
    </dataValidation>
    <dataValidation type="decimal" allowBlank="1" showInputMessage="1" showErrorMessage="1" error="Must be a valid latitude between -90 and 90" promptTitle="Latitude at start time" prompt="Enter DD MM SS.sss in the three cells, or DD.dddd in this cell (then leave others blank)._x000a_For southern latitudes, enter a negative value for degrees (minutes and seconds, if entered, remain positive)." sqref="C20" xr:uid="{00000000-0002-0000-0000-00000D000000}">
      <formula1>-90</formula1>
      <formula2>90</formula2>
    </dataValidation>
    <dataValidation type="decimal" allowBlank="1" showInputMessage="1" showErrorMessage="1" error="Must be a valid longitude between -180 and 360" promptTitle="Longitude at start time" prompt="Enter DD MM SS.sss in the three cells, or DD.dddd in this cell (then leave others blank)._x000a_For western longitudes, enter either a value between 180 and 360, or make the degrees between 0 and -180 (minutes and seconds, if entered, remain positive)." sqref="C21" xr:uid="{00000000-0002-0000-0000-00000E000000}">
      <formula1>-180</formula1>
      <formula2>180</formula2>
    </dataValidation>
    <dataValidation type="whole" allowBlank="1" showInputMessage="1" showErrorMessage="1" error="Must be a valid hour, whole number 0-23" prompt="Number between 0 and 23_x000a_Hour the work began" sqref="B29" xr:uid="{00000000-0002-0000-0000-00000F000000}">
      <formula1>0</formula1>
      <formula2>23</formula2>
    </dataValidation>
    <dataValidation type="list" allowBlank="1" showInputMessage="1" showErrorMessage="1" sqref="C29 B30:E30" xr:uid="{00000000-0002-0000-0000-000010000000}">
      <formula1>TimeZones</formula1>
    </dataValidation>
    <dataValidation type="time" allowBlank="1" showInputMessage="1" showErrorMessage="1" errorTitle="End Time for Ice Station" error="Must be a valid time between 00:00 and 23:59" promptTitle="End Time for Ice Station" prompt="Number between 00:00 and 23:59_x000a_" sqref="B25" xr:uid="{00000000-0002-0000-0000-000011000000}">
      <formula1>0</formula1>
      <formula2>0.999305555555556</formula2>
    </dataValidation>
    <dataValidation type="whole" allowBlank="1" showInputMessage="1" showErrorMessage="1" error="Value must be a number between 1 and 99" promptTitle="It's the Nth day at the station" prompt="Number between 1 and 99_x000a_If the station lasts less than one day, enter 1." sqref="B6" xr:uid="{00000000-0002-0000-0000-000012000000}">
      <formula1>1</formula1>
      <formula2>99</formula2>
    </dataValidation>
    <dataValidation type="whole" allowBlank="1" showInputMessage="1" showErrorMessage="1" error="Value must be a number between 1 and 99" promptTitle="Unique number for this station" prompt="Generally number sequentially._x000a__x000a_On a cruise, each floe is typically a station.  On fast ice, two distinctly different locations might be given different station numbers, just agree with coworkers._x000a__x000a_Number between 1 and 99" sqref="B5" xr:uid="{00000000-0002-0000-0000-000013000000}">
      <formula1>1</formula1>
      <formula2>99</formula2>
    </dataValidation>
    <dataValidation type="custom" operator="greaterThan" allowBlank="1" showInputMessage="1" showErrorMessage="1" errorTitle="Must enter an ID" promptTitle="Enter a unique expedition ID" prompt="Text with no spaces_x000a_Examples: FS08 or KF_April2010" sqref="B4" xr:uid="{00000000-0002-0000-0000-000014000000}">
      <formula1>ISERROR(FIND(" ",B4))</formula1>
    </dataValidation>
    <dataValidation type="time" allowBlank="1" showInputMessage="1" showErrorMessage="1" errorTitle="Start time for Ice Station" error="Must be a valid time between 00:00 and 23:59" promptTitle="Start time for Ice Station" prompt="Number between 00:00 and 23:59_x000a_" sqref="B23" xr:uid="{00000000-0002-0000-0000-000016000000}">
      <formula1>0</formula1>
      <formula2>0.999305555555556</formula2>
    </dataValidation>
    <dataValidation type="time" allowBlank="1" showInputMessage="1" showErrorMessage="1" errorTitle="Ice Station Starting Time" error="Must be a valid time between 00:00 and 23:59" promptTitle="Ice Station Starting Time" prompt="Number between 00:00 and 23:59_x000a_" sqref="B18" xr:uid="{00000000-0002-0000-0000-000018000000}">
      <formula1>0</formula1>
      <formula2>0.999305555555556</formula2>
    </dataValidation>
    <dataValidation allowBlank="1" showInputMessage="1" showErrorMessage="1" error="Value must be a number between 1 and 99" promptTitle="Observer" prompt="Give name of observer." sqref="B7:C7" xr:uid="{00000000-0002-0000-0000-000019000000}"/>
  </dataValidation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I38"/>
  <sheetViews>
    <sheetView zoomScale="80" zoomScaleNormal="80" workbookViewId="0">
      <selection activeCell="G11" sqref="G11:G17"/>
    </sheetView>
  </sheetViews>
  <sheetFormatPr defaultColWidth="9.109375" defaultRowHeight="14.4" x14ac:dyDescent="0.3"/>
  <cols>
    <col min="1" max="1" width="18.6640625" style="48" customWidth="1"/>
    <col min="2" max="7" width="15.6640625" style="48" customWidth="1"/>
    <col min="8" max="8" width="36.6640625" style="48" customWidth="1"/>
    <col min="9" max="16384" width="9.109375" style="48"/>
  </cols>
  <sheetData>
    <row r="1" spans="1:9" ht="31.8" thickBot="1" x14ac:dyDescent="0.65">
      <c r="A1" s="160" t="s">
        <v>72</v>
      </c>
      <c r="B1" s="160"/>
      <c r="C1" s="160"/>
      <c r="D1" s="160"/>
    </row>
    <row r="2" spans="1:9" x14ac:dyDescent="0.3">
      <c r="A2" s="24" t="s">
        <v>16</v>
      </c>
      <c r="B2" s="180" t="str">
        <f>CONCATENATE(ExpID,"-",StnNum,"-",StnDay)</f>
        <v>KF2025-6-1</v>
      </c>
      <c r="C2" s="180"/>
      <c r="D2" s="73"/>
    </row>
    <row r="3" spans="1:9" x14ac:dyDescent="0.3">
      <c r="A3" s="25" t="s">
        <v>131</v>
      </c>
      <c r="B3" s="181"/>
      <c r="C3" s="181"/>
      <c r="D3" s="77"/>
    </row>
    <row r="4" spans="1:9" x14ac:dyDescent="0.3">
      <c r="A4" s="25" t="s">
        <v>4</v>
      </c>
      <c r="B4" s="182">
        <f>ObsDate</f>
        <v>45779</v>
      </c>
      <c r="C4" s="182"/>
      <c r="D4" s="77"/>
    </row>
    <row r="5" spans="1:9" x14ac:dyDescent="0.3">
      <c r="A5" s="26" t="s">
        <v>106</v>
      </c>
      <c r="B5" s="183"/>
      <c r="C5" s="184"/>
      <c r="D5" s="77"/>
    </row>
    <row r="6" spans="1:9" x14ac:dyDescent="0.3">
      <c r="A6" s="26" t="s">
        <v>120</v>
      </c>
      <c r="B6" s="173" t="s">
        <v>200</v>
      </c>
      <c r="C6" s="174"/>
      <c r="D6" s="77"/>
      <c r="E6" s="74"/>
      <c r="F6" s="74"/>
      <c r="G6" s="74"/>
      <c r="H6" s="76"/>
      <c r="I6" s="75"/>
    </row>
    <row r="7" spans="1:9" x14ac:dyDescent="0.3">
      <c r="A7" s="26" t="s">
        <v>160</v>
      </c>
      <c r="B7" s="175"/>
      <c r="C7" s="176"/>
      <c r="D7" s="77"/>
      <c r="E7" s="74"/>
      <c r="F7" s="74"/>
      <c r="G7" s="74"/>
      <c r="H7" s="76"/>
      <c r="I7" s="75"/>
    </row>
    <row r="8" spans="1:9" ht="30" customHeight="1" thickBot="1" x14ac:dyDescent="0.35">
      <c r="A8" s="27" t="s">
        <v>15</v>
      </c>
      <c r="B8" s="177"/>
      <c r="C8" s="178"/>
      <c r="D8" s="179"/>
    </row>
    <row r="9" spans="1:9" ht="15" thickBot="1" x14ac:dyDescent="0.35"/>
    <row r="10" spans="1:9" s="82" customFormat="1" ht="43.8" thickBot="1" x14ac:dyDescent="0.35">
      <c r="A10" s="29" t="s">
        <v>17</v>
      </c>
      <c r="B10" s="28" t="s">
        <v>148</v>
      </c>
      <c r="C10" s="30" t="s">
        <v>132</v>
      </c>
      <c r="D10" s="30" t="s">
        <v>133</v>
      </c>
      <c r="E10" s="30" t="s">
        <v>134</v>
      </c>
      <c r="F10" s="30" t="s">
        <v>135</v>
      </c>
      <c r="G10" s="30" t="s">
        <v>136</v>
      </c>
      <c r="H10" s="31" t="s">
        <v>13</v>
      </c>
    </row>
    <row r="11" spans="1:9" x14ac:dyDescent="0.3">
      <c r="A11" s="79">
        <v>0</v>
      </c>
      <c r="B11" s="150">
        <v>8</v>
      </c>
      <c r="C11" s="150">
        <v>23.5</v>
      </c>
      <c r="D11" s="150">
        <v>23.5</v>
      </c>
      <c r="E11" s="150">
        <f>D11+B11</f>
        <v>31.5</v>
      </c>
      <c r="F11" s="150">
        <f>D11-C11</f>
        <v>0</v>
      </c>
      <c r="G11" s="150">
        <f>D11</f>
        <v>23.5</v>
      </c>
      <c r="H11" s="83"/>
    </row>
    <row r="12" spans="1:9" x14ac:dyDescent="0.3">
      <c r="A12" s="80">
        <v>5</v>
      </c>
      <c r="B12" s="151">
        <v>5</v>
      </c>
      <c r="C12" s="151">
        <v>22.5</v>
      </c>
      <c r="D12" s="151">
        <v>23</v>
      </c>
      <c r="E12" s="150">
        <f t="shared" ref="E12:E17" si="0">D12+B12</f>
        <v>28</v>
      </c>
      <c r="F12" s="150">
        <f t="shared" ref="F12:F17" si="1">D12-C12</f>
        <v>0.5</v>
      </c>
      <c r="G12" s="150">
        <f t="shared" ref="G12:G17" si="2">D12</f>
        <v>23</v>
      </c>
      <c r="H12" s="44"/>
    </row>
    <row r="13" spans="1:9" x14ac:dyDescent="0.3">
      <c r="A13" s="80">
        <v>10</v>
      </c>
      <c r="B13" s="151">
        <v>6</v>
      </c>
      <c r="C13" s="151">
        <v>22.5</v>
      </c>
      <c r="D13" s="151">
        <v>23</v>
      </c>
      <c r="E13" s="150">
        <f t="shared" si="0"/>
        <v>29</v>
      </c>
      <c r="F13" s="150">
        <f t="shared" si="1"/>
        <v>0.5</v>
      </c>
      <c r="G13" s="150">
        <f t="shared" si="2"/>
        <v>23</v>
      </c>
      <c r="H13" s="44"/>
    </row>
    <row r="14" spans="1:9" x14ac:dyDescent="0.3">
      <c r="A14" s="80">
        <v>15</v>
      </c>
      <c r="B14" s="151">
        <v>5</v>
      </c>
      <c r="C14" s="151">
        <v>22</v>
      </c>
      <c r="D14" s="151">
        <v>22.5</v>
      </c>
      <c r="E14" s="150">
        <f t="shared" si="0"/>
        <v>27.5</v>
      </c>
      <c r="F14" s="150">
        <f t="shared" si="1"/>
        <v>0.5</v>
      </c>
      <c r="G14" s="150">
        <f t="shared" si="2"/>
        <v>22.5</v>
      </c>
      <c r="H14" s="44"/>
    </row>
    <row r="15" spans="1:9" x14ac:dyDescent="0.3">
      <c r="A15" s="80">
        <v>20</v>
      </c>
      <c r="B15" s="151">
        <v>6</v>
      </c>
      <c r="C15" s="151">
        <v>22</v>
      </c>
      <c r="D15" s="151">
        <v>22.5</v>
      </c>
      <c r="E15" s="150">
        <f t="shared" si="0"/>
        <v>28.5</v>
      </c>
      <c r="F15" s="150">
        <f t="shared" si="1"/>
        <v>0.5</v>
      </c>
      <c r="G15" s="150">
        <f t="shared" si="2"/>
        <v>22.5</v>
      </c>
      <c r="H15" s="44"/>
    </row>
    <row r="16" spans="1:9" x14ac:dyDescent="0.3">
      <c r="A16" s="80">
        <v>25</v>
      </c>
      <c r="B16" s="151">
        <v>4</v>
      </c>
      <c r="C16" s="151">
        <v>22</v>
      </c>
      <c r="D16" s="151">
        <v>22.5</v>
      </c>
      <c r="E16" s="150">
        <f t="shared" si="0"/>
        <v>26.5</v>
      </c>
      <c r="F16" s="150">
        <f t="shared" si="1"/>
        <v>0.5</v>
      </c>
      <c r="G16" s="150">
        <f t="shared" si="2"/>
        <v>22.5</v>
      </c>
      <c r="H16" s="44"/>
    </row>
    <row r="17" spans="1:8" x14ac:dyDescent="0.3">
      <c r="A17" s="80">
        <v>30</v>
      </c>
      <c r="B17" s="151">
        <v>8.5</v>
      </c>
      <c r="C17" s="151">
        <v>20.5</v>
      </c>
      <c r="D17" s="151">
        <v>20</v>
      </c>
      <c r="E17" s="150">
        <f t="shared" si="0"/>
        <v>28.5</v>
      </c>
      <c r="F17" s="150">
        <f t="shared" si="1"/>
        <v>-0.5</v>
      </c>
      <c r="G17" s="150">
        <f t="shared" si="2"/>
        <v>20</v>
      </c>
      <c r="H17" s="44"/>
    </row>
    <row r="18" spans="1:8" x14ac:dyDescent="0.3">
      <c r="A18" s="80"/>
      <c r="B18" s="45"/>
      <c r="C18" s="45"/>
      <c r="D18" s="45"/>
      <c r="E18" s="45"/>
      <c r="F18" s="45"/>
      <c r="G18" s="45"/>
      <c r="H18" s="44"/>
    </row>
    <row r="19" spans="1:8" x14ac:dyDescent="0.3">
      <c r="A19" s="80"/>
      <c r="B19" s="45"/>
      <c r="C19" s="45"/>
      <c r="D19" s="45"/>
      <c r="E19" s="45"/>
      <c r="F19" s="45"/>
      <c r="G19" s="45"/>
      <c r="H19" s="44"/>
    </row>
    <row r="20" spans="1:8" x14ac:dyDescent="0.3">
      <c r="A20" s="80"/>
      <c r="B20" s="45"/>
      <c r="C20" s="45"/>
      <c r="D20" s="45"/>
      <c r="E20" s="45"/>
      <c r="F20" s="45"/>
      <c r="G20" s="45"/>
      <c r="H20" s="44"/>
    </row>
    <row r="21" spans="1:8" x14ac:dyDescent="0.3">
      <c r="A21" s="80"/>
      <c r="B21" s="45"/>
      <c r="C21" s="45"/>
      <c r="D21" s="45"/>
      <c r="E21" s="45"/>
      <c r="F21" s="45"/>
      <c r="G21" s="45"/>
      <c r="H21" s="44"/>
    </row>
    <row r="22" spans="1:8" x14ac:dyDescent="0.3">
      <c r="A22" s="80"/>
      <c r="B22" s="45"/>
      <c r="C22" s="45"/>
      <c r="D22" s="45"/>
      <c r="E22" s="45"/>
      <c r="F22" s="45"/>
      <c r="G22" s="45"/>
      <c r="H22" s="44"/>
    </row>
    <row r="23" spans="1:8" x14ac:dyDescent="0.3">
      <c r="A23" s="80"/>
      <c r="B23" s="45"/>
      <c r="C23" s="45"/>
      <c r="D23" s="45"/>
      <c r="E23" s="45"/>
      <c r="F23" s="45"/>
      <c r="G23" s="45"/>
      <c r="H23" s="44"/>
    </row>
    <row r="24" spans="1:8" x14ac:dyDescent="0.3">
      <c r="A24" s="80"/>
      <c r="B24" s="45"/>
      <c r="C24" s="45"/>
      <c r="D24" s="45"/>
      <c r="E24" s="45"/>
      <c r="F24" s="45"/>
      <c r="G24" s="45"/>
      <c r="H24" s="44"/>
    </row>
    <row r="25" spans="1:8" x14ac:dyDescent="0.3">
      <c r="A25" s="80"/>
      <c r="B25" s="45"/>
      <c r="C25" s="45"/>
      <c r="D25" s="45"/>
      <c r="E25" s="45"/>
      <c r="F25" s="45"/>
      <c r="G25" s="45"/>
      <c r="H25" s="44"/>
    </row>
    <row r="26" spans="1:8" x14ac:dyDescent="0.3">
      <c r="A26" s="80"/>
      <c r="B26" s="45"/>
      <c r="C26" s="45"/>
      <c r="D26" s="45"/>
      <c r="E26" s="45"/>
      <c r="F26" s="45"/>
      <c r="G26" s="45"/>
      <c r="H26" s="44"/>
    </row>
    <row r="27" spans="1:8" x14ac:dyDescent="0.3">
      <c r="A27" s="80"/>
      <c r="B27" s="45"/>
      <c r="C27" s="45"/>
      <c r="D27" s="45"/>
      <c r="E27" s="45"/>
      <c r="F27" s="45"/>
      <c r="G27" s="45"/>
      <c r="H27" s="44"/>
    </row>
    <row r="28" spans="1:8" x14ac:dyDescent="0.3">
      <c r="A28" s="80"/>
      <c r="B28" s="45"/>
      <c r="C28" s="45"/>
      <c r="D28" s="45"/>
      <c r="E28" s="45"/>
      <c r="F28" s="45"/>
      <c r="G28" s="45"/>
      <c r="H28" s="44"/>
    </row>
    <row r="29" spans="1:8" x14ac:dyDescent="0.3">
      <c r="A29" s="80"/>
      <c r="B29" s="45"/>
      <c r="C29" s="45"/>
      <c r="D29" s="45"/>
      <c r="E29" s="45"/>
      <c r="F29" s="45"/>
      <c r="G29" s="45"/>
      <c r="H29" s="44"/>
    </row>
    <row r="30" spans="1:8" x14ac:dyDescent="0.3">
      <c r="A30" s="80"/>
      <c r="B30" s="45"/>
      <c r="C30" s="45"/>
      <c r="D30" s="45"/>
      <c r="E30" s="45"/>
      <c r="F30" s="45"/>
      <c r="G30" s="45"/>
      <c r="H30" s="44"/>
    </row>
    <row r="31" spans="1:8" x14ac:dyDescent="0.3">
      <c r="A31" s="80"/>
      <c r="B31" s="45"/>
      <c r="C31" s="45"/>
      <c r="D31" s="45"/>
      <c r="E31" s="45"/>
      <c r="F31" s="45"/>
      <c r="G31" s="45"/>
      <c r="H31" s="44"/>
    </row>
    <row r="32" spans="1:8" x14ac:dyDescent="0.3">
      <c r="A32" s="80"/>
      <c r="B32" s="45"/>
      <c r="C32" s="45"/>
      <c r="D32" s="45"/>
      <c r="E32" s="45"/>
      <c r="F32" s="45"/>
      <c r="G32" s="45"/>
      <c r="H32" s="44"/>
    </row>
    <row r="33" spans="1:8" x14ac:dyDescent="0.3">
      <c r="A33" s="80"/>
      <c r="B33" s="45"/>
      <c r="C33" s="45"/>
      <c r="D33" s="45"/>
      <c r="E33" s="45"/>
      <c r="F33" s="45"/>
      <c r="G33" s="45"/>
      <c r="H33" s="44"/>
    </row>
    <row r="34" spans="1:8" x14ac:dyDescent="0.3">
      <c r="A34" s="80"/>
      <c r="B34" s="45"/>
      <c r="C34" s="45"/>
      <c r="D34" s="45"/>
      <c r="E34" s="45"/>
      <c r="F34" s="45"/>
      <c r="G34" s="45"/>
      <c r="H34" s="44"/>
    </row>
    <row r="35" spans="1:8" x14ac:dyDescent="0.3">
      <c r="A35" s="80"/>
      <c r="B35" s="45"/>
      <c r="C35" s="45"/>
      <c r="D35" s="45"/>
      <c r="E35" s="45"/>
      <c r="F35" s="45"/>
      <c r="G35" s="45"/>
      <c r="H35" s="44"/>
    </row>
    <row r="36" spans="1:8" x14ac:dyDescent="0.3">
      <c r="A36" s="80"/>
      <c r="B36" s="45"/>
      <c r="C36" s="45"/>
      <c r="D36" s="45"/>
      <c r="E36" s="45"/>
      <c r="F36" s="45"/>
      <c r="G36" s="45"/>
      <c r="H36" s="44"/>
    </row>
    <row r="37" spans="1:8" x14ac:dyDescent="0.3">
      <c r="A37" s="80"/>
      <c r="B37" s="45"/>
      <c r="C37" s="45"/>
      <c r="D37" s="45"/>
      <c r="E37" s="45"/>
      <c r="F37" s="45"/>
      <c r="G37" s="45"/>
      <c r="H37" s="44"/>
    </row>
    <row r="38" spans="1:8" x14ac:dyDescent="0.3">
      <c r="A38" s="80"/>
      <c r="B38" s="45"/>
      <c r="C38" s="45"/>
      <c r="D38" s="45"/>
      <c r="E38" s="45"/>
      <c r="F38" s="45"/>
      <c r="G38" s="45"/>
      <c r="H38" s="44"/>
    </row>
  </sheetData>
  <mergeCells count="8">
    <mergeCell ref="B6:C6"/>
    <mergeCell ref="B7:C7"/>
    <mergeCell ref="B8:D8"/>
    <mergeCell ref="A1:D1"/>
    <mergeCell ref="B2:C2"/>
    <mergeCell ref="B3:C3"/>
    <mergeCell ref="B4:C4"/>
    <mergeCell ref="B5:C5"/>
  </mergeCells>
  <pageMargins left="0.7" right="0.7" top="0.75" bottom="0.75" header="0.3" footer="0.3"/>
  <pageSetup paperSize="9" scale="87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N50"/>
  <sheetViews>
    <sheetView zoomScale="80" zoomScaleNormal="80" workbookViewId="0">
      <selection activeCell="H11" sqref="H11"/>
    </sheetView>
  </sheetViews>
  <sheetFormatPr defaultColWidth="9.109375" defaultRowHeight="14.4" x14ac:dyDescent="0.3"/>
  <cols>
    <col min="1" max="1" width="29.44140625" style="48" bestFit="1" customWidth="1"/>
    <col min="2" max="8" width="15.6640625" style="48" customWidth="1"/>
    <col min="9" max="9" width="36.6640625" style="48" customWidth="1"/>
    <col min="10" max="10" width="9.109375" style="48"/>
    <col min="11" max="13" width="15.6640625" style="48" customWidth="1"/>
    <col min="14" max="14" width="36.6640625" style="48" customWidth="1"/>
    <col min="15" max="16384" width="9.109375" style="48"/>
  </cols>
  <sheetData>
    <row r="1" spans="1:13" ht="31.2" x14ac:dyDescent="0.6">
      <c r="A1" s="187" t="s">
        <v>110</v>
      </c>
      <c r="B1" s="187"/>
      <c r="C1" s="187"/>
      <c r="D1" s="187"/>
    </row>
    <row r="2" spans="1:13" x14ac:dyDescent="0.3">
      <c r="A2" s="4" t="s">
        <v>16</v>
      </c>
      <c r="B2" s="191" t="str">
        <f>CONCATENATE(ExpID,"-",StnNum,"-",StnDay)</f>
        <v>KF2025-6-1</v>
      </c>
      <c r="C2" s="191"/>
      <c r="D2" s="107"/>
    </row>
    <row r="3" spans="1:13" x14ac:dyDescent="0.3">
      <c r="A3" s="4" t="s">
        <v>131</v>
      </c>
      <c r="B3" s="181" t="s">
        <v>178</v>
      </c>
      <c r="C3" s="181"/>
      <c r="D3" s="108"/>
    </row>
    <row r="4" spans="1:13" x14ac:dyDescent="0.3">
      <c r="A4" s="4" t="s">
        <v>4</v>
      </c>
      <c r="B4" s="182">
        <f>ObsDate</f>
        <v>45779</v>
      </c>
      <c r="C4" s="182"/>
      <c r="D4" s="108"/>
    </row>
    <row r="5" spans="1:13" x14ac:dyDescent="0.3">
      <c r="A5" s="5" t="s">
        <v>106</v>
      </c>
      <c r="B5" s="192"/>
      <c r="C5" s="192"/>
      <c r="D5" s="108"/>
    </row>
    <row r="6" spans="1:13" x14ac:dyDescent="0.3">
      <c r="A6" s="5" t="s">
        <v>120</v>
      </c>
      <c r="B6" s="193" t="s">
        <v>179</v>
      </c>
      <c r="C6" s="193"/>
      <c r="D6" s="108"/>
      <c r="E6" s="74"/>
    </row>
    <row r="7" spans="1:13" ht="30" customHeight="1" x14ac:dyDescent="0.3">
      <c r="A7" s="6" t="s">
        <v>15</v>
      </c>
      <c r="B7" s="188" t="s">
        <v>206</v>
      </c>
      <c r="C7" s="189"/>
      <c r="D7" s="190"/>
    </row>
    <row r="9" spans="1:13" x14ac:dyDescent="0.3">
      <c r="A9" s="50" t="s">
        <v>108</v>
      </c>
    </row>
    <row r="10" spans="1:13" x14ac:dyDescent="0.3">
      <c r="A10" s="7" t="s">
        <v>137</v>
      </c>
      <c r="B10" s="103"/>
      <c r="K10" s="185" t="s">
        <v>167</v>
      </c>
      <c r="L10" s="186"/>
      <c r="M10" s="45">
        <v>23</v>
      </c>
    </row>
    <row r="11" spans="1:13" x14ac:dyDescent="0.3">
      <c r="A11" s="7" t="s">
        <v>138</v>
      </c>
      <c r="B11" s="103">
        <v>22.5</v>
      </c>
      <c r="K11" s="185" t="s">
        <v>126</v>
      </c>
      <c r="L11" s="186"/>
      <c r="M11" s="44"/>
    </row>
    <row r="12" spans="1:13" x14ac:dyDescent="0.3">
      <c r="A12" s="7" t="s">
        <v>139</v>
      </c>
      <c r="B12" s="103">
        <v>22</v>
      </c>
      <c r="K12" s="7" t="s">
        <v>125</v>
      </c>
      <c r="L12" s="7"/>
      <c r="M12" s="43">
        <v>23</v>
      </c>
    </row>
    <row r="13" spans="1:13" x14ac:dyDescent="0.3">
      <c r="A13" s="7" t="s">
        <v>135</v>
      </c>
      <c r="B13" s="103"/>
    </row>
    <row r="14" spans="1:13" x14ac:dyDescent="0.3">
      <c r="A14" s="7" t="s">
        <v>136</v>
      </c>
      <c r="B14" s="103"/>
    </row>
    <row r="15" spans="1:13" x14ac:dyDescent="0.3">
      <c r="A15" s="7" t="s">
        <v>148</v>
      </c>
      <c r="B15" s="103">
        <v>6</v>
      </c>
      <c r="C15" s="48" t="s">
        <v>204</v>
      </c>
    </row>
    <row r="17" spans="1:14" s="78" customFormat="1" ht="28.8" x14ac:dyDescent="0.3">
      <c r="A17" s="10" t="s">
        <v>112</v>
      </c>
      <c r="B17" s="10" t="s">
        <v>143</v>
      </c>
      <c r="C17" s="10" t="s">
        <v>144</v>
      </c>
      <c r="D17" s="10" t="s">
        <v>113</v>
      </c>
      <c r="E17" s="10" t="s">
        <v>114</v>
      </c>
      <c r="F17" s="10" t="s">
        <v>115</v>
      </c>
      <c r="G17" s="10" t="s">
        <v>145</v>
      </c>
      <c r="H17" s="10" t="s">
        <v>116</v>
      </c>
      <c r="I17" s="10" t="s">
        <v>13</v>
      </c>
      <c r="K17" s="10" t="s">
        <v>117</v>
      </c>
      <c r="L17" s="10" t="s">
        <v>146</v>
      </c>
      <c r="M17" s="10" t="s">
        <v>147</v>
      </c>
      <c r="N17" s="10" t="s">
        <v>13</v>
      </c>
    </row>
    <row r="18" spans="1:14" x14ac:dyDescent="0.3">
      <c r="A18" s="104" t="s">
        <v>180</v>
      </c>
      <c r="B18" s="103">
        <v>0</v>
      </c>
      <c r="C18" s="103">
        <v>5</v>
      </c>
      <c r="D18" s="81">
        <v>12</v>
      </c>
      <c r="E18" s="81">
        <v>20.100000000000001</v>
      </c>
      <c r="F18" s="105">
        <v>24.9</v>
      </c>
      <c r="G18" s="103"/>
      <c r="H18" s="81"/>
      <c r="I18" s="106"/>
      <c r="K18" s="104">
        <v>1</v>
      </c>
      <c r="L18" s="103"/>
      <c r="M18" s="103">
        <v>23</v>
      </c>
      <c r="N18" s="106"/>
    </row>
    <row r="19" spans="1:14" x14ac:dyDescent="0.3">
      <c r="A19" s="104" t="s">
        <v>181</v>
      </c>
      <c r="B19" s="103">
        <v>5</v>
      </c>
      <c r="C19" s="103">
        <v>10</v>
      </c>
      <c r="D19" s="81">
        <v>8.1999999999999993</v>
      </c>
      <c r="E19" s="81">
        <v>14.21</v>
      </c>
      <c r="F19" s="105">
        <v>23.2</v>
      </c>
      <c r="G19" s="103"/>
      <c r="H19" s="81"/>
      <c r="I19" s="106"/>
      <c r="K19" s="104"/>
      <c r="L19" s="103"/>
      <c r="M19" s="103"/>
      <c r="N19" s="106"/>
    </row>
    <row r="20" spans="1:14" x14ac:dyDescent="0.3">
      <c r="A20" s="104" t="s">
        <v>182</v>
      </c>
      <c r="B20" s="103">
        <v>10</v>
      </c>
      <c r="C20" s="103">
        <v>15</v>
      </c>
      <c r="D20" s="81">
        <v>6.5</v>
      </c>
      <c r="E20" s="81">
        <v>11.46</v>
      </c>
      <c r="F20" s="105">
        <v>25.2</v>
      </c>
      <c r="G20" s="103"/>
      <c r="H20" s="81"/>
      <c r="I20" s="106"/>
      <c r="K20" s="104"/>
      <c r="L20" s="103"/>
      <c r="M20" s="103"/>
      <c r="N20" s="106"/>
    </row>
    <row r="21" spans="1:14" x14ac:dyDescent="0.3">
      <c r="A21" s="104" t="s">
        <v>183</v>
      </c>
      <c r="B21" s="103">
        <v>15</v>
      </c>
      <c r="C21" s="103">
        <v>20</v>
      </c>
      <c r="D21" s="81">
        <v>4.5</v>
      </c>
      <c r="E21" s="81">
        <v>8.07</v>
      </c>
      <c r="F21" s="105">
        <v>24.8</v>
      </c>
      <c r="G21" s="103"/>
      <c r="H21" s="81"/>
      <c r="I21" s="106"/>
      <c r="K21" s="104"/>
      <c r="L21" s="103"/>
      <c r="M21" s="103"/>
      <c r="N21" s="106"/>
    </row>
    <row r="22" spans="1:14" x14ac:dyDescent="0.3">
      <c r="A22" s="104" t="s">
        <v>194</v>
      </c>
      <c r="B22" s="103">
        <v>20</v>
      </c>
      <c r="C22" s="103">
        <v>23</v>
      </c>
      <c r="D22" s="81">
        <v>3.6</v>
      </c>
      <c r="E22" s="81">
        <v>6.57</v>
      </c>
      <c r="F22" s="105">
        <v>25.3</v>
      </c>
      <c r="G22" s="103"/>
      <c r="H22" s="81"/>
      <c r="I22" s="106"/>
      <c r="K22" s="104"/>
      <c r="L22" s="103"/>
      <c r="M22" s="103"/>
      <c r="N22" s="106"/>
    </row>
    <row r="23" spans="1:14" x14ac:dyDescent="0.3">
      <c r="A23" s="104" t="s">
        <v>196</v>
      </c>
      <c r="B23" s="103"/>
      <c r="C23" s="103"/>
      <c r="D23" s="81">
        <v>15.3</v>
      </c>
      <c r="E23" s="81">
        <v>25.1</v>
      </c>
      <c r="F23" s="105">
        <v>24.6</v>
      </c>
      <c r="G23" s="103"/>
      <c r="H23" s="81"/>
      <c r="I23" s="106"/>
      <c r="K23" s="104"/>
      <c r="L23" s="103"/>
      <c r="M23" s="103"/>
      <c r="N23" s="106"/>
    </row>
    <row r="24" spans="1:14" x14ac:dyDescent="0.3">
      <c r="A24" s="104"/>
      <c r="B24" s="103"/>
      <c r="C24" s="103"/>
      <c r="D24" s="81"/>
      <c r="E24" s="81"/>
      <c r="F24" s="105"/>
      <c r="G24" s="103"/>
      <c r="H24" s="81"/>
      <c r="I24" s="106"/>
      <c r="K24" s="104"/>
      <c r="L24" s="103"/>
      <c r="M24" s="103"/>
      <c r="N24" s="106"/>
    </row>
    <row r="25" spans="1:14" x14ac:dyDescent="0.3">
      <c r="A25" s="104"/>
      <c r="B25" s="103"/>
      <c r="C25" s="103"/>
      <c r="D25" s="104"/>
      <c r="E25" s="81"/>
      <c r="F25" s="105"/>
      <c r="G25" s="103"/>
      <c r="H25" s="81"/>
      <c r="I25" s="106"/>
      <c r="K25" s="104"/>
      <c r="L25" s="103"/>
      <c r="M25" s="103"/>
      <c r="N25" s="106"/>
    </row>
    <row r="26" spans="1:14" x14ac:dyDescent="0.3">
      <c r="A26" s="104"/>
      <c r="B26" s="103"/>
      <c r="C26" s="103"/>
      <c r="D26" s="81"/>
      <c r="E26" s="81"/>
      <c r="F26" s="105"/>
      <c r="G26" s="103"/>
      <c r="H26" s="81"/>
      <c r="I26" s="106"/>
      <c r="K26" s="104"/>
      <c r="L26" s="103"/>
      <c r="M26" s="103"/>
      <c r="N26" s="106"/>
    </row>
    <row r="27" spans="1:14" x14ac:dyDescent="0.3">
      <c r="A27" s="104"/>
      <c r="B27" s="103"/>
      <c r="C27" s="103"/>
      <c r="D27" s="81"/>
      <c r="E27" s="81"/>
      <c r="F27" s="105"/>
      <c r="G27" s="103"/>
      <c r="H27" s="81"/>
      <c r="I27" s="106"/>
      <c r="K27" s="104"/>
      <c r="L27" s="103"/>
      <c r="M27" s="103"/>
      <c r="N27" s="106"/>
    </row>
    <row r="28" spans="1:14" x14ac:dyDescent="0.3">
      <c r="A28" s="104"/>
      <c r="B28" s="103"/>
      <c r="C28" s="103"/>
      <c r="D28" s="81"/>
      <c r="E28" s="81"/>
      <c r="F28" s="105"/>
      <c r="G28" s="103"/>
      <c r="H28" s="81"/>
      <c r="I28" s="106"/>
      <c r="K28" s="104"/>
      <c r="L28" s="103"/>
      <c r="M28" s="103"/>
      <c r="N28" s="106"/>
    </row>
    <row r="29" spans="1:14" x14ac:dyDescent="0.3">
      <c r="A29" s="104"/>
      <c r="B29" s="103"/>
      <c r="C29" s="103"/>
      <c r="D29" s="81"/>
      <c r="E29" s="81"/>
      <c r="F29" s="105"/>
      <c r="G29" s="103"/>
      <c r="H29" s="81"/>
      <c r="I29" s="106"/>
      <c r="K29" s="104"/>
      <c r="L29" s="103"/>
      <c r="M29" s="103"/>
      <c r="N29" s="106"/>
    </row>
    <row r="30" spans="1:14" x14ac:dyDescent="0.3">
      <c r="A30" s="104"/>
      <c r="B30" s="103"/>
      <c r="C30" s="103"/>
      <c r="D30" s="81"/>
      <c r="E30" s="81"/>
      <c r="F30" s="105"/>
      <c r="G30" s="103"/>
      <c r="H30" s="81"/>
      <c r="I30" s="106"/>
      <c r="K30" s="104"/>
      <c r="L30" s="103"/>
      <c r="M30" s="103"/>
      <c r="N30" s="106"/>
    </row>
    <row r="31" spans="1:14" x14ac:dyDescent="0.3">
      <c r="A31" s="104"/>
      <c r="B31" s="103"/>
      <c r="C31" s="103"/>
      <c r="D31" s="81"/>
      <c r="E31" s="81"/>
      <c r="F31" s="105"/>
      <c r="G31" s="103"/>
      <c r="H31" s="81"/>
      <c r="I31" s="106"/>
      <c r="K31" s="104"/>
      <c r="L31" s="103"/>
      <c r="M31" s="103"/>
      <c r="N31" s="106"/>
    </row>
    <row r="32" spans="1:14" x14ac:dyDescent="0.3">
      <c r="A32" s="104"/>
      <c r="B32" s="103"/>
      <c r="C32" s="103"/>
      <c r="D32" s="81"/>
      <c r="E32" s="81"/>
      <c r="F32" s="105"/>
      <c r="G32" s="103"/>
      <c r="H32" s="81"/>
      <c r="I32" s="106"/>
      <c r="K32" s="104"/>
      <c r="L32" s="103"/>
      <c r="M32" s="103"/>
      <c r="N32" s="106"/>
    </row>
    <row r="33" spans="1:14" x14ac:dyDescent="0.3">
      <c r="A33" s="104"/>
      <c r="B33" s="103"/>
      <c r="C33" s="103"/>
      <c r="D33" s="81"/>
      <c r="E33" s="81"/>
      <c r="F33" s="105"/>
      <c r="G33" s="103"/>
      <c r="H33" s="81"/>
      <c r="I33" s="106"/>
      <c r="K33" s="104"/>
      <c r="L33" s="103"/>
      <c r="M33" s="103"/>
      <c r="N33" s="106"/>
    </row>
    <row r="34" spans="1:14" x14ac:dyDescent="0.3">
      <c r="A34" s="104"/>
      <c r="B34" s="103"/>
      <c r="C34" s="103"/>
      <c r="D34" s="81"/>
      <c r="E34" s="81"/>
      <c r="F34" s="105"/>
      <c r="G34" s="103"/>
      <c r="H34" s="81"/>
      <c r="I34" s="106"/>
      <c r="K34" s="104"/>
      <c r="L34" s="103"/>
      <c r="M34" s="103"/>
      <c r="N34" s="106"/>
    </row>
    <row r="35" spans="1:14" x14ac:dyDescent="0.3">
      <c r="A35" s="104"/>
      <c r="B35" s="103"/>
      <c r="C35" s="103"/>
      <c r="D35" s="81"/>
      <c r="E35" s="81"/>
      <c r="F35" s="105"/>
      <c r="G35" s="103"/>
      <c r="H35" s="81"/>
      <c r="I35" s="106"/>
      <c r="K35" s="104"/>
      <c r="L35" s="103"/>
      <c r="M35" s="103"/>
      <c r="N35" s="106"/>
    </row>
    <row r="36" spans="1:14" x14ac:dyDescent="0.3">
      <c r="A36" s="104"/>
      <c r="B36" s="103"/>
      <c r="C36" s="103"/>
      <c r="D36" s="81"/>
      <c r="E36" s="81"/>
      <c r="F36" s="105"/>
      <c r="G36" s="103"/>
      <c r="H36" s="81"/>
      <c r="I36" s="106"/>
      <c r="K36" s="104"/>
      <c r="L36" s="103"/>
      <c r="M36" s="103"/>
      <c r="N36" s="106"/>
    </row>
    <row r="37" spans="1:14" x14ac:dyDescent="0.3">
      <c r="A37" s="104"/>
      <c r="B37" s="103"/>
      <c r="C37" s="103"/>
      <c r="D37" s="81"/>
      <c r="E37" s="81"/>
      <c r="F37" s="105"/>
      <c r="G37" s="103"/>
      <c r="H37" s="81"/>
      <c r="I37" s="106"/>
      <c r="K37" s="104"/>
      <c r="L37" s="103"/>
      <c r="M37" s="103"/>
      <c r="N37" s="106"/>
    </row>
    <row r="38" spans="1:14" x14ac:dyDescent="0.3">
      <c r="A38" s="104"/>
      <c r="B38" s="103"/>
      <c r="C38" s="103"/>
      <c r="D38" s="81"/>
      <c r="E38" s="81"/>
      <c r="F38" s="105"/>
      <c r="G38" s="103"/>
      <c r="H38" s="81"/>
      <c r="I38" s="106"/>
      <c r="K38" s="104"/>
      <c r="L38" s="103"/>
      <c r="M38" s="103"/>
      <c r="N38" s="106"/>
    </row>
    <row r="39" spans="1:14" x14ac:dyDescent="0.3">
      <c r="A39" s="104"/>
      <c r="B39" s="103"/>
      <c r="C39" s="103"/>
      <c r="D39" s="81"/>
      <c r="E39" s="81"/>
      <c r="F39" s="105"/>
      <c r="G39" s="103"/>
      <c r="H39" s="81"/>
      <c r="I39" s="106"/>
      <c r="K39" s="104"/>
      <c r="L39" s="103"/>
      <c r="M39" s="103"/>
      <c r="N39" s="106"/>
    </row>
    <row r="40" spans="1:14" x14ac:dyDescent="0.3">
      <c r="A40" s="104"/>
      <c r="B40" s="103"/>
      <c r="C40" s="103"/>
      <c r="D40" s="81"/>
      <c r="E40" s="81"/>
      <c r="F40" s="105"/>
      <c r="G40" s="103"/>
      <c r="H40" s="81"/>
      <c r="I40" s="106"/>
      <c r="K40" s="104"/>
      <c r="L40" s="103"/>
      <c r="M40" s="103"/>
      <c r="N40" s="106"/>
    </row>
    <row r="41" spans="1:14" x14ac:dyDescent="0.3">
      <c r="A41" s="104"/>
      <c r="B41" s="103"/>
      <c r="C41" s="103"/>
      <c r="D41" s="81"/>
      <c r="E41" s="81"/>
      <c r="F41" s="105"/>
      <c r="G41" s="103"/>
      <c r="H41" s="81"/>
      <c r="I41" s="106"/>
      <c r="K41" s="104"/>
      <c r="L41" s="103"/>
      <c r="M41" s="103"/>
      <c r="N41" s="106"/>
    </row>
    <row r="42" spans="1:14" x14ac:dyDescent="0.3">
      <c r="A42" s="104"/>
      <c r="B42" s="103"/>
      <c r="C42" s="103"/>
      <c r="D42" s="81"/>
      <c r="E42" s="81"/>
      <c r="F42" s="105"/>
      <c r="G42" s="103"/>
      <c r="H42" s="81"/>
      <c r="I42" s="106"/>
      <c r="K42" s="104"/>
      <c r="L42" s="103"/>
      <c r="M42" s="103"/>
      <c r="N42" s="106"/>
    </row>
    <row r="43" spans="1:14" x14ac:dyDescent="0.3">
      <c r="A43" s="104"/>
      <c r="B43" s="103"/>
      <c r="C43" s="103"/>
      <c r="D43" s="81"/>
      <c r="E43" s="81"/>
      <c r="F43" s="105"/>
      <c r="G43" s="103"/>
      <c r="H43" s="81"/>
      <c r="I43" s="106"/>
      <c r="K43" s="104"/>
      <c r="L43" s="103"/>
      <c r="M43" s="103"/>
      <c r="N43" s="106"/>
    </row>
    <row r="44" spans="1:14" x14ac:dyDescent="0.3">
      <c r="A44" s="104"/>
      <c r="B44" s="103"/>
      <c r="C44" s="103"/>
      <c r="D44" s="81"/>
      <c r="E44" s="81"/>
      <c r="F44" s="105"/>
      <c r="G44" s="103"/>
      <c r="H44" s="81"/>
      <c r="I44" s="106"/>
      <c r="K44" s="104"/>
      <c r="L44" s="103"/>
      <c r="M44" s="103"/>
      <c r="N44" s="106"/>
    </row>
    <row r="45" spans="1:14" x14ac:dyDescent="0.3">
      <c r="A45" s="104"/>
      <c r="B45" s="103"/>
      <c r="C45" s="103"/>
      <c r="D45" s="81"/>
      <c r="E45" s="81"/>
      <c r="F45" s="105"/>
      <c r="G45" s="103"/>
      <c r="H45" s="81"/>
      <c r="I45" s="106"/>
      <c r="K45" s="104"/>
      <c r="L45" s="103"/>
      <c r="M45" s="103"/>
      <c r="N45" s="106"/>
    </row>
    <row r="46" spans="1:14" x14ac:dyDescent="0.3">
      <c r="A46" s="104"/>
      <c r="B46" s="103"/>
      <c r="C46" s="103"/>
      <c r="D46" s="81"/>
      <c r="E46" s="81"/>
      <c r="F46" s="105"/>
      <c r="G46" s="103"/>
      <c r="H46" s="81"/>
      <c r="I46" s="106"/>
      <c r="K46" s="104"/>
      <c r="L46" s="103"/>
      <c r="M46" s="103"/>
      <c r="N46" s="106"/>
    </row>
    <row r="47" spans="1:14" x14ac:dyDescent="0.3">
      <c r="A47" s="104"/>
      <c r="B47" s="103"/>
      <c r="C47" s="103"/>
      <c r="D47" s="81"/>
      <c r="E47" s="81"/>
      <c r="F47" s="105"/>
      <c r="G47" s="103"/>
      <c r="H47" s="81"/>
      <c r="I47" s="106"/>
      <c r="K47" s="104"/>
      <c r="L47" s="103"/>
      <c r="M47" s="103"/>
      <c r="N47" s="106"/>
    </row>
    <row r="48" spans="1:14" x14ac:dyDescent="0.3">
      <c r="A48" s="104"/>
      <c r="B48" s="103"/>
      <c r="C48" s="103"/>
      <c r="D48" s="81"/>
      <c r="E48" s="81"/>
      <c r="F48" s="105"/>
      <c r="G48" s="103"/>
      <c r="H48" s="81"/>
      <c r="I48" s="106"/>
      <c r="K48" s="104"/>
      <c r="L48" s="103"/>
      <c r="M48" s="103"/>
      <c r="N48" s="106"/>
    </row>
    <row r="49" spans="1:14" x14ac:dyDescent="0.3">
      <c r="A49" s="104"/>
      <c r="B49" s="103"/>
      <c r="C49" s="103"/>
      <c r="D49" s="81"/>
      <c r="E49" s="81"/>
      <c r="F49" s="105"/>
      <c r="G49" s="103"/>
      <c r="H49" s="81"/>
      <c r="I49" s="106"/>
      <c r="K49" s="104"/>
      <c r="L49" s="103"/>
      <c r="M49" s="103"/>
      <c r="N49" s="106"/>
    </row>
    <row r="50" spans="1:14" x14ac:dyDescent="0.3">
      <c r="A50" s="104"/>
      <c r="B50" s="103"/>
      <c r="C50" s="103"/>
      <c r="D50" s="81"/>
      <c r="E50" s="81"/>
      <c r="F50" s="105"/>
      <c r="G50" s="103"/>
      <c r="H50" s="81"/>
      <c r="I50" s="106"/>
      <c r="K50" s="104"/>
      <c r="L50" s="103"/>
      <c r="M50" s="103"/>
      <c r="N50" s="106"/>
    </row>
  </sheetData>
  <mergeCells count="9">
    <mergeCell ref="K11:L11"/>
    <mergeCell ref="K10:L10"/>
    <mergeCell ref="A1:D1"/>
    <mergeCell ref="B7:D7"/>
    <mergeCell ref="B2:C2"/>
    <mergeCell ref="B3:C3"/>
    <mergeCell ref="B4:C4"/>
    <mergeCell ref="B5:C5"/>
    <mergeCell ref="B6:C6"/>
  </mergeCells>
  <phoneticPr fontId="16" type="noConversion"/>
  <pageMargins left="0.7" right="0.7" top="0.75" bottom="0.75" header="0.3" footer="0.3"/>
  <pageSetup paperSize="9" scale="49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I48"/>
  <sheetViews>
    <sheetView zoomScale="80" zoomScaleNormal="80" workbookViewId="0">
      <selection activeCell="E27" sqref="E27"/>
    </sheetView>
  </sheetViews>
  <sheetFormatPr defaultColWidth="9.109375" defaultRowHeight="14.4" x14ac:dyDescent="0.3"/>
  <cols>
    <col min="1" max="1" width="23.6640625" style="48" bestFit="1" customWidth="1"/>
    <col min="2" max="2" width="16.44140625" style="48" bestFit="1" customWidth="1"/>
    <col min="3" max="3" width="12.6640625" style="48" customWidth="1"/>
    <col min="4" max="4" width="29.44140625" style="48" bestFit="1" customWidth="1"/>
    <col min="5" max="5" width="18.6640625" style="48" customWidth="1"/>
    <col min="6" max="6" width="20.33203125" style="48" bestFit="1" customWidth="1"/>
    <col min="7" max="7" width="18.6640625" style="48" customWidth="1"/>
    <col min="8" max="8" width="36.6640625" style="48" customWidth="1"/>
    <col min="9" max="16384" width="9.109375" style="48"/>
  </cols>
  <sheetData>
    <row r="1" spans="1:9" ht="34.200000000000003" thickBot="1" x14ac:dyDescent="0.7">
      <c r="A1" s="197" t="s">
        <v>107</v>
      </c>
      <c r="B1" s="197"/>
      <c r="C1" s="197"/>
      <c r="D1" s="197"/>
    </row>
    <row r="2" spans="1:9" x14ac:dyDescent="0.3">
      <c r="A2" s="32" t="s">
        <v>16</v>
      </c>
      <c r="B2" s="180" t="str">
        <f>CONCATENATE(ExpID,"-",StnNum,"-",StnDay)</f>
        <v>KF2025-6-1</v>
      </c>
      <c r="C2" s="180"/>
      <c r="D2" s="73"/>
    </row>
    <row r="3" spans="1:9" x14ac:dyDescent="0.3">
      <c r="A3" s="33" t="s">
        <v>131</v>
      </c>
      <c r="B3" s="181" t="s">
        <v>178</v>
      </c>
      <c r="C3" s="181"/>
      <c r="D3" s="77"/>
    </row>
    <row r="4" spans="1:9" x14ac:dyDescent="0.3">
      <c r="A4" s="33" t="s">
        <v>4</v>
      </c>
      <c r="B4" s="182">
        <f>ObsDate</f>
        <v>45779</v>
      </c>
      <c r="C4" s="182"/>
      <c r="D4" s="77"/>
    </row>
    <row r="5" spans="1:9" x14ac:dyDescent="0.3">
      <c r="A5" s="34" t="s">
        <v>106</v>
      </c>
      <c r="B5" s="192"/>
      <c r="C5" s="192"/>
      <c r="D5" s="77"/>
    </row>
    <row r="6" spans="1:9" x14ac:dyDescent="0.3">
      <c r="A6" s="34" t="s">
        <v>120</v>
      </c>
      <c r="B6" s="173" t="s">
        <v>179</v>
      </c>
      <c r="C6" s="174"/>
      <c r="D6" s="77"/>
    </row>
    <row r="7" spans="1:9" x14ac:dyDescent="0.3">
      <c r="A7" s="198" t="s">
        <v>164</v>
      </c>
      <c r="B7" s="199"/>
      <c r="C7" s="40"/>
      <c r="D7" s="77"/>
      <c r="E7" s="84"/>
      <c r="F7" s="74"/>
      <c r="G7" s="74"/>
      <c r="H7" s="76"/>
      <c r="I7" s="75"/>
    </row>
    <row r="8" spans="1:9" ht="30" customHeight="1" thickBot="1" x14ac:dyDescent="0.35">
      <c r="A8" s="35" t="s">
        <v>15</v>
      </c>
      <c r="B8" s="194" t="s">
        <v>205</v>
      </c>
      <c r="C8" s="195"/>
      <c r="D8" s="196"/>
    </row>
    <row r="10" spans="1:9" ht="15" thickBot="1" x14ac:dyDescent="0.35">
      <c r="A10" s="50" t="s">
        <v>77</v>
      </c>
      <c r="D10" s="50" t="s">
        <v>108</v>
      </c>
    </row>
    <row r="11" spans="1:9" x14ac:dyDescent="0.3">
      <c r="A11" s="15" t="s">
        <v>121</v>
      </c>
      <c r="B11" s="89">
        <v>-6</v>
      </c>
      <c r="D11" s="15" t="s">
        <v>137</v>
      </c>
      <c r="E11" s="92"/>
    </row>
    <row r="12" spans="1:9" x14ac:dyDescent="0.3">
      <c r="A12" s="16" t="s">
        <v>122</v>
      </c>
      <c r="B12" s="90">
        <v>-5.7</v>
      </c>
      <c r="D12" s="16" t="s">
        <v>138</v>
      </c>
      <c r="E12" s="93">
        <v>22.5</v>
      </c>
    </row>
    <row r="13" spans="1:9" x14ac:dyDescent="0.3">
      <c r="A13" s="16" t="s">
        <v>123</v>
      </c>
      <c r="B13" s="90">
        <v>-3.2</v>
      </c>
      <c r="D13" s="16" t="s">
        <v>139</v>
      </c>
      <c r="E13" s="93">
        <v>22</v>
      </c>
    </row>
    <row r="14" spans="1:9" ht="15" thickBot="1" x14ac:dyDescent="0.35">
      <c r="A14" s="18" t="s">
        <v>124</v>
      </c>
      <c r="B14" s="91">
        <v>-1.6</v>
      </c>
      <c r="D14" s="16" t="s">
        <v>135</v>
      </c>
      <c r="E14" s="93"/>
    </row>
    <row r="15" spans="1:9" x14ac:dyDescent="0.3">
      <c r="D15" s="16" t="s">
        <v>136</v>
      </c>
      <c r="E15" s="93"/>
    </row>
    <row r="16" spans="1:9" ht="15" thickBot="1" x14ac:dyDescent="0.35">
      <c r="D16" s="18" t="s">
        <v>148</v>
      </c>
      <c r="E16" s="94">
        <v>6</v>
      </c>
    </row>
    <row r="17" spans="1:8" ht="15" thickBot="1" x14ac:dyDescent="0.35"/>
    <row r="18" spans="1:8" x14ac:dyDescent="0.3">
      <c r="D18" s="15" t="s">
        <v>167</v>
      </c>
      <c r="E18" s="95">
        <v>23</v>
      </c>
      <c r="F18" s="85"/>
      <c r="G18" s="86"/>
    </row>
    <row r="19" spans="1:8" x14ac:dyDescent="0.3">
      <c r="D19" s="16" t="s">
        <v>126</v>
      </c>
      <c r="E19" s="96">
        <v>1</v>
      </c>
      <c r="F19" s="59"/>
      <c r="G19" s="87"/>
    </row>
    <row r="20" spans="1:8" ht="15" thickBot="1" x14ac:dyDescent="0.35">
      <c r="D20" s="18" t="s">
        <v>125</v>
      </c>
      <c r="E20" s="88"/>
      <c r="F20" s="88"/>
      <c r="G20" s="36">
        <v>23</v>
      </c>
    </row>
    <row r="21" spans="1:8" ht="15" thickBot="1" x14ac:dyDescent="0.35"/>
    <row r="22" spans="1:8" ht="15" thickBot="1" x14ac:dyDescent="0.35">
      <c r="A22" s="37" t="s">
        <v>172</v>
      </c>
      <c r="B22" s="38" t="s">
        <v>109</v>
      </c>
      <c r="D22" s="37" t="s">
        <v>117</v>
      </c>
      <c r="E22" s="39" t="s">
        <v>140</v>
      </c>
      <c r="F22" s="39" t="s">
        <v>141</v>
      </c>
      <c r="G22" s="39" t="s">
        <v>142</v>
      </c>
      <c r="H22" s="38" t="s">
        <v>13</v>
      </c>
    </row>
    <row r="23" spans="1:8" ht="15" thickBot="1" x14ac:dyDescent="0.35">
      <c r="A23" s="148" t="s">
        <v>195</v>
      </c>
      <c r="B23" s="149">
        <v>-2.8</v>
      </c>
      <c r="D23" s="99">
        <v>1</v>
      </c>
      <c r="E23" s="100">
        <v>0</v>
      </c>
      <c r="F23" s="100"/>
      <c r="G23" s="100">
        <v>23</v>
      </c>
      <c r="H23" s="83"/>
    </row>
    <row r="24" spans="1:8" x14ac:dyDescent="0.3">
      <c r="A24" s="97">
        <v>2.5</v>
      </c>
      <c r="B24" s="143">
        <v>-2.9</v>
      </c>
      <c r="D24" s="101"/>
      <c r="E24" s="102"/>
      <c r="F24" s="102"/>
      <c r="G24" s="102"/>
      <c r="H24" s="44"/>
    </row>
    <row r="25" spans="1:8" x14ac:dyDescent="0.3">
      <c r="A25" s="98">
        <v>5</v>
      </c>
      <c r="B25" s="111">
        <v>-2.8</v>
      </c>
      <c r="D25" s="101"/>
      <c r="E25" s="102"/>
      <c r="F25" s="102"/>
      <c r="G25" s="102"/>
      <c r="H25" s="44"/>
    </row>
    <row r="26" spans="1:8" x14ac:dyDescent="0.3">
      <c r="A26" s="98">
        <v>10</v>
      </c>
      <c r="B26" s="111">
        <v>-2.5</v>
      </c>
      <c r="D26" s="101"/>
      <c r="E26" s="102"/>
      <c r="F26" s="102"/>
      <c r="G26" s="102"/>
      <c r="H26" s="44"/>
    </row>
    <row r="27" spans="1:8" x14ac:dyDescent="0.3">
      <c r="A27" s="98">
        <v>15</v>
      </c>
      <c r="B27" s="111">
        <v>-2.1</v>
      </c>
      <c r="D27" s="101"/>
      <c r="E27" s="102"/>
      <c r="F27" s="102"/>
      <c r="G27" s="102"/>
      <c r="H27" s="44"/>
    </row>
    <row r="28" spans="1:8" x14ac:dyDescent="0.3">
      <c r="A28" s="98">
        <v>20</v>
      </c>
      <c r="B28" s="111">
        <v>-1.6</v>
      </c>
      <c r="D28" s="101"/>
      <c r="E28" s="102"/>
      <c r="F28" s="102"/>
      <c r="G28" s="102"/>
      <c r="H28" s="44"/>
    </row>
    <row r="29" spans="1:8" x14ac:dyDescent="0.3">
      <c r="A29" s="98">
        <v>23</v>
      </c>
      <c r="B29" s="111">
        <v>-1.7</v>
      </c>
      <c r="D29" s="101"/>
      <c r="E29" s="102"/>
      <c r="F29" s="102"/>
      <c r="G29" s="102"/>
      <c r="H29" s="44"/>
    </row>
    <row r="30" spans="1:8" x14ac:dyDescent="0.3">
      <c r="A30" s="98"/>
      <c r="B30" s="111"/>
      <c r="D30" s="101"/>
      <c r="E30" s="102"/>
      <c r="F30" s="102"/>
      <c r="G30" s="102"/>
      <c r="H30" s="44"/>
    </row>
    <row r="31" spans="1:8" x14ac:dyDescent="0.3">
      <c r="A31" s="98"/>
      <c r="B31" s="111"/>
      <c r="D31" s="101"/>
      <c r="E31" s="102"/>
      <c r="F31" s="102"/>
      <c r="G31" s="102"/>
      <c r="H31" s="44"/>
    </row>
    <row r="32" spans="1:8" x14ac:dyDescent="0.3">
      <c r="A32" s="98"/>
      <c r="B32" s="111"/>
      <c r="D32" s="101"/>
      <c r="E32" s="102"/>
      <c r="F32" s="102"/>
      <c r="G32" s="102"/>
      <c r="H32" s="44"/>
    </row>
    <row r="33" spans="1:8" x14ac:dyDescent="0.3">
      <c r="A33" s="98"/>
      <c r="B33" s="111"/>
      <c r="D33" s="101"/>
      <c r="E33" s="102"/>
      <c r="F33" s="102"/>
      <c r="G33" s="102"/>
      <c r="H33" s="44"/>
    </row>
    <row r="34" spans="1:8" x14ac:dyDescent="0.3">
      <c r="A34" s="98"/>
      <c r="B34" s="111"/>
      <c r="D34" s="101"/>
      <c r="E34" s="102"/>
      <c r="F34" s="102"/>
      <c r="G34" s="102"/>
      <c r="H34" s="44"/>
    </row>
    <row r="35" spans="1:8" x14ac:dyDescent="0.3">
      <c r="A35" s="98"/>
      <c r="B35" s="111"/>
      <c r="D35" s="101"/>
      <c r="E35" s="102"/>
      <c r="F35" s="102"/>
      <c r="G35" s="102"/>
      <c r="H35" s="44"/>
    </row>
    <row r="36" spans="1:8" x14ac:dyDescent="0.3">
      <c r="A36" s="98"/>
      <c r="B36" s="111"/>
      <c r="D36" s="101"/>
      <c r="E36" s="102"/>
      <c r="F36" s="102"/>
      <c r="G36" s="102"/>
      <c r="H36" s="44"/>
    </row>
    <row r="37" spans="1:8" x14ac:dyDescent="0.3">
      <c r="A37" s="98"/>
      <c r="B37" s="111"/>
      <c r="D37" s="101"/>
      <c r="E37" s="102"/>
      <c r="F37" s="102"/>
      <c r="G37" s="102"/>
      <c r="H37" s="44"/>
    </row>
    <row r="38" spans="1:8" x14ac:dyDescent="0.3">
      <c r="A38" s="98"/>
      <c r="B38" s="111"/>
      <c r="D38" s="101"/>
      <c r="E38" s="102"/>
      <c r="F38" s="102"/>
      <c r="G38" s="102"/>
      <c r="H38" s="44"/>
    </row>
    <row r="39" spans="1:8" x14ac:dyDescent="0.3">
      <c r="A39" s="98"/>
      <c r="B39" s="111"/>
      <c r="D39" s="101"/>
      <c r="E39" s="102"/>
      <c r="F39" s="102"/>
      <c r="G39" s="102"/>
      <c r="H39" s="44"/>
    </row>
    <row r="40" spans="1:8" x14ac:dyDescent="0.3">
      <c r="A40" s="98"/>
      <c r="B40" s="111"/>
      <c r="D40" s="101"/>
      <c r="E40" s="102"/>
      <c r="F40" s="102"/>
      <c r="G40" s="102"/>
      <c r="H40" s="44"/>
    </row>
    <row r="41" spans="1:8" x14ac:dyDescent="0.3">
      <c r="A41" s="98"/>
      <c r="B41" s="111"/>
      <c r="D41" s="101"/>
      <c r="E41" s="102"/>
      <c r="F41" s="102"/>
      <c r="G41" s="102"/>
      <c r="H41" s="44"/>
    </row>
    <row r="42" spans="1:8" x14ac:dyDescent="0.3">
      <c r="A42" s="98"/>
      <c r="B42" s="111"/>
      <c r="D42" s="101"/>
      <c r="E42" s="102"/>
      <c r="F42" s="102"/>
      <c r="G42" s="102"/>
      <c r="H42" s="44"/>
    </row>
    <row r="43" spans="1:8" x14ac:dyDescent="0.3">
      <c r="A43" s="98"/>
      <c r="B43" s="111"/>
      <c r="D43" s="101"/>
      <c r="E43" s="102"/>
      <c r="F43" s="102"/>
      <c r="G43" s="102"/>
      <c r="H43" s="44"/>
    </row>
    <row r="44" spans="1:8" x14ac:dyDescent="0.3">
      <c r="A44" s="98"/>
      <c r="B44" s="111"/>
      <c r="D44" s="101"/>
      <c r="E44" s="102"/>
      <c r="F44" s="102"/>
      <c r="G44" s="102"/>
      <c r="H44" s="44"/>
    </row>
    <row r="45" spans="1:8" x14ac:dyDescent="0.3">
      <c r="A45" s="98"/>
      <c r="B45" s="111"/>
      <c r="D45" s="101"/>
      <c r="E45" s="102"/>
      <c r="F45" s="102"/>
      <c r="G45" s="102"/>
      <c r="H45" s="44"/>
    </row>
    <row r="46" spans="1:8" x14ac:dyDescent="0.3">
      <c r="A46" s="98"/>
      <c r="B46" s="111"/>
      <c r="D46" s="101"/>
      <c r="E46" s="102"/>
      <c r="F46" s="102"/>
      <c r="G46" s="102"/>
      <c r="H46" s="44"/>
    </row>
    <row r="47" spans="1:8" x14ac:dyDescent="0.3">
      <c r="A47" s="98"/>
      <c r="B47" s="111"/>
      <c r="D47" s="101"/>
      <c r="E47" s="102"/>
      <c r="F47" s="102"/>
      <c r="G47" s="102"/>
      <c r="H47" s="44"/>
    </row>
    <row r="48" spans="1:8" x14ac:dyDescent="0.3">
      <c r="A48" s="98"/>
      <c r="B48" s="111"/>
    </row>
  </sheetData>
  <mergeCells count="8">
    <mergeCell ref="B8:D8"/>
    <mergeCell ref="A1:D1"/>
    <mergeCell ref="B2:C2"/>
    <mergeCell ref="B3:C3"/>
    <mergeCell ref="B4:C4"/>
    <mergeCell ref="B5:C5"/>
    <mergeCell ref="B6:C6"/>
    <mergeCell ref="A7:B7"/>
  </mergeCells>
  <dataValidations count="1">
    <dataValidation type="list" allowBlank="1" showInputMessage="1" showErrorMessage="1" sqref="C7" xr:uid="{00000000-0002-0000-0300-000000000000}">
      <formula1>Yes_No</formula1>
    </dataValidation>
  </dataValidations>
  <pageMargins left="0.7" right="0.7" top="0.75" bottom="0.75" header="0.3" footer="0.3"/>
  <pageSetup paperSize="9" scale="7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9AF7-5E05-46CB-BD2A-1A925C74C873}">
  <sheetPr>
    <tabColor rgb="FF92D050"/>
    <pageSetUpPr fitToPage="1"/>
  </sheetPr>
  <dimension ref="A1:I47"/>
  <sheetViews>
    <sheetView zoomScale="80" zoomScaleNormal="80" workbookViewId="0">
      <selection activeCell="F18" sqref="F18"/>
    </sheetView>
  </sheetViews>
  <sheetFormatPr defaultColWidth="9.109375" defaultRowHeight="14.4" x14ac:dyDescent="0.3"/>
  <cols>
    <col min="1" max="1" width="23.6640625" style="48" bestFit="1" customWidth="1"/>
    <col min="2" max="2" width="16.6640625" style="48" bestFit="1" customWidth="1"/>
    <col min="3" max="3" width="20.44140625" style="48" bestFit="1" customWidth="1"/>
    <col min="4" max="4" width="27" style="48" bestFit="1" customWidth="1"/>
    <col min="5" max="5" width="18.6640625" style="48" customWidth="1"/>
    <col min="6" max="6" width="20.33203125" style="48" bestFit="1" customWidth="1"/>
    <col min="7" max="7" width="18.6640625" style="48" customWidth="1"/>
    <col min="8" max="8" width="36.6640625" style="48" customWidth="1"/>
    <col min="9" max="16384" width="9.109375" style="48"/>
  </cols>
  <sheetData>
    <row r="1" spans="1:9" ht="34.200000000000003" thickBot="1" x14ac:dyDescent="0.7">
      <c r="A1" s="197" t="s">
        <v>184</v>
      </c>
      <c r="B1" s="197"/>
      <c r="C1" s="197"/>
      <c r="D1" s="197"/>
    </row>
    <row r="2" spans="1:9" x14ac:dyDescent="0.3">
      <c r="A2" s="32" t="s">
        <v>16</v>
      </c>
      <c r="B2" s="180" t="str">
        <f>CONCATENATE(ExpID,"-",StnNum,"-",StnDay)</f>
        <v>KF2025-6-1</v>
      </c>
      <c r="C2" s="180"/>
      <c r="D2" s="73"/>
    </row>
    <row r="3" spans="1:9" x14ac:dyDescent="0.3">
      <c r="A3" s="33" t="s">
        <v>131</v>
      </c>
      <c r="B3" s="181" t="s">
        <v>178</v>
      </c>
      <c r="C3" s="181"/>
      <c r="D3" s="77"/>
    </row>
    <row r="4" spans="1:9" x14ac:dyDescent="0.3">
      <c r="A4" s="33" t="s">
        <v>4</v>
      </c>
      <c r="B4" s="182">
        <f>ObsDate</f>
        <v>45779</v>
      </c>
      <c r="C4" s="182"/>
      <c r="D4" s="77"/>
    </row>
    <row r="5" spans="1:9" x14ac:dyDescent="0.3">
      <c r="A5" s="34" t="s">
        <v>106</v>
      </c>
      <c r="B5" s="192"/>
      <c r="C5" s="192"/>
      <c r="D5" s="77"/>
    </row>
    <row r="6" spans="1:9" x14ac:dyDescent="0.3">
      <c r="A6" s="34" t="s">
        <v>120</v>
      </c>
      <c r="B6" s="173" t="s">
        <v>179</v>
      </c>
      <c r="C6" s="174"/>
      <c r="D6" s="77"/>
    </row>
    <row r="7" spans="1:9" x14ac:dyDescent="0.3">
      <c r="A7" s="198" t="s">
        <v>164</v>
      </c>
      <c r="B7" s="199"/>
      <c r="C7" s="40" t="s">
        <v>162</v>
      </c>
      <c r="D7" s="77"/>
      <c r="E7" s="84"/>
      <c r="F7" s="74"/>
      <c r="G7" s="74"/>
      <c r="H7" s="76"/>
      <c r="I7" s="75"/>
    </row>
    <row r="8" spans="1:9" ht="30" customHeight="1" thickBot="1" x14ac:dyDescent="0.35">
      <c r="A8" s="35" t="s">
        <v>15</v>
      </c>
      <c r="B8" s="194" t="s">
        <v>185</v>
      </c>
      <c r="C8" s="195"/>
      <c r="D8" s="196"/>
    </row>
    <row r="10" spans="1:9" ht="15" thickBot="1" x14ac:dyDescent="0.35">
      <c r="A10" s="50" t="s">
        <v>77</v>
      </c>
      <c r="D10" s="50" t="s">
        <v>108</v>
      </c>
    </row>
    <row r="11" spans="1:9" x14ac:dyDescent="0.3">
      <c r="A11" s="15" t="s">
        <v>121</v>
      </c>
      <c r="B11" s="89"/>
      <c r="D11" s="15" t="s">
        <v>137</v>
      </c>
      <c r="E11" s="92"/>
    </row>
    <row r="12" spans="1:9" x14ac:dyDescent="0.3">
      <c r="A12" s="16" t="s">
        <v>122</v>
      </c>
      <c r="B12" s="90"/>
      <c r="D12" s="16" t="s">
        <v>138</v>
      </c>
      <c r="E12" s="93">
        <v>22.5</v>
      </c>
    </row>
    <row r="13" spans="1:9" x14ac:dyDescent="0.3">
      <c r="A13" s="16" t="s">
        <v>123</v>
      </c>
      <c r="B13" s="90"/>
      <c r="D13" s="16" t="s">
        <v>139</v>
      </c>
      <c r="E13" s="93">
        <v>22</v>
      </c>
    </row>
    <row r="14" spans="1:9" ht="15" thickBot="1" x14ac:dyDescent="0.35">
      <c r="A14" s="18" t="s">
        <v>124</v>
      </c>
      <c r="B14" s="91"/>
      <c r="D14" s="16" t="s">
        <v>135</v>
      </c>
      <c r="E14" s="93"/>
    </row>
    <row r="15" spans="1:9" x14ac:dyDescent="0.3">
      <c r="D15" s="16" t="s">
        <v>136</v>
      </c>
      <c r="E15" s="93"/>
    </row>
    <row r="16" spans="1:9" ht="15" thickBot="1" x14ac:dyDescent="0.35">
      <c r="D16" s="18" t="s">
        <v>148</v>
      </c>
      <c r="E16" s="94">
        <v>6</v>
      </c>
    </row>
    <row r="17" spans="1:6" ht="15" thickBot="1" x14ac:dyDescent="0.35"/>
    <row r="18" spans="1:6" x14ac:dyDescent="0.3">
      <c r="A18" s="15" t="s">
        <v>167</v>
      </c>
      <c r="B18" s="95">
        <v>23</v>
      </c>
      <c r="C18" s="85"/>
      <c r="D18" s="86"/>
    </row>
    <row r="19" spans="1:6" x14ac:dyDescent="0.3">
      <c r="A19" s="16" t="s">
        <v>126</v>
      </c>
      <c r="B19" s="96">
        <v>1</v>
      </c>
      <c r="C19" s="59"/>
      <c r="D19" s="87"/>
    </row>
    <row r="20" spans="1:6" ht="15" thickBot="1" x14ac:dyDescent="0.35">
      <c r="A20" s="18" t="s">
        <v>125</v>
      </c>
      <c r="B20" s="88"/>
      <c r="C20" s="88"/>
      <c r="D20" s="36">
        <v>23</v>
      </c>
    </row>
    <row r="21" spans="1:6" ht="15" thickBot="1" x14ac:dyDescent="0.35"/>
    <row r="22" spans="1:6" ht="15" thickBot="1" x14ac:dyDescent="0.35">
      <c r="A22" s="37" t="s">
        <v>117</v>
      </c>
      <c r="B22" s="39" t="s">
        <v>140</v>
      </c>
      <c r="C22" s="39" t="s">
        <v>141</v>
      </c>
      <c r="D22" s="39" t="s">
        <v>142</v>
      </c>
      <c r="E22" s="201" t="s">
        <v>13</v>
      </c>
      <c r="F22" s="202"/>
    </row>
    <row r="23" spans="1:6" x14ac:dyDescent="0.3">
      <c r="A23" s="99">
        <v>1</v>
      </c>
      <c r="B23" s="100">
        <v>0</v>
      </c>
      <c r="C23" s="100">
        <v>23</v>
      </c>
      <c r="D23" s="100">
        <v>23</v>
      </c>
      <c r="E23" s="203"/>
      <c r="F23" s="203"/>
    </row>
    <row r="24" spans="1:6" x14ac:dyDescent="0.3">
      <c r="A24" s="101"/>
      <c r="B24" s="102"/>
      <c r="C24" s="102"/>
      <c r="D24" s="102"/>
      <c r="E24" s="200"/>
      <c r="F24" s="200"/>
    </row>
    <row r="25" spans="1:6" x14ac:dyDescent="0.3">
      <c r="A25" s="101"/>
      <c r="B25" s="102"/>
      <c r="C25" s="102"/>
      <c r="D25" s="102"/>
      <c r="E25" s="200"/>
      <c r="F25" s="200"/>
    </row>
    <row r="26" spans="1:6" x14ac:dyDescent="0.3">
      <c r="A26" s="101"/>
      <c r="B26" s="102"/>
      <c r="C26" s="102"/>
      <c r="D26" s="102"/>
      <c r="E26" s="200"/>
      <c r="F26" s="200"/>
    </row>
    <row r="27" spans="1:6" x14ac:dyDescent="0.3">
      <c r="A27" s="101"/>
      <c r="B27" s="102"/>
      <c r="C27" s="102"/>
      <c r="D27" s="102"/>
      <c r="E27" s="200"/>
      <c r="F27" s="200"/>
    </row>
    <row r="28" spans="1:6" x14ac:dyDescent="0.3">
      <c r="A28" s="101"/>
      <c r="B28" s="102"/>
      <c r="C28" s="102"/>
      <c r="D28" s="102"/>
      <c r="E28" s="200"/>
      <c r="F28" s="200"/>
    </row>
    <row r="29" spans="1:6" x14ac:dyDescent="0.3">
      <c r="A29" s="101"/>
      <c r="B29" s="102"/>
      <c r="C29" s="102"/>
      <c r="D29" s="102"/>
      <c r="E29" s="200"/>
      <c r="F29" s="200"/>
    </row>
    <row r="30" spans="1:6" x14ac:dyDescent="0.3">
      <c r="A30" s="101"/>
      <c r="B30" s="102"/>
      <c r="C30" s="102"/>
      <c r="D30" s="102"/>
      <c r="E30" s="200"/>
      <c r="F30" s="200"/>
    </row>
    <row r="31" spans="1:6" x14ac:dyDescent="0.3">
      <c r="A31" s="101"/>
      <c r="B31" s="102"/>
      <c r="C31" s="102"/>
      <c r="D31" s="102"/>
      <c r="E31" s="200"/>
      <c r="F31" s="200"/>
    </row>
    <row r="32" spans="1:6" x14ac:dyDescent="0.3">
      <c r="A32" s="101"/>
      <c r="B32" s="102"/>
      <c r="C32" s="102"/>
      <c r="D32" s="102"/>
      <c r="E32" s="200"/>
      <c r="F32" s="200"/>
    </row>
    <row r="33" spans="1:6" x14ac:dyDescent="0.3">
      <c r="A33" s="101"/>
      <c r="B33" s="102"/>
      <c r="C33" s="102"/>
      <c r="D33" s="102"/>
      <c r="E33" s="200"/>
      <c r="F33" s="200"/>
    </row>
    <row r="34" spans="1:6" x14ac:dyDescent="0.3">
      <c r="A34" s="101"/>
      <c r="B34" s="102"/>
      <c r="C34" s="102"/>
      <c r="D34" s="102"/>
      <c r="E34" s="200"/>
      <c r="F34" s="200"/>
    </row>
    <row r="35" spans="1:6" x14ac:dyDescent="0.3">
      <c r="A35" s="101"/>
      <c r="B35" s="102"/>
      <c r="C35" s="102"/>
      <c r="D35" s="102"/>
      <c r="E35" s="200"/>
      <c r="F35" s="200"/>
    </row>
    <row r="36" spans="1:6" x14ac:dyDescent="0.3">
      <c r="A36" s="101"/>
      <c r="B36" s="102"/>
      <c r="C36" s="102"/>
      <c r="D36" s="102"/>
      <c r="E36" s="200"/>
      <c r="F36" s="200"/>
    </row>
    <row r="37" spans="1:6" x14ac:dyDescent="0.3">
      <c r="A37" s="101"/>
      <c r="B37" s="102"/>
      <c r="C37" s="102"/>
      <c r="D37" s="102"/>
      <c r="E37" s="200"/>
      <c r="F37" s="200"/>
    </row>
    <row r="38" spans="1:6" x14ac:dyDescent="0.3">
      <c r="A38" s="101"/>
      <c r="B38" s="102"/>
      <c r="C38" s="102"/>
      <c r="D38" s="102"/>
      <c r="E38" s="200"/>
      <c r="F38" s="200"/>
    </row>
    <row r="39" spans="1:6" x14ac:dyDescent="0.3">
      <c r="A39" s="101"/>
      <c r="B39" s="102"/>
      <c r="C39" s="102"/>
      <c r="D39" s="102"/>
      <c r="E39" s="200"/>
      <c r="F39" s="200"/>
    </row>
    <row r="40" spans="1:6" x14ac:dyDescent="0.3">
      <c r="A40" s="101"/>
      <c r="B40" s="102"/>
      <c r="C40" s="102"/>
      <c r="D40" s="102"/>
      <c r="E40" s="200"/>
      <c r="F40" s="200"/>
    </row>
    <row r="41" spans="1:6" x14ac:dyDescent="0.3">
      <c r="A41" s="101"/>
      <c r="B41" s="102"/>
      <c r="C41" s="102"/>
      <c r="D41" s="102"/>
      <c r="E41" s="200"/>
      <c r="F41" s="200"/>
    </row>
    <row r="42" spans="1:6" x14ac:dyDescent="0.3">
      <c r="A42" s="101"/>
      <c r="B42" s="102"/>
      <c r="C42" s="102"/>
      <c r="D42" s="102"/>
      <c r="E42" s="200"/>
      <c r="F42" s="200"/>
    </row>
    <row r="43" spans="1:6" x14ac:dyDescent="0.3">
      <c r="A43" s="101"/>
      <c r="B43" s="102"/>
      <c r="C43" s="102"/>
      <c r="D43" s="102"/>
      <c r="E43" s="200"/>
      <c r="F43" s="200"/>
    </row>
    <row r="44" spans="1:6" x14ac:dyDescent="0.3">
      <c r="A44" s="101"/>
      <c r="B44" s="102"/>
      <c r="C44" s="102"/>
      <c r="D44" s="102"/>
      <c r="E44" s="200"/>
      <c r="F44" s="200"/>
    </row>
    <row r="45" spans="1:6" x14ac:dyDescent="0.3">
      <c r="A45" s="101"/>
      <c r="B45" s="102"/>
      <c r="C45" s="102"/>
      <c r="D45" s="102"/>
      <c r="E45" s="200"/>
      <c r="F45" s="200"/>
    </row>
    <row r="46" spans="1:6" x14ac:dyDescent="0.3">
      <c r="A46" s="101"/>
      <c r="B46" s="102"/>
      <c r="C46" s="102"/>
      <c r="D46" s="102"/>
      <c r="E46" s="200"/>
      <c r="F46" s="200"/>
    </row>
    <row r="47" spans="1:6" x14ac:dyDescent="0.3">
      <c r="A47" s="101"/>
      <c r="B47" s="102"/>
      <c r="C47" s="102"/>
      <c r="D47" s="102"/>
      <c r="E47" s="200"/>
      <c r="F47" s="200"/>
    </row>
  </sheetData>
  <mergeCells count="34"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</mergeCells>
  <dataValidations count="1">
    <dataValidation type="list" allowBlank="1" showInputMessage="1" showErrorMessage="1" sqref="C7" xr:uid="{F69A6166-3060-464F-80FB-AD2539861CAD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L41"/>
  <sheetViews>
    <sheetView tabSelected="1" topLeftCell="A16" zoomScale="80" zoomScaleNormal="80" workbookViewId="0">
      <selection activeCell="P24" sqref="P24"/>
    </sheetView>
  </sheetViews>
  <sheetFormatPr defaultColWidth="9.109375" defaultRowHeight="14.4" x14ac:dyDescent="0.3"/>
  <cols>
    <col min="1" max="1" width="21.6640625" style="48" customWidth="1"/>
    <col min="2" max="3" width="15.6640625" style="48" customWidth="1"/>
    <col min="4" max="5" width="18.6640625" style="48" customWidth="1"/>
    <col min="6" max="6" width="19.5546875" style="48" bestFit="1" customWidth="1"/>
    <col min="7" max="7" width="19.88671875" style="48" bestFit="1" customWidth="1"/>
    <col min="8" max="8" width="19.5546875" style="48" bestFit="1" customWidth="1"/>
    <col min="9" max="9" width="36.6640625" style="116" customWidth="1"/>
    <col min="10" max="16384" width="9.109375" style="48"/>
  </cols>
  <sheetData>
    <row r="1" spans="1:9" ht="34.200000000000003" thickBot="1" x14ac:dyDescent="0.7">
      <c r="A1" s="197" t="s">
        <v>119</v>
      </c>
      <c r="B1" s="197"/>
      <c r="C1" s="197"/>
      <c r="D1" s="114"/>
    </row>
    <row r="2" spans="1:9" x14ac:dyDescent="0.3">
      <c r="A2" s="32" t="s">
        <v>16</v>
      </c>
      <c r="B2" s="207" t="str">
        <f>CONCATENATE(ExpID,"-",StnNum,"-",StnDay)</f>
        <v>KF2025-6-1</v>
      </c>
      <c r="C2" s="207"/>
      <c r="D2" s="73"/>
    </row>
    <row r="3" spans="1:9" x14ac:dyDescent="0.3">
      <c r="A3" s="33" t="s">
        <v>131</v>
      </c>
      <c r="B3" s="208" t="s">
        <v>178</v>
      </c>
      <c r="C3" s="208"/>
      <c r="D3" s="77"/>
    </row>
    <row r="4" spans="1:9" x14ac:dyDescent="0.3">
      <c r="A4" s="33" t="s">
        <v>4</v>
      </c>
      <c r="B4" s="182">
        <f>ObsDate</f>
        <v>45779</v>
      </c>
      <c r="C4" s="182"/>
      <c r="D4" s="77"/>
    </row>
    <row r="5" spans="1:9" x14ac:dyDescent="0.3">
      <c r="A5" s="34" t="s">
        <v>106</v>
      </c>
      <c r="B5" s="209"/>
      <c r="C5" s="209"/>
      <c r="D5" s="77"/>
    </row>
    <row r="6" spans="1:9" x14ac:dyDescent="0.3">
      <c r="A6" s="34" t="s">
        <v>120</v>
      </c>
      <c r="B6" s="210" t="s">
        <v>177</v>
      </c>
      <c r="C6" s="211"/>
      <c r="D6" s="77"/>
      <c r="E6" s="74"/>
      <c r="F6" s="74"/>
      <c r="G6" s="76"/>
      <c r="H6" s="75"/>
    </row>
    <row r="7" spans="1:9" ht="30" customHeight="1" thickBot="1" x14ac:dyDescent="0.35">
      <c r="A7" s="35" t="s">
        <v>15</v>
      </c>
      <c r="B7" s="204" t="s">
        <v>197</v>
      </c>
      <c r="C7" s="205"/>
      <c r="D7" s="206"/>
      <c r="F7" s="48" t="s">
        <v>191</v>
      </c>
      <c r="G7" s="48">
        <v>-18.600000000000001</v>
      </c>
    </row>
    <row r="8" spans="1:9" x14ac:dyDescent="0.3">
      <c r="F8" s="48" t="s">
        <v>192</v>
      </c>
      <c r="G8" s="48">
        <v>0.83550000000000002</v>
      </c>
    </row>
    <row r="9" spans="1:9" ht="15" thickBot="1" x14ac:dyDescent="0.35">
      <c r="A9" s="50" t="s">
        <v>108</v>
      </c>
    </row>
    <row r="10" spans="1:9" x14ac:dyDescent="0.3">
      <c r="A10" s="123" t="s">
        <v>148</v>
      </c>
      <c r="B10" s="124">
        <v>1</v>
      </c>
      <c r="F10" s="130" t="s">
        <v>117</v>
      </c>
      <c r="G10" s="131" t="s">
        <v>146</v>
      </c>
      <c r="H10" s="131" t="s">
        <v>147</v>
      </c>
      <c r="I10" s="132" t="s">
        <v>13</v>
      </c>
    </row>
    <row r="11" spans="1:9" x14ac:dyDescent="0.3">
      <c r="A11" s="125" t="s">
        <v>136</v>
      </c>
      <c r="B11" s="126">
        <v>22.5</v>
      </c>
      <c r="F11" s="133">
        <v>1</v>
      </c>
      <c r="G11" s="119"/>
      <c r="H11" s="42">
        <v>23</v>
      </c>
      <c r="I11" s="134" t="s">
        <v>207</v>
      </c>
    </row>
    <row r="12" spans="1:9" x14ac:dyDescent="0.3">
      <c r="A12" s="125" t="s">
        <v>149</v>
      </c>
      <c r="B12" s="126">
        <v>22</v>
      </c>
      <c r="F12" s="133"/>
      <c r="G12" s="42"/>
      <c r="H12" s="120"/>
      <c r="I12" s="135"/>
    </row>
    <row r="13" spans="1:9" x14ac:dyDescent="0.3">
      <c r="A13" s="125" t="s">
        <v>135</v>
      </c>
      <c r="B13" s="126"/>
      <c r="F13" s="133"/>
      <c r="G13" s="42"/>
      <c r="H13" s="42"/>
      <c r="I13" s="135"/>
    </row>
    <row r="14" spans="1:9" ht="15" thickBot="1" x14ac:dyDescent="0.35">
      <c r="A14" s="127" t="s">
        <v>150</v>
      </c>
      <c r="B14" s="128"/>
      <c r="F14" s="133"/>
      <c r="G14" s="42"/>
      <c r="H14" s="42"/>
      <c r="I14" s="135"/>
    </row>
    <row r="15" spans="1:9" x14ac:dyDescent="0.3">
      <c r="F15" s="133"/>
      <c r="G15" s="42"/>
      <c r="H15" s="42"/>
      <c r="I15" s="135"/>
    </row>
    <row r="16" spans="1:9" ht="15" thickBot="1" x14ac:dyDescent="0.35">
      <c r="A16" s="50" t="s">
        <v>111</v>
      </c>
      <c r="F16" s="133"/>
      <c r="G16" s="42"/>
      <c r="H16" s="42"/>
      <c r="I16" s="135"/>
    </row>
    <row r="17" spans="1:12" x14ac:dyDescent="0.3">
      <c r="A17" s="123" t="s">
        <v>151</v>
      </c>
      <c r="B17" s="124"/>
      <c r="F17" s="133"/>
      <c r="G17" s="42"/>
      <c r="H17" s="42"/>
      <c r="I17" s="135"/>
    </row>
    <row r="18" spans="1:12" ht="15" thickBot="1" x14ac:dyDescent="0.35">
      <c r="A18" s="18" t="s">
        <v>152</v>
      </c>
      <c r="B18" s="129">
        <f>POWER(B17/2,2)*3.14</f>
        <v>0</v>
      </c>
      <c r="F18" s="133"/>
      <c r="G18" s="42"/>
      <c r="H18" s="42"/>
      <c r="I18" s="135"/>
    </row>
    <row r="19" spans="1:12" ht="15" thickBot="1" x14ac:dyDescent="0.35">
      <c r="B19" s="117"/>
      <c r="F19" s="136"/>
      <c r="G19" s="137"/>
      <c r="H19" s="137"/>
      <c r="I19" s="138"/>
    </row>
    <row r="21" spans="1:12" ht="15" thickBot="1" x14ac:dyDescent="0.35"/>
    <row r="22" spans="1:12" s="118" customFormat="1" ht="43.8" thickBot="1" x14ac:dyDescent="0.35">
      <c r="A22" s="140" t="s">
        <v>143</v>
      </c>
      <c r="B22" s="141" t="s">
        <v>144</v>
      </c>
      <c r="C22" s="141" t="s">
        <v>118</v>
      </c>
      <c r="D22" s="141" t="s">
        <v>186</v>
      </c>
      <c r="E22" s="141" t="s">
        <v>187</v>
      </c>
      <c r="F22" s="141" t="s">
        <v>188</v>
      </c>
      <c r="G22" s="141" t="s">
        <v>189</v>
      </c>
      <c r="H22" s="141" t="s">
        <v>190</v>
      </c>
      <c r="I22" s="142" t="s">
        <v>13</v>
      </c>
      <c r="J22" s="10" t="s">
        <v>113</v>
      </c>
      <c r="K22" s="10" t="s">
        <v>114</v>
      </c>
      <c r="L22" s="10" t="s">
        <v>115</v>
      </c>
    </row>
    <row r="23" spans="1:12" x14ac:dyDescent="0.3">
      <c r="A23" s="122">
        <v>0</v>
      </c>
      <c r="B23" s="122">
        <v>5</v>
      </c>
      <c r="C23" s="115" t="s">
        <v>221</v>
      </c>
      <c r="D23" s="115">
        <v>239.53</v>
      </c>
      <c r="E23" s="147">
        <v>8.18</v>
      </c>
      <c r="F23" s="122"/>
      <c r="G23" s="122">
        <f>AVERAGE(A23:B23)</f>
        <v>2.5</v>
      </c>
      <c r="H23" s="115">
        <f>0.8355*D23/(D23-E23)</f>
        <v>0.86504134428355317</v>
      </c>
      <c r="I23" s="139" t="s">
        <v>226</v>
      </c>
      <c r="J23" s="48">
        <v>11</v>
      </c>
      <c r="K23" s="48">
        <v>18.78</v>
      </c>
      <c r="L23" s="48">
        <v>16.2</v>
      </c>
    </row>
    <row r="24" spans="1:12" x14ac:dyDescent="0.3">
      <c r="A24" s="41">
        <v>5</v>
      </c>
      <c r="B24" s="41">
        <v>10</v>
      </c>
      <c r="C24" s="41" t="s">
        <v>222</v>
      </c>
      <c r="D24" s="41">
        <v>302.7</v>
      </c>
      <c r="E24" s="41">
        <v>25.64</v>
      </c>
      <c r="F24" s="41"/>
      <c r="G24" s="122">
        <f t="shared" ref="G24:G27" si="0">AVERAGE(A24:B24)</f>
        <v>7.5</v>
      </c>
      <c r="H24" s="115">
        <f t="shared" ref="H24:H27" si="1">0.8355*D24/(D24-E24)</f>
        <v>0.9128197863278712</v>
      </c>
      <c r="I24" s="121"/>
      <c r="J24" s="48">
        <v>6.9</v>
      </c>
      <c r="K24" s="48">
        <v>12.27</v>
      </c>
      <c r="L24" s="48">
        <v>16.3</v>
      </c>
    </row>
    <row r="25" spans="1:12" x14ac:dyDescent="0.3">
      <c r="A25" s="122">
        <v>10</v>
      </c>
      <c r="B25" s="122">
        <v>15</v>
      </c>
      <c r="C25" s="41" t="s">
        <v>223</v>
      </c>
      <c r="D25" s="41">
        <v>304.19</v>
      </c>
      <c r="E25" s="41">
        <v>26.6</v>
      </c>
      <c r="F25" s="41"/>
      <c r="G25" s="122">
        <f t="shared" si="0"/>
        <v>12.5</v>
      </c>
      <c r="H25" s="115">
        <f t="shared" si="1"/>
        <v>0.91556160164271061</v>
      </c>
      <c r="I25" s="121"/>
      <c r="J25" s="48">
        <v>5.6</v>
      </c>
      <c r="K25" s="48">
        <v>10.07</v>
      </c>
      <c r="L25" s="48">
        <v>16.2</v>
      </c>
    </row>
    <row r="26" spans="1:12" x14ac:dyDescent="0.3">
      <c r="A26" s="41">
        <v>15</v>
      </c>
      <c r="B26" s="41">
        <v>20</v>
      </c>
      <c r="C26" s="41" t="s">
        <v>224</v>
      </c>
      <c r="D26" s="41">
        <v>246.17</v>
      </c>
      <c r="E26" s="41">
        <v>20.59</v>
      </c>
      <c r="F26" s="41"/>
      <c r="G26" s="122">
        <f t="shared" si="0"/>
        <v>17.5</v>
      </c>
      <c r="H26" s="115">
        <f t="shared" si="1"/>
        <v>0.91176094955226539</v>
      </c>
      <c r="I26" s="121"/>
      <c r="J26" s="48">
        <v>4.0999999999999996</v>
      </c>
      <c r="K26" s="48">
        <v>7.41</v>
      </c>
      <c r="L26" s="48">
        <v>16.3</v>
      </c>
    </row>
    <row r="27" spans="1:12" x14ac:dyDescent="0.3">
      <c r="A27" s="122">
        <v>20</v>
      </c>
      <c r="B27" s="122">
        <v>23</v>
      </c>
      <c r="C27" s="41" t="s">
        <v>225</v>
      </c>
      <c r="D27" s="41">
        <v>184.36</v>
      </c>
      <c r="E27" s="41">
        <v>16.46</v>
      </c>
      <c r="F27" s="41"/>
      <c r="G27" s="122">
        <f t="shared" si="0"/>
        <v>21.5</v>
      </c>
      <c r="H27" s="115">
        <f t="shared" si="1"/>
        <v>0.91740786182251344</v>
      </c>
      <c r="I27" s="121" t="s">
        <v>227</v>
      </c>
      <c r="J27" s="48">
        <v>3.6</v>
      </c>
      <c r="K27" s="48">
        <v>6.71</v>
      </c>
      <c r="L27" s="48">
        <v>16.3</v>
      </c>
    </row>
    <row r="28" spans="1:12" x14ac:dyDescent="0.3">
      <c r="A28" s="41"/>
      <c r="B28" s="41"/>
      <c r="C28" s="41"/>
      <c r="D28" s="41"/>
      <c r="E28" s="41"/>
      <c r="F28" s="41"/>
      <c r="G28" s="41"/>
      <c r="H28" s="41"/>
      <c r="I28" s="121"/>
    </row>
    <row r="29" spans="1:12" x14ac:dyDescent="0.3">
      <c r="A29" s="41"/>
      <c r="B29" s="41"/>
      <c r="C29" s="41"/>
      <c r="D29" s="41"/>
      <c r="E29" s="41"/>
      <c r="F29" s="41"/>
      <c r="G29" s="41"/>
      <c r="H29" s="41"/>
      <c r="I29" s="121"/>
    </row>
    <row r="30" spans="1:12" x14ac:dyDescent="0.3">
      <c r="A30" s="41"/>
      <c r="B30" s="41"/>
      <c r="C30" s="41"/>
      <c r="D30" s="41"/>
      <c r="E30" s="41"/>
      <c r="F30" s="41"/>
      <c r="G30" s="41"/>
      <c r="H30" s="41"/>
      <c r="I30" s="121"/>
    </row>
    <row r="31" spans="1:12" x14ac:dyDescent="0.3">
      <c r="A31" s="41"/>
      <c r="B31" s="41"/>
      <c r="C31" s="41"/>
      <c r="D31" s="41"/>
      <c r="E31" s="41"/>
      <c r="F31" s="41"/>
      <c r="G31" s="41"/>
      <c r="H31" s="41"/>
      <c r="I31" s="121"/>
    </row>
    <row r="32" spans="1:12" x14ac:dyDescent="0.3">
      <c r="A32" s="41"/>
      <c r="B32" s="41"/>
      <c r="C32" s="41"/>
      <c r="D32" s="41"/>
      <c r="E32" s="41"/>
      <c r="F32" s="41"/>
      <c r="G32" s="41"/>
      <c r="H32" s="41"/>
      <c r="I32" s="121"/>
    </row>
    <row r="33" spans="1:9" x14ac:dyDescent="0.3">
      <c r="A33" s="41"/>
      <c r="B33" s="41"/>
      <c r="C33" s="41"/>
      <c r="D33" s="41"/>
      <c r="E33" s="41"/>
      <c r="F33" s="41"/>
      <c r="G33" s="41"/>
      <c r="H33" s="41"/>
      <c r="I33" s="121"/>
    </row>
    <row r="34" spans="1:9" x14ac:dyDescent="0.3">
      <c r="A34" s="41"/>
      <c r="B34" s="41"/>
      <c r="C34" s="41"/>
      <c r="D34" s="41"/>
      <c r="E34" s="41"/>
      <c r="F34" s="41"/>
      <c r="G34" s="41"/>
      <c r="H34" s="41"/>
      <c r="I34" s="121"/>
    </row>
    <row r="35" spans="1:9" x14ac:dyDescent="0.3">
      <c r="A35" s="41"/>
      <c r="B35" s="41"/>
      <c r="C35" s="41"/>
      <c r="D35" s="41"/>
      <c r="E35" s="41"/>
      <c r="F35" s="41"/>
      <c r="G35" s="41"/>
      <c r="H35" s="41"/>
      <c r="I35" s="121"/>
    </row>
    <row r="36" spans="1:9" x14ac:dyDescent="0.3">
      <c r="A36" s="41"/>
      <c r="B36" s="41"/>
      <c r="C36" s="41"/>
      <c r="D36" s="41"/>
      <c r="E36" s="41"/>
      <c r="F36" s="41"/>
      <c r="G36" s="41"/>
      <c r="H36" s="41"/>
      <c r="I36" s="121"/>
    </row>
    <row r="37" spans="1:9" x14ac:dyDescent="0.3">
      <c r="A37" s="41"/>
      <c r="B37" s="41"/>
      <c r="C37" s="41"/>
      <c r="D37" s="41"/>
      <c r="E37" s="41"/>
      <c r="F37" s="41"/>
      <c r="G37" s="41"/>
      <c r="H37" s="41"/>
      <c r="I37" s="121"/>
    </row>
    <row r="38" spans="1:9" x14ac:dyDescent="0.3">
      <c r="A38" s="41"/>
      <c r="B38" s="41"/>
      <c r="C38" s="41"/>
      <c r="D38" s="41"/>
      <c r="E38" s="41"/>
      <c r="F38" s="41"/>
      <c r="G38" s="41"/>
      <c r="H38" s="41"/>
      <c r="I38" s="121"/>
    </row>
    <row r="39" spans="1:9" x14ac:dyDescent="0.3">
      <c r="A39" s="41"/>
      <c r="B39" s="41"/>
      <c r="C39" s="41"/>
      <c r="D39" s="41"/>
      <c r="E39" s="41"/>
      <c r="F39" s="41"/>
      <c r="G39" s="41"/>
      <c r="H39" s="41"/>
      <c r="I39" s="121"/>
    </row>
    <row r="40" spans="1:9" x14ac:dyDescent="0.3">
      <c r="A40" s="41"/>
      <c r="B40" s="41"/>
      <c r="C40" s="41"/>
      <c r="D40" s="41"/>
      <c r="E40" s="41"/>
      <c r="F40" s="41"/>
      <c r="G40" s="41"/>
      <c r="H40" s="41"/>
      <c r="I40" s="121"/>
    </row>
    <row r="41" spans="1:9" x14ac:dyDescent="0.3">
      <c r="A41" s="41"/>
      <c r="B41" s="41"/>
      <c r="C41" s="41"/>
      <c r="D41" s="41"/>
      <c r="E41" s="41"/>
      <c r="F41" s="41"/>
      <c r="G41" s="41"/>
      <c r="H41" s="41"/>
      <c r="I41" s="121"/>
    </row>
  </sheetData>
  <mergeCells count="7">
    <mergeCell ref="A1:C1"/>
    <mergeCell ref="B7:D7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scale="66" fitToHeight="0" orientation="landscape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I47"/>
  <sheetViews>
    <sheetView zoomScale="80" zoomScaleNormal="80" workbookViewId="0">
      <selection activeCell="G19" sqref="G19"/>
    </sheetView>
  </sheetViews>
  <sheetFormatPr defaultColWidth="9.109375" defaultRowHeight="14.4" x14ac:dyDescent="0.3"/>
  <cols>
    <col min="1" max="1" width="23.6640625" style="48" bestFit="1" customWidth="1"/>
    <col min="2" max="2" width="16.6640625" style="48" bestFit="1" customWidth="1"/>
    <col min="3" max="3" width="20.44140625" style="48" bestFit="1" customWidth="1"/>
    <col min="4" max="4" width="27" style="48" bestFit="1" customWidth="1"/>
    <col min="5" max="5" width="18.6640625" style="48" customWidth="1"/>
    <col min="6" max="6" width="20.33203125" style="48" bestFit="1" customWidth="1"/>
    <col min="7" max="7" width="18.6640625" style="48" customWidth="1"/>
    <col min="8" max="8" width="36.6640625" style="48" customWidth="1"/>
    <col min="9" max="16384" width="9.109375" style="48"/>
  </cols>
  <sheetData>
    <row r="1" spans="1:9" ht="34.200000000000003" thickBot="1" x14ac:dyDescent="0.7">
      <c r="A1" s="197" t="s">
        <v>174</v>
      </c>
      <c r="B1" s="197"/>
      <c r="C1" s="197"/>
      <c r="D1" s="197"/>
    </row>
    <row r="2" spans="1:9" x14ac:dyDescent="0.3">
      <c r="A2" s="32" t="s">
        <v>16</v>
      </c>
      <c r="B2" s="180" t="str">
        <f>CONCATENATE(ExpID,"-",StnNum,"-",StnDay)</f>
        <v>KF2025-6-1</v>
      </c>
      <c r="C2" s="180"/>
      <c r="D2" s="73"/>
    </row>
    <row r="3" spans="1:9" x14ac:dyDescent="0.3">
      <c r="A3" s="33" t="s">
        <v>131</v>
      </c>
      <c r="B3" s="181" t="s">
        <v>178</v>
      </c>
      <c r="C3" s="181"/>
      <c r="D3" s="77"/>
    </row>
    <row r="4" spans="1:9" x14ac:dyDescent="0.3">
      <c r="A4" s="33" t="s">
        <v>4</v>
      </c>
      <c r="B4" s="182">
        <f>ObsDate</f>
        <v>45779</v>
      </c>
      <c r="C4" s="182"/>
      <c r="D4" s="77"/>
    </row>
    <row r="5" spans="1:9" x14ac:dyDescent="0.3">
      <c r="A5" s="34" t="s">
        <v>106</v>
      </c>
      <c r="B5" s="192"/>
      <c r="C5" s="192"/>
      <c r="D5" s="77"/>
    </row>
    <row r="6" spans="1:9" x14ac:dyDescent="0.3">
      <c r="A6" s="34" t="s">
        <v>120</v>
      </c>
      <c r="B6" s="173" t="s">
        <v>179</v>
      </c>
      <c r="C6" s="174"/>
      <c r="D6" s="77"/>
    </row>
    <row r="7" spans="1:9" x14ac:dyDescent="0.3">
      <c r="A7" s="198" t="s">
        <v>164</v>
      </c>
      <c r="B7" s="199"/>
      <c r="C7" s="40" t="s">
        <v>162</v>
      </c>
      <c r="D7" s="77"/>
      <c r="E7" s="84"/>
      <c r="F7" s="74"/>
      <c r="G7" s="74"/>
      <c r="H7" s="76"/>
      <c r="I7" s="75"/>
    </row>
    <row r="8" spans="1:9" ht="30" customHeight="1" thickBot="1" x14ac:dyDescent="0.35">
      <c r="A8" s="35" t="s">
        <v>15</v>
      </c>
      <c r="B8" s="194" t="s">
        <v>198</v>
      </c>
      <c r="C8" s="195"/>
      <c r="D8" s="196"/>
    </row>
    <row r="10" spans="1:9" ht="15" thickBot="1" x14ac:dyDescent="0.35">
      <c r="A10" s="50" t="s">
        <v>77</v>
      </c>
      <c r="D10" s="50" t="s">
        <v>108</v>
      </c>
    </row>
    <row r="11" spans="1:9" x14ac:dyDescent="0.3">
      <c r="A11" s="15" t="s">
        <v>121</v>
      </c>
      <c r="B11" s="89"/>
      <c r="D11" s="15" t="s">
        <v>137</v>
      </c>
      <c r="E11" s="92"/>
    </row>
    <row r="12" spans="1:9" x14ac:dyDescent="0.3">
      <c r="A12" s="16" t="s">
        <v>122</v>
      </c>
      <c r="B12" s="90"/>
      <c r="D12" s="16" t="s">
        <v>138</v>
      </c>
      <c r="E12" s="93">
        <v>22.5</v>
      </c>
    </row>
    <row r="13" spans="1:9" x14ac:dyDescent="0.3">
      <c r="A13" s="16" t="s">
        <v>123</v>
      </c>
      <c r="B13" s="90"/>
      <c r="D13" s="16" t="s">
        <v>139</v>
      </c>
      <c r="E13" s="93">
        <v>22</v>
      </c>
    </row>
    <row r="14" spans="1:9" ht="15" thickBot="1" x14ac:dyDescent="0.35">
      <c r="A14" s="18" t="s">
        <v>124</v>
      </c>
      <c r="B14" s="91"/>
      <c r="D14" s="16" t="s">
        <v>135</v>
      </c>
      <c r="E14" s="93"/>
    </row>
    <row r="15" spans="1:9" x14ac:dyDescent="0.3">
      <c r="D15" s="16" t="s">
        <v>136</v>
      </c>
      <c r="E15" s="93"/>
    </row>
    <row r="16" spans="1:9" ht="15" thickBot="1" x14ac:dyDescent="0.35">
      <c r="D16" s="18" t="s">
        <v>148</v>
      </c>
      <c r="E16" s="94">
        <v>6</v>
      </c>
    </row>
    <row r="17" spans="1:6" ht="15" thickBot="1" x14ac:dyDescent="0.35"/>
    <row r="18" spans="1:6" x14ac:dyDescent="0.3">
      <c r="A18" s="15" t="s">
        <v>167</v>
      </c>
      <c r="B18" s="95">
        <v>23</v>
      </c>
      <c r="C18" s="85"/>
      <c r="D18" s="86"/>
    </row>
    <row r="19" spans="1:6" x14ac:dyDescent="0.3">
      <c r="A19" s="16" t="s">
        <v>126</v>
      </c>
      <c r="B19" s="96">
        <v>1</v>
      </c>
      <c r="C19" s="59"/>
      <c r="D19" s="87"/>
    </row>
    <row r="20" spans="1:6" ht="15" thickBot="1" x14ac:dyDescent="0.35">
      <c r="A20" s="18" t="s">
        <v>125</v>
      </c>
      <c r="B20" s="88"/>
      <c r="C20" s="88"/>
      <c r="D20" s="36">
        <v>23</v>
      </c>
    </row>
    <row r="21" spans="1:6" ht="15" thickBot="1" x14ac:dyDescent="0.35"/>
    <row r="22" spans="1:6" ht="15" thickBot="1" x14ac:dyDescent="0.35">
      <c r="A22" s="37" t="s">
        <v>117</v>
      </c>
      <c r="B22" s="39" t="s">
        <v>140</v>
      </c>
      <c r="C22" s="39" t="s">
        <v>141</v>
      </c>
      <c r="D22" s="39" t="s">
        <v>142</v>
      </c>
      <c r="E22" s="201" t="s">
        <v>13</v>
      </c>
      <c r="F22" s="202"/>
    </row>
    <row r="23" spans="1:6" x14ac:dyDescent="0.3">
      <c r="A23" s="99">
        <v>1</v>
      </c>
      <c r="B23" s="100">
        <v>0</v>
      </c>
      <c r="C23" s="100">
        <v>23</v>
      </c>
      <c r="D23" s="100">
        <v>23</v>
      </c>
      <c r="E23" s="203" t="s">
        <v>199</v>
      </c>
      <c r="F23" s="203"/>
    </row>
    <row r="24" spans="1:6" x14ac:dyDescent="0.3">
      <c r="A24" s="101"/>
      <c r="B24" s="102"/>
      <c r="C24" s="102"/>
      <c r="D24" s="102"/>
      <c r="E24" s="200"/>
      <c r="F24" s="200"/>
    </row>
    <row r="25" spans="1:6" x14ac:dyDescent="0.3">
      <c r="A25" s="101"/>
      <c r="B25" s="102"/>
      <c r="C25" s="102"/>
      <c r="D25" s="102"/>
      <c r="E25" s="200"/>
      <c r="F25" s="200"/>
    </row>
    <row r="26" spans="1:6" x14ac:dyDescent="0.3">
      <c r="A26" s="101"/>
      <c r="B26" s="102"/>
      <c r="C26" s="102"/>
      <c r="D26" s="102"/>
      <c r="E26" s="200"/>
      <c r="F26" s="200"/>
    </row>
    <row r="27" spans="1:6" x14ac:dyDescent="0.3">
      <c r="A27" s="101"/>
      <c r="B27" s="102"/>
      <c r="C27" s="102"/>
      <c r="D27" s="102"/>
      <c r="E27" s="200"/>
      <c r="F27" s="200"/>
    </row>
    <row r="28" spans="1:6" x14ac:dyDescent="0.3">
      <c r="A28" s="101"/>
      <c r="B28" s="102"/>
      <c r="C28" s="102"/>
      <c r="D28" s="102"/>
      <c r="E28" s="200"/>
      <c r="F28" s="200"/>
    </row>
    <row r="29" spans="1:6" x14ac:dyDescent="0.3">
      <c r="A29" s="101"/>
      <c r="B29" s="102"/>
      <c r="C29" s="102"/>
      <c r="D29" s="102"/>
      <c r="E29" s="200"/>
      <c r="F29" s="200"/>
    </row>
    <row r="30" spans="1:6" x14ac:dyDescent="0.3">
      <c r="A30" s="101"/>
      <c r="B30" s="102"/>
      <c r="C30" s="102"/>
      <c r="D30" s="102"/>
      <c r="E30" s="200"/>
      <c r="F30" s="200"/>
    </row>
    <row r="31" spans="1:6" x14ac:dyDescent="0.3">
      <c r="A31" s="101"/>
      <c r="B31" s="102"/>
      <c r="C31" s="102"/>
      <c r="D31" s="102"/>
      <c r="E31" s="200"/>
      <c r="F31" s="200"/>
    </row>
    <row r="32" spans="1:6" x14ac:dyDescent="0.3">
      <c r="A32" s="101"/>
      <c r="B32" s="102"/>
      <c r="C32" s="102"/>
      <c r="D32" s="102"/>
      <c r="E32" s="200"/>
      <c r="F32" s="200"/>
    </row>
    <row r="33" spans="1:6" x14ac:dyDescent="0.3">
      <c r="A33" s="101"/>
      <c r="B33" s="102"/>
      <c r="C33" s="102"/>
      <c r="D33" s="102"/>
      <c r="E33" s="200"/>
      <c r="F33" s="200"/>
    </row>
    <row r="34" spans="1:6" x14ac:dyDescent="0.3">
      <c r="A34" s="101"/>
      <c r="B34" s="102"/>
      <c r="C34" s="102"/>
      <c r="D34" s="102"/>
      <c r="E34" s="200"/>
      <c r="F34" s="200"/>
    </row>
    <row r="35" spans="1:6" x14ac:dyDescent="0.3">
      <c r="A35" s="101"/>
      <c r="B35" s="102"/>
      <c r="C35" s="102"/>
      <c r="D35" s="102"/>
      <c r="E35" s="200"/>
      <c r="F35" s="200"/>
    </row>
    <row r="36" spans="1:6" x14ac:dyDescent="0.3">
      <c r="A36" s="101"/>
      <c r="B36" s="102"/>
      <c r="C36" s="102"/>
      <c r="D36" s="102"/>
      <c r="E36" s="200"/>
      <c r="F36" s="200"/>
    </row>
    <row r="37" spans="1:6" x14ac:dyDescent="0.3">
      <c r="A37" s="101"/>
      <c r="B37" s="102"/>
      <c r="C37" s="102"/>
      <c r="D37" s="102"/>
      <c r="E37" s="200"/>
      <c r="F37" s="200"/>
    </row>
    <row r="38" spans="1:6" x14ac:dyDescent="0.3">
      <c r="A38" s="101"/>
      <c r="B38" s="102"/>
      <c r="C38" s="102"/>
      <c r="D38" s="102"/>
      <c r="E38" s="200"/>
      <c r="F38" s="200"/>
    </row>
    <row r="39" spans="1:6" x14ac:dyDescent="0.3">
      <c r="A39" s="101"/>
      <c r="B39" s="102"/>
      <c r="C39" s="102"/>
      <c r="D39" s="102"/>
      <c r="E39" s="200"/>
      <c r="F39" s="200"/>
    </row>
    <row r="40" spans="1:6" x14ac:dyDescent="0.3">
      <c r="A40" s="101"/>
      <c r="B40" s="102"/>
      <c r="C40" s="102"/>
      <c r="D40" s="102"/>
      <c r="E40" s="200"/>
      <c r="F40" s="200"/>
    </row>
    <row r="41" spans="1:6" x14ac:dyDescent="0.3">
      <c r="A41" s="101"/>
      <c r="B41" s="102"/>
      <c r="C41" s="102"/>
      <c r="D41" s="102"/>
      <c r="E41" s="200"/>
      <c r="F41" s="200"/>
    </row>
    <row r="42" spans="1:6" x14ac:dyDescent="0.3">
      <c r="A42" s="101"/>
      <c r="B42" s="102"/>
      <c r="C42" s="102"/>
      <c r="D42" s="102"/>
      <c r="E42" s="200"/>
      <c r="F42" s="200"/>
    </row>
    <row r="43" spans="1:6" x14ac:dyDescent="0.3">
      <c r="A43" s="101"/>
      <c r="B43" s="102"/>
      <c r="C43" s="102"/>
      <c r="D43" s="102"/>
      <c r="E43" s="200"/>
      <c r="F43" s="200"/>
    </row>
    <row r="44" spans="1:6" x14ac:dyDescent="0.3">
      <c r="A44" s="101"/>
      <c r="B44" s="102"/>
      <c r="C44" s="102"/>
      <c r="D44" s="102"/>
      <c r="E44" s="200"/>
      <c r="F44" s="200"/>
    </row>
    <row r="45" spans="1:6" x14ac:dyDescent="0.3">
      <c r="A45" s="101"/>
      <c r="B45" s="102"/>
      <c r="C45" s="102"/>
      <c r="D45" s="102"/>
      <c r="E45" s="200"/>
      <c r="F45" s="200"/>
    </row>
    <row r="46" spans="1:6" x14ac:dyDescent="0.3">
      <c r="A46" s="101"/>
      <c r="B46" s="102"/>
      <c r="C46" s="102"/>
      <c r="D46" s="102"/>
      <c r="E46" s="200"/>
      <c r="F46" s="200"/>
    </row>
    <row r="47" spans="1:6" x14ac:dyDescent="0.3">
      <c r="A47" s="101"/>
      <c r="B47" s="102"/>
      <c r="C47" s="102"/>
      <c r="D47" s="102"/>
      <c r="E47" s="200"/>
      <c r="F47" s="200"/>
    </row>
  </sheetData>
  <mergeCells count="34"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</mergeCells>
  <dataValidations count="1">
    <dataValidation type="list" allowBlank="1" showInputMessage="1" showErrorMessage="1" sqref="C7" xr:uid="{00000000-0002-0000-0400-000000000000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BCF18-E652-4762-A293-2037B212F0B0}">
  <sheetPr>
    <tabColor rgb="FF92D050"/>
    <pageSetUpPr fitToPage="1"/>
  </sheetPr>
  <dimension ref="A1:I47"/>
  <sheetViews>
    <sheetView zoomScale="80" zoomScaleNormal="80" workbookViewId="0">
      <selection activeCell="B8" sqref="B8:D8"/>
    </sheetView>
  </sheetViews>
  <sheetFormatPr defaultColWidth="9.109375" defaultRowHeight="14.4" x14ac:dyDescent="0.3"/>
  <cols>
    <col min="1" max="1" width="23.6640625" style="48" bestFit="1" customWidth="1"/>
    <col min="2" max="2" width="16.6640625" style="48" bestFit="1" customWidth="1"/>
    <col min="3" max="3" width="20.44140625" style="48" bestFit="1" customWidth="1"/>
    <col min="4" max="4" width="27" style="48" bestFit="1" customWidth="1"/>
    <col min="5" max="5" width="18.6640625" style="48" customWidth="1"/>
    <col min="6" max="6" width="20.33203125" style="48" bestFit="1" customWidth="1"/>
    <col min="7" max="7" width="18.6640625" style="48" customWidth="1"/>
    <col min="8" max="8" width="36.6640625" style="48" customWidth="1"/>
    <col min="9" max="16384" width="9.109375" style="48"/>
  </cols>
  <sheetData>
    <row r="1" spans="1:9" ht="34.200000000000003" thickBot="1" x14ac:dyDescent="0.7">
      <c r="A1" s="197" t="s">
        <v>208</v>
      </c>
      <c r="B1" s="197"/>
      <c r="C1" s="197"/>
      <c r="D1" s="197"/>
    </row>
    <row r="2" spans="1:9" x14ac:dyDescent="0.3">
      <c r="A2" s="32" t="s">
        <v>16</v>
      </c>
      <c r="B2" s="180" t="str">
        <f>CONCATENATE(ExpID,"-",StnNum,"-",StnDay)</f>
        <v>KF2025-6-1</v>
      </c>
      <c r="C2" s="180"/>
      <c r="D2" s="73"/>
    </row>
    <row r="3" spans="1:9" x14ac:dyDescent="0.3">
      <c r="A3" s="33" t="s">
        <v>131</v>
      </c>
      <c r="B3" s="181" t="s">
        <v>178</v>
      </c>
      <c r="C3" s="181"/>
      <c r="D3" s="77"/>
    </row>
    <row r="4" spans="1:9" x14ac:dyDescent="0.3">
      <c r="A4" s="33" t="s">
        <v>4</v>
      </c>
      <c r="B4" s="182">
        <f>ObsDate</f>
        <v>45779</v>
      </c>
      <c r="C4" s="182"/>
      <c r="D4" s="77"/>
    </row>
    <row r="5" spans="1:9" x14ac:dyDescent="0.3">
      <c r="A5" s="34" t="s">
        <v>106</v>
      </c>
      <c r="B5" s="192"/>
      <c r="C5" s="192"/>
      <c r="D5" s="77"/>
    </row>
    <row r="6" spans="1:9" x14ac:dyDescent="0.3">
      <c r="A6" s="34" t="s">
        <v>120</v>
      </c>
      <c r="B6" s="173" t="s">
        <v>179</v>
      </c>
      <c r="C6" s="174"/>
      <c r="D6" s="77"/>
    </row>
    <row r="7" spans="1:9" x14ac:dyDescent="0.3">
      <c r="A7" s="198" t="s">
        <v>164</v>
      </c>
      <c r="B7" s="199"/>
      <c r="C7" s="40" t="s">
        <v>162</v>
      </c>
      <c r="D7" s="77"/>
      <c r="E7" s="84"/>
      <c r="F7" s="74"/>
      <c r="G7" s="74"/>
      <c r="H7" s="76"/>
      <c r="I7" s="75"/>
    </row>
    <row r="8" spans="1:9" ht="30" customHeight="1" thickBot="1" x14ac:dyDescent="0.35">
      <c r="A8" s="35" t="s">
        <v>15</v>
      </c>
      <c r="B8" s="194" t="s">
        <v>216</v>
      </c>
      <c r="C8" s="195"/>
      <c r="D8" s="196"/>
    </row>
    <row r="10" spans="1:9" ht="15" thickBot="1" x14ac:dyDescent="0.35">
      <c r="A10" s="50" t="s">
        <v>77</v>
      </c>
      <c r="D10" s="50" t="s">
        <v>108</v>
      </c>
    </row>
    <row r="11" spans="1:9" x14ac:dyDescent="0.3">
      <c r="A11" s="15" t="s">
        <v>121</v>
      </c>
      <c r="B11" s="89"/>
      <c r="D11" s="15" t="s">
        <v>137</v>
      </c>
      <c r="E11" s="92"/>
    </row>
    <row r="12" spans="1:9" x14ac:dyDescent="0.3">
      <c r="A12" s="16" t="s">
        <v>122</v>
      </c>
      <c r="B12" s="90"/>
      <c r="D12" s="16" t="s">
        <v>138</v>
      </c>
      <c r="E12" s="93"/>
    </row>
    <row r="13" spans="1:9" x14ac:dyDescent="0.3">
      <c r="A13" s="16" t="s">
        <v>123</v>
      </c>
      <c r="B13" s="90"/>
      <c r="D13" s="16" t="s">
        <v>139</v>
      </c>
      <c r="E13" s="93"/>
    </row>
    <row r="14" spans="1:9" ht="15" thickBot="1" x14ac:dyDescent="0.35">
      <c r="A14" s="18" t="s">
        <v>124</v>
      </c>
      <c r="B14" s="91"/>
      <c r="D14" s="16" t="s">
        <v>135</v>
      </c>
      <c r="E14" s="93"/>
    </row>
    <row r="15" spans="1:9" x14ac:dyDescent="0.3">
      <c r="D15" s="16" t="s">
        <v>136</v>
      </c>
      <c r="E15" s="93"/>
    </row>
    <row r="16" spans="1:9" ht="15" thickBot="1" x14ac:dyDescent="0.35">
      <c r="D16" s="18" t="s">
        <v>148</v>
      </c>
      <c r="E16" s="94">
        <v>6</v>
      </c>
    </row>
    <row r="17" spans="1:6" ht="15" thickBot="1" x14ac:dyDescent="0.35"/>
    <row r="18" spans="1:6" x14ac:dyDescent="0.3">
      <c r="A18" s="15" t="s">
        <v>167</v>
      </c>
      <c r="B18" s="95">
        <v>23</v>
      </c>
      <c r="C18" s="85"/>
      <c r="D18" s="86"/>
    </row>
    <row r="19" spans="1:6" x14ac:dyDescent="0.3">
      <c r="A19" s="16" t="s">
        <v>126</v>
      </c>
      <c r="B19" s="96">
        <v>1</v>
      </c>
      <c r="C19" s="59"/>
      <c r="D19" s="87"/>
    </row>
    <row r="20" spans="1:6" ht="15" thickBot="1" x14ac:dyDescent="0.35">
      <c r="A20" s="18" t="s">
        <v>125</v>
      </c>
      <c r="B20" s="88"/>
      <c r="C20" s="88"/>
      <c r="D20" s="36">
        <v>23</v>
      </c>
    </row>
    <row r="21" spans="1:6" ht="15" thickBot="1" x14ac:dyDescent="0.35"/>
    <row r="22" spans="1:6" ht="15" thickBot="1" x14ac:dyDescent="0.35">
      <c r="A22" s="37" t="s">
        <v>117</v>
      </c>
      <c r="B22" s="39" t="s">
        <v>140</v>
      </c>
      <c r="C22" s="39" t="s">
        <v>141</v>
      </c>
      <c r="D22" s="39" t="s">
        <v>142</v>
      </c>
      <c r="E22" s="201" t="s">
        <v>13</v>
      </c>
      <c r="F22" s="202"/>
    </row>
    <row r="23" spans="1:6" x14ac:dyDescent="0.3">
      <c r="A23" s="99">
        <v>1</v>
      </c>
      <c r="B23" s="100">
        <v>0</v>
      </c>
      <c r="C23" s="100">
        <v>23</v>
      </c>
      <c r="D23" s="100">
        <v>23</v>
      </c>
      <c r="E23" s="203" t="s">
        <v>209</v>
      </c>
      <c r="F23" s="203"/>
    </row>
    <row r="24" spans="1:6" x14ac:dyDescent="0.3">
      <c r="A24" s="101"/>
      <c r="B24" s="102"/>
      <c r="C24" s="102"/>
      <c r="D24" s="102">
        <v>23</v>
      </c>
      <c r="E24" s="203" t="s">
        <v>210</v>
      </c>
      <c r="F24" s="203"/>
    </row>
    <row r="25" spans="1:6" x14ac:dyDescent="0.3">
      <c r="A25" s="101"/>
      <c r="B25" s="102"/>
      <c r="C25" s="102"/>
      <c r="D25" s="102">
        <v>23</v>
      </c>
      <c r="E25" s="203" t="s">
        <v>211</v>
      </c>
      <c r="F25" s="203"/>
    </row>
    <row r="26" spans="1:6" x14ac:dyDescent="0.3">
      <c r="A26" s="101"/>
      <c r="B26" s="102"/>
      <c r="C26" s="102"/>
      <c r="D26" s="102"/>
      <c r="E26" s="200"/>
      <c r="F26" s="200"/>
    </row>
    <row r="27" spans="1:6" x14ac:dyDescent="0.3">
      <c r="A27" s="101"/>
      <c r="B27" s="102"/>
      <c r="C27" s="102"/>
      <c r="D27" s="102"/>
      <c r="E27" s="200"/>
      <c r="F27" s="200"/>
    </row>
    <row r="28" spans="1:6" x14ac:dyDescent="0.3">
      <c r="A28" s="101"/>
      <c r="B28" s="102"/>
      <c r="C28" s="102"/>
      <c r="D28" s="102"/>
      <c r="E28" s="200"/>
      <c r="F28" s="200"/>
    </row>
    <row r="29" spans="1:6" x14ac:dyDescent="0.3">
      <c r="A29" s="101"/>
      <c r="B29" s="102"/>
      <c r="C29" s="102"/>
      <c r="D29" s="102"/>
      <c r="E29" s="200"/>
      <c r="F29" s="200"/>
    </row>
    <row r="30" spans="1:6" x14ac:dyDescent="0.3">
      <c r="A30" s="101"/>
      <c r="B30" s="102"/>
      <c r="C30" s="102"/>
      <c r="D30" s="102"/>
      <c r="E30" s="200"/>
      <c r="F30" s="200"/>
    </row>
    <row r="31" spans="1:6" x14ac:dyDescent="0.3">
      <c r="A31" s="101"/>
      <c r="B31" s="102"/>
      <c r="C31" s="102"/>
      <c r="D31" s="102"/>
      <c r="E31" s="200"/>
      <c r="F31" s="200"/>
    </row>
    <row r="32" spans="1:6" x14ac:dyDescent="0.3">
      <c r="A32" s="101"/>
      <c r="B32" s="102"/>
      <c r="C32" s="102"/>
      <c r="D32" s="102"/>
      <c r="E32" s="200"/>
      <c r="F32" s="200"/>
    </row>
    <row r="33" spans="1:6" x14ac:dyDescent="0.3">
      <c r="A33" s="101"/>
      <c r="B33" s="102"/>
      <c r="C33" s="102"/>
      <c r="D33" s="102"/>
      <c r="E33" s="200"/>
      <c r="F33" s="200"/>
    </row>
    <row r="34" spans="1:6" x14ac:dyDescent="0.3">
      <c r="A34" s="101"/>
      <c r="B34" s="102"/>
      <c r="C34" s="102"/>
      <c r="D34" s="102"/>
      <c r="E34" s="200"/>
      <c r="F34" s="200"/>
    </row>
    <row r="35" spans="1:6" x14ac:dyDescent="0.3">
      <c r="A35" s="101"/>
      <c r="B35" s="102"/>
      <c r="C35" s="102"/>
      <c r="D35" s="102"/>
      <c r="E35" s="200"/>
      <c r="F35" s="200"/>
    </row>
    <row r="36" spans="1:6" x14ac:dyDescent="0.3">
      <c r="A36" s="101"/>
      <c r="B36" s="102"/>
      <c r="C36" s="102"/>
      <c r="D36" s="102"/>
      <c r="E36" s="200"/>
      <c r="F36" s="200"/>
    </row>
    <row r="37" spans="1:6" x14ac:dyDescent="0.3">
      <c r="A37" s="101"/>
      <c r="B37" s="102"/>
      <c r="C37" s="102"/>
      <c r="D37" s="102"/>
      <c r="E37" s="200"/>
      <c r="F37" s="200"/>
    </row>
    <row r="38" spans="1:6" x14ac:dyDescent="0.3">
      <c r="A38" s="101"/>
      <c r="B38" s="102"/>
      <c r="C38" s="102"/>
      <c r="D38" s="102"/>
      <c r="E38" s="200"/>
      <c r="F38" s="200"/>
    </row>
    <row r="39" spans="1:6" x14ac:dyDescent="0.3">
      <c r="A39" s="101"/>
      <c r="B39" s="102"/>
      <c r="C39" s="102"/>
      <c r="D39" s="102"/>
      <c r="E39" s="200"/>
      <c r="F39" s="200"/>
    </row>
    <row r="40" spans="1:6" x14ac:dyDescent="0.3">
      <c r="A40" s="101"/>
      <c r="B40" s="102"/>
      <c r="C40" s="102"/>
      <c r="D40" s="102"/>
      <c r="E40" s="200"/>
      <c r="F40" s="200"/>
    </row>
    <row r="41" spans="1:6" x14ac:dyDescent="0.3">
      <c r="A41" s="101"/>
      <c r="B41" s="102"/>
      <c r="C41" s="102"/>
      <c r="D41" s="102"/>
      <c r="E41" s="200"/>
      <c r="F41" s="200"/>
    </row>
    <row r="42" spans="1:6" x14ac:dyDescent="0.3">
      <c r="A42" s="101"/>
      <c r="B42" s="102"/>
      <c r="C42" s="102"/>
      <c r="D42" s="102"/>
      <c r="E42" s="200"/>
      <c r="F42" s="200"/>
    </row>
    <row r="43" spans="1:6" x14ac:dyDescent="0.3">
      <c r="A43" s="101"/>
      <c r="B43" s="102"/>
      <c r="C43" s="102"/>
      <c r="D43" s="102"/>
      <c r="E43" s="200"/>
      <c r="F43" s="200"/>
    </row>
    <row r="44" spans="1:6" x14ac:dyDescent="0.3">
      <c r="A44" s="101"/>
      <c r="B44" s="102"/>
      <c r="C44" s="102"/>
      <c r="D44" s="102"/>
      <c r="E44" s="200"/>
      <c r="F44" s="200"/>
    </row>
    <row r="45" spans="1:6" x14ac:dyDescent="0.3">
      <c r="A45" s="101"/>
      <c r="B45" s="102"/>
      <c r="C45" s="102"/>
      <c r="D45" s="102"/>
      <c r="E45" s="200"/>
      <c r="F45" s="200"/>
    </row>
    <row r="46" spans="1:6" x14ac:dyDescent="0.3">
      <c r="A46" s="101"/>
      <c r="B46" s="102"/>
      <c r="C46" s="102"/>
      <c r="D46" s="102"/>
      <c r="E46" s="200"/>
      <c r="F46" s="200"/>
    </row>
    <row r="47" spans="1:6" x14ac:dyDescent="0.3">
      <c r="A47" s="101"/>
      <c r="B47" s="102"/>
      <c r="C47" s="102"/>
      <c r="D47" s="102"/>
      <c r="E47" s="200"/>
      <c r="F47" s="200"/>
    </row>
  </sheetData>
  <mergeCells count="34"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</mergeCells>
  <dataValidations count="1">
    <dataValidation type="list" allowBlank="1" showInputMessage="1" showErrorMessage="1" sqref="C7" xr:uid="{7C74C3DD-73EC-44A1-AD81-41BFA2C4A985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C13E8-DDB7-45ED-8BF3-0D5D7CFF2CA8}">
  <sheetPr>
    <tabColor rgb="FF92D050"/>
    <pageSetUpPr fitToPage="1"/>
  </sheetPr>
  <dimension ref="A1:I47"/>
  <sheetViews>
    <sheetView zoomScale="80" zoomScaleNormal="80" workbookViewId="0">
      <selection activeCell="H15" sqref="H15"/>
    </sheetView>
  </sheetViews>
  <sheetFormatPr defaultColWidth="9.109375" defaultRowHeight="14.4" x14ac:dyDescent="0.3"/>
  <cols>
    <col min="1" max="1" width="23.6640625" style="48" bestFit="1" customWidth="1"/>
    <col min="2" max="2" width="16.6640625" style="48" bestFit="1" customWidth="1"/>
    <col min="3" max="3" width="20.44140625" style="48" bestFit="1" customWidth="1"/>
    <col min="4" max="4" width="27" style="48" bestFit="1" customWidth="1"/>
    <col min="5" max="5" width="18.6640625" style="48" customWidth="1"/>
    <col min="6" max="6" width="20.33203125" style="48" bestFit="1" customWidth="1"/>
    <col min="7" max="7" width="18.6640625" style="48" customWidth="1"/>
    <col min="8" max="8" width="36.6640625" style="48" customWidth="1"/>
    <col min="9" max="16384" width="9.109375" style="48"/>
  </cols>
  <sheetData>
    <row r="1" spans="1:9" ht="34.200000000000003" thickBot="1" x14ac:dyDescent="0.7">
      <c r="A1" s="197" t="s">
        <v>215</v>
      </c>
      <c r="B1" s="197"/>
      <c r="C1" s="197"/>
      <c r="D1" s="197"/>
    </row>
    <row r="2" spans="1:9" x14ac:dyDescent="0.3">
      <c r="A2" s="32" t="s">
        <v>16</v>
      </c>
      <c r="B2" s="180" t="str">
        <f>CONCATENATE(ExpID,"-",StnNum,"-",StnDay)</f>
        <v>KF2025-6-1</v>
      </c>
      <c r="C2" s="180"/>
      <c r="D2" s="73"/>
    </row>
    <row r="3" spans="1:9" x14ac:dyDescent="0.3">
      <c r="A3" s="33" t="s">
        <v>131</v>
      </c>
      <c r="B3" s="181" t="s">
        <v>178</v>
      </c>
      <c r="C3" s="181"/>
      <c r="D3" s="77"/>
    </row>
    <row r="4" spans="1:9" x14ac:dyDescent="0.3">
      <c r="A4" s="33" t="s">
        <v>4</v>
      </c>
      <c r="B4" s="182">
        <f>ObsDate</f>
        <v>45779</v>
      </c>
      <c r="C4" s="182"/>
      <c r="D4" s="77"/>
    </row>
    <row r="5" spans="1:9" x14ac:dyDescent="0.3">
      <c r="A5" s="34" t="s">
        <v>106</v>
      </c>
      <c r="B5" s="192"/>
      <c r="C5" s="192"/>
      <c r="D5" s="77"/>
    </row>
    <row r="6" spans="1:9" x14ac:dyDescent="0.3">
      <c r="A6" s="34" t="s">
        <v>120</v>
      </c>
      <c r="B6" s="173" t="s">
        <v>179</v>
      </c>
      <c r="C6" s="174"/>
      <c r="D6" s="77"/>
    </row>
    <row r="7" spans="1:9" x14ac:dyDescent="0.3">
      <c r="A7" s="198" t="s">
        <v>164</v>
      </c>
      <c r="B7" s="199"/>
      <c r="C7" s="40" t="s">
        <v>162</v>
      </c>
      <c r="D7" s="77"/>
      <c r="E7" s="84"/>
      <c r="F7" s="74"/>
      <c r="G7" s="74"/>
      <c r="H7" s="76"/>
      <c r="I7" s="75"/>
    </row>
    <row r="8" spans="1:9" ht="30" customHeight="1" thickBot="1" x14ac:dyDescent="0.35">
      <c r="A8" s="35" t="s">
        <v>15</v>
      </c>
      <c r="B8" s="194" t="s">
        <v>214</v>
      </c>
      <c r="C8" s="195"/>
      <c r="D8" s="196"/>
    </row>
    <row r="10" spans="1:9" ht="15" thickBot="1" x14ac:dyDescent="0.35">
      <c r="A10" s="50" t="s">
        <v>77</v>
      </c>
      <c r="D10" s="50" t="s">
        <v>108</v>
      </c>
    </row>
    <row r="11" spans="1:9" x14ac:dyDescent="0.3">
      <c r="A11" s="15" t="s">
        <v>121</v>
      </c>
      <c r="B11" s="89"/>
      <c r="D11" s="15" t="s">
        <v>137</v>
      </c>
      <c r="E11" s="92"/>
    </row>
    <row r="12" spans="1:9" x14ac:dyDescent="0.3">
      <c r="A12" s="16" t="s">
        <v>122</v>
      </c>
      <c r="B12" s="90"/>
      <c r="D12" s="16" t="s">
        <v>138</v>
      </c>
      <c r="E12" s="93"/>
    </row>
    <row r="13" spans="1:9" x14ac:dyDescent="0.3">
      <c r="A13" s="16" t="s">
        <v>123</v>
      </c>
      <c r="B13" s="90"/>
      <c r="D13" s="16" t="s">
        <v>139</v>
      </c>
      <c r="E13" s="93"/>
    </row>
    <row r="14" spans="1:9" ht="15" thickBot="1" x14ac:dyDescent="0.35">
      <c r="A14" s="18" t="s">
        <v>124</v>
      </c>
      <c r="B14" s="91"/>
      <c r="D14" s="16" t="s">
        <v>135</v>
      </c>
      <c r="E14" s="93"/>
    </row>
    <row r="15" spans="1:9" x14ac:dyDescent="0.3">
      <c r="D15" s="16" t="s">
        <v>136</v>
      </c>
      <c r="E15" s="93"/>
    </row>
    <row r="16" spans="1:9" ht="15" thickBot="1" x14ac:dyDescent="0.35">
      <c r="D16" s="18" t="s">
        <v>148</v>
      </c>
      <c r="E16" s="94">
        <v>6</v>
      </c>
    </row>
    <row r="17" spans="1:6" ht="15" thickBot="1" x14ac:dyDescent="0.35"/>
    <row r="18" spans="1:6" x14ac:dyDescent="0.3">
      <c r="A18" s="15" t="s">
        <v>167</v>
      </c>
      <c r="B18" s="95">
        <v>23</v>
      </c>
      <c r="C18" s="85"/>
      <c r="D18" s="86"/>
    </row>
    <row r="19" spans="1:6" x14ac:dyDescent="0.3">
      <c r="A19" s="16" t="s">
        <v>126</v>
      </c>
      <c r="B19" s="96">
        <v>1</v>
      </c>
      <c r="C19" s="59"/>
      <c r="D19" s="87"/>
    </row>
    <row r="20" spans="1:6" ht="15" thickBot="1" x14ac:dyDescent="0.35">
      <c r="A20" s="18" t="s">
        <v>125</v>
      </c>
      <c r="B20" s="88"/>
      <c r="C20" s="88"/>
      <c r="D20" s="36">
        <v>23</v>
      </c>
    </row>
    <row r="21" spans="1:6" ht="15" thickBot="1" x14ac:dyDescent="0.35"/>
    <row r="22" spans="1:6" ht="15" thickBot="1" x14ac:dyDescent="0.35">
      <c r="A22" s="37" t="s">
        <v>117</v>
      </c>
      <c r="B22" s="39" t="s">
        <v>140</v>
      </c>
      <c r="C22" s="39" t="s">
        <v>141</v>
      </c>
      <c r="D22" s="39" t="s">
        <v>142</v>
      </c>
      <c r="E22" s="201" t="s">
        <v>13</v>
      </c>
      <c r="F22" s="202"/>
    </row>
    <row r="23" spans="1:6" x14ac:dyDescent="0.3">
      <c r="A23" s="99">
        <v>1</v>
      </c>
      <c r="B23" s="100">
        <v>0</v>
      </c>
      <c r="C23" s="100">
        <v>23</v>
      </c>
      <c r="D23" s="100">
        <v>23</v>
      </c>
      <c r="E23" s="203" t="s">
        <v>212</v>
      </c>
      <c r="F23" s="203"/>
    </row>
    <row r="24" spans="1:6" x14ac:dyDescent="0.3">
      <c r="A24" s="101"/>
      <c r="B24" s="102"/>
      <c r="C24" s="102"/>
      <c r="D24" s="102">
        <v>23</v>
      </c>
      <c r="E24" s="203" t="s">
        <v>213</v>
      </c>
      <c r="F24" s="203"/>
    </row>
    <row r="25" spans="1:6" x14ac:dyDescent="0.3">
      <c r="A25" s="101"/>
      <c r="B25" s="102"/>
      <c r="C25" s="102"/>
      <c r="D25" s="102"/>
      <c r="E25" s="203"/>
      <c r="F25" s="203"/>
    </row>
    <row r="26" spans="1:6" x14ac:dyDescent="0.3">
      <c r="A26" s="101"/>
      <c r="B26" s="102"/>
      <c r="C26" s="102"/>
      <c r="D26" s="102"/>
      <c r="E26" s="200"/>
      <c r="F26" s="200"/>
    </row>
    <row r="27" spans="1:6" x14ac:dyDescent="0.3">
      <c r="A27" s="101"/>
      <c r="B27" s="102"/>
      <c r="C27" s="102"/>
      <c r="D27" s="102"/>
      <c r="E27" s="200"/>
      <c r="F27" s="200"/>
    </row>
    <row r="28" spans="1:6" x14ac:dyDescent="0.3">
      <c r="A28" s="101"/>
      <c r="B28" s="102"/>
      <c r="C28" s="102"/>
      <c r="D28" s="102"/>
      <c r="E28" s="200"/>
      <c r="F28" s="200"/>
    </row>
    <row r="29" spans="1:6" x14ac:dyDescent="0.3">
      <c r="A29" s="101"/>
      <c r="B29" s="102"/>
      <c r="C29" s="102"/>
      <c r="D29" s="102"/>
      <c r="E29" s="200"/>
      <c r="F29" s="200"/>
    </row>
    <row r="30" spans="1:6" x14ac:dyDescent="0.3">
      <c r="A30" s="101"/>
      <c r="B30" s="102"/>
      <c r="C30" s="102"/>
      <c r="D30" s="102"/>
      <c r="E30" s="200"/>
      <c r="F30" s="200"/>
    </row>
    <row r="31" spans="1:6" x14ac:dyDescent="0.3">
      <c r="A31" s="101"/>
      <c r="B31" s="102"/>
      <c r="C31" s="102"/>
      <c r="D31" s="102"/>
      <c r="E31" s="200"/>
      <c r="F31" s="200"/>
    </row>
    <row r="32" spans="1:6" x14ac:dyDescent="0.3">
      <c r="A32" s="101"/>
      <c r="B32" s="102"/>
      <c r="C32" s="102"/>
      <c r="D32" s="102"/>
      <c r="E32" s="200"/>
      <c r="F32" s="200"/>
    </row>
    <row r="33" spans="1:6" x14ac:dyDescent="0.3">
      <c r="A33" s="101"/>
      <c r="B33" s="102"/>
      <c r="C33" s="102"/>
      <c r="D33" s="102"/>
      <c r="E33" s="200"/>
      <c r="F33" s="200"/>
    </row>
    <row r="34" spans="1:6" x14ac:dyDescent="0.3">
      <c r="A34" s="101"/>
      <c r="B34" s="102"/>
      <c r="C34" s="102"/>
      <c r="D34" s="102"/>
      <c r="E34" s="200"/>
      <c r="F34" s="200"/>
    </row>
    <row r="35" spans="1:6" x14ac:dyDescent="0.3">
      <c r="A35" s="101"/>
      <c r="B35" s="102"/>
      <c r="C35" s="102"/>
      <c r="D35" s="102"/>
      <c r="E35" s="200"/>
      <c r="F35" s="200"/>
    </row>
    <row r="36" spans="1:6" x14ac:dyDescent="0.3">
      <c r="A36" s="101"/>
      <c r="B36" s="102"/>
      <c r="C36" s="102"/>
      <c r="D36" s="102"/>
      <c r="E36" s="200"/>
      <c r="F36" s="200"/>
    </row>
    <row r="37" spans="1:6" x14ac:dyDescent="0.3">
      <c r="A37" s="101"/>
      <c r="B37" s="102"/>
      <c r="C37" s="102"/>
      <c r="D37" s="102"/>
      <c r="E37" s="200"/>
      <c r="F37" s="200"/>
    </row>
    <row r="38" spans="1:6" x14ac:dyDescent="0.3">
      <c r="A38" s="101"/>
      <c r="B38" s="102"/>
      <c r="C38" s="102"/>
      <c r="D38" s="102"/>
      <c r="E38" s="200"/>
      <c r="F38" s="200"/>
    </row>
    <row r="39" spans="1:6" x14ac:dyDescent="0.3">
      <c r="A39" s="101"/>
      <c r="B39" s="102"/>
      <c r="C39" s="102"/>
      <c r="D39" s="102"/>
      <c r="E39" s="200"/>
      <c r="F39" s="200"/>
    </row>
    <row r="40" spans="1:6" x14ac:dyDescent="0.3">
      <c r="A40" s="101"/>
      <c r="B40" s="102"/>
      <c r="C40" s="102"/>
      <c r="D40" s="102"/>
      <c r="E40" s="200"/>
      <c r="F40" s="200"/>
    </row>
    <row r="41" spans="1:6" x14ac:dyDescent="0.3">
      <c r="A41" s="101"/>
      <c r="B41" s="102"/>
      <c r="C41" s="102"/>
      <c r="D41" s="102"/>
      <c r="E41" s="200"/>
      <c r="F41" s="200"/>
    </row>
    <row r="42" spans="1:6" x14ac:dyDescent="0.3">
      <c r="A42" s="101"/>
      <c r="B42" s="102"/>
      <c r="C42" s="102"/>
      <c r="D42" s="102"/>
      <c r="E42" s="200"/>
      <c r="F42" s="200"/>
    </row>
    <row r="43" spans="1:6" x14ac:dyDescent="0.3">
      <c r="A43" s="101"/>
      <c r="B43" s="102"/>
      <c r="C43" s="102"/>
      <c r="D43" s="102"/>
      <c r="E43" s="200"/>
      <c r="F43" s="200"/>
    </row>
    <row r="44" spans="1:6" x14ac:dyDescent="0.3">
      <c r="A44" s="101"/>
      <c r="B44" s="102"/>
      <c r="C44" s="102"/>
      <c r="D44" s="102"/>
      <c r="E44" s="200"/>
      <c r="F44" s="200"/>
    </row>
    <row r="45" spans="1:6" x14ac:dyDescent="0.3">
      <c r="A45" s="101"/>
      <c r="B45" s="102"/>
      <c r="C45" s="102"/>
      <c r="D45" s="102"/>
      <c r="E45" s="200"/>
      <c r="F45" s="200"/>
    </row>
    <row r="46" spans="1:6" x14ac:dyDescent="0.3">
      <c r="A46" s="101"/>
      <c r="B46" s="102"/>
      <c r="C46" s="102"/>
      <c r="D46" s="102"/>
      <c r="E46" s="200"/>
      <c r="F46" s="200"/>
    </row>
    <row r="47" spans="1:6" x14ac:dyDescent="0.3">
      <c r="A47" s="101"/>
      <c r="B47" s="102"/>
      <c r="C47" s="102"/>
      <c r="D47" s="102"/>
      <c r="E47" s="200"/>
      <c r="F47" s="200"/>
    </row>
  </sheetData>
  <mergeCells count="34"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</mergeCells>
  <dataValidations count="1">
    <dataValidation type="list" allowBlank="1" showInputMessage="1" showErrorMessage="1" sqref="C7" xr:uid="{B15C162F-FB8E-4DE3-88CF-2EA81EE2349D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T56"/>
  <sheetViews>
    <sheetView topLeftCell="A8" zoomScale="80" zoomScaleNormal="80" workbookViewId="0">
      <selection activeCell="I20" sqref="I20"/>
    </sheetView>
  </sheetViews>
  <sheetFormatPr defaultColWidth="9.109375" defaultRowHeight="14.4" x14ac:dyDescent="0.3"/>
  <cols>
    <col min="1" max="1" width="24.5546875" style="48" bestFit="1" customWidth="1"/>
    <col min="2" max="3" width="15.6640625" style="48" customWidth="1"/>
    <col min="4" max="5" width="13.6640625" style="48" bestFit="1" customWidth="1"/>
    <col min="6" max="7" width="15.6640625" style="48" customWidth="1"/>
    <col min="8" max="8" width="13.6640625" style="48" bestFit="1" customWidth="1"/>
    <col min="9" max="9" width="36.5546875" style="48" customWidth="1"/>
    <col min="10" max="10" width="9.109375" style="48"/>
    <col min="11" max="11" width="19.109375" style="48" bestFit="1" customWidth="1"/>
    <col min="12" max="12" width="15.6640625" style="48" customWidth="1"/>
    <col min="13" max="16" width="12.6640625" style="48" customWidth="1"/>
    <col min="17" max="17" width="9.109375" style="48"/>
    <col min="18" max="19" width="15.6640625" style="48" customWidth="1"/>
    <col min="20" max="16384" width="9.109375" style="48"/>
  </cols>
  <sheetData>
    <row r="1" spans="1:19" ht="31.2" x14ac:dyDescent="0.6">
      <c r="A1" s="187" t="s">
        <v>20</v>
      </c>
      <c r="B1" s="187"/>
      <c r="C1" s="187"/>
      <c r="D1" s="187"/>
    </row>
    <row r="2" spans="1:19" x14ac:dyDescent="0.3">
      <c r="A2" s="4" t="s">
        <v>16</v>
      </c>
      <c r="B2" s="191">
        <v>5</v>
      </c>
      <c r="C2" s="191"/>
      <c r="D2" s="107"/>
    </row>
    <row r="3" spans="1:19" x14ac:dyDescent="0.3">
      <c r="A3" s="4" t="s">
        <v>131</v>
      </c>
      <c r="B3" s="181"/>
      <c r="C3" s="181"/>
      <c r="D3" s="108"/>
    </row>
    <row r="4" spans="1:19" x14ac:dyDescent="0.3">
      <c r="A4" s="4" t="s">
        <v>4</v>
      </c>
      <c r="B4" s="182">
        <f>ObsDate</f>
        <v>45779</v>
      </c>
      <c r="C4" s="182"/>
      <c r="D4" s="108"/>
    </row>
    <row r="5" spans="1:19" x14ac:dyDescent="0.3">
      <c r="A5" s="5" t="s">
        <v>106</v>
      </c>
      <c r="B5" s="192"/>
      <c r="C5" s="192"/>
      <c r="D5" s="108"/>
    </row>
    <row r="6" spans="1:19" x14ac:dyDescent="0.3">
      <c r="A6" s="5" t="s">
        <v>120</v>
      </c>
      <c r="B6" s="193" t="s">
        <v>200</v>
      </c>
      <c r="C6" s="193"/>
      <c r="D6" s="108"/>
      <c r="E6" s="74"/>
    </row>
    <row r="7" spans="1:19" ht="30" customHeight="1" x14ac:dyDescent="0.3">
      <c r="A7" s="6" t="s">
        <v>15</v>
      </c>
      <c r="B7" s="188" t="s">
        <v>217</v>
      </c>
      <c r="C7" s="189"/>
      <c r="D7" s="190"/>
    </row>
    <row r="9" spans="1:19" x14ac:dyDescent="0.3">
      <c r="A9" s="50" t="s">
        <v>77</v>
      </c>
      <c r="K9" s="50" t="s">
        <v>83</v>
      </c>
    </row>
    <row r="10" spans="1:19" x14ac:dyDescent="0.3">
      <c r="A10" s="7" t="s">
        <v>73</v>
      </c>
      <c r="B10" s="111">
        <v>-5.8</v>
      </c>
      <c r="K10" s="7" t="s">
        <v>165</v>
      </c>
      <c r="L10" s="112">
        <v>500</v>
      </c>
    </row>
    <row r="11" spans="1:19" x14ac:dyDescent="0.3">
      <c r="A11" s="7" t="s">
        <v>74</v>
      </c>
      <c r="B11" s="111">
        <v>-6.3</v>
      </c>
      <c r="K11" s="7" t="s">
        <v>153</v>
      </c>
      <c r="L11" s="113">
        <v>560</v>
      </c>
    </row>
    <row r="12" spans="1:19" x14ac:dyDescent="0.3">
      <c r="A12" s="7" t="s">
        <v>75</v>
      </c>
      <c r="B12" s="111">
        <v>-3</v>
      </c>
    </row>
    <row r="13" spans="1:19" x14ac:dyDescent="0.3">
      <c r="A13" s="7" t="s">
        <v>76</v>
      </c>
      <c r="B13" s="111"/>
    </row>
    <row r="15" spans="1:19" ht="15.6" x14ac:dyDescent="0.3">
      <c r="A15" s="50" t="s">
        <v>78</v>
      </c>
      <c r="B15" s="109" t="s">
        <v>166</v>
      </c>
      <c r="K15" s="50" t="s">
        <v>83</v>
      </c>
      <c r="R15" s="50" t="s">
        <v>130</v>
      </c>
    </row>
    <row r="16" spans="1:19" s="82" customFormat="1" ht="28.8" x14ac:dyDescent="0.3">
      <c r="A16" s="10" t="s">
        <v>79</v>
      </c>
      <c r="B16" s="10" t="s">
        <v>143</v>
      </c>
      <c r="C16" s="10" t="s">
        <v>144</v>
      </c>
      <c r="D16" s="10" t="s">
        <v>127</v>
      </c>
      <c r="E16" s="10" t="s">
        <v>128</v>
      </c>
      <c r="F16" s="10" t="s">
        <v>80</v>
      </c>
      <c r="G16" s="10" t="s">
        <v>81</v>
      </c>
      <c r="H16" s="10" t="s">
        <v>82</v>
      </c>
      <c r="I16" s="10" t="s">
        <v>13</v>
      </c>
      <c r="K16" s="23" t="s">
        <v>168</v>
      </c>
      <c r="L16" s="23" t="s">
        <v>169</v>
      </c>
      <c r="M16" s="23" t="s">
        <v>175</v>
      </c>
      <c r="N16" s="23" t="s">
        <v>173</v>
      </c>
      <c r="O16" s="23" t="s">
        <v>176</v>
      </c>
      <c r="P16" s="23" t="s">
        <v>129</v>
      </c>
      <c r="Q16" s="110"/>
      <c r="R16" s="23" t="s">
        <v>170</v>
      </c>
      <c r="S16" s="23" t="s">
        <v>171</v>
      </c>
    </row>
    <row r="17" spans="1:20" x14ac:dyDescent="0.3">
      <c r="A17" s="101">
        <v>1</v>
      </c>
      <c r="B17" s="151">
        <v>7.5</v>
      </c>
      <c r="C17" s="151">
        <v>4</v>
      </c>
      <c r="D17" s="44" t="s">
        <v>97</v>
      </c>
      <c r="E17" s="44"/>
      <c r="F17" s="144">
        <v>0.1</v>
      </c>
      <c r="G17" s="144">
        <v>0.5</v>
      </c>
      <c r="H17" s="44" t="s">
        <v>85</v>
      </c>
      <c r="I17" s="44" t="s">
        <v>220</v>
      </c>
      <c r="K17" s="45">
        <v>7</v>
      </c>
      <c r="L17" s="45">
        <v>1</v>
      </c>
      <c r="M17" s="145">
        <v>645</v>
      </c>
      <c r="N17" s="44"/>
      <c r="O17" s="41">
        <f>IF($L$10&gt;0,((M17-$L$11)/$L$10)*1000,0)</f>
        <v>170</v>
      </c>
      <c r="P17" s="44"/>
      <c r="R17" s="45">
        <v>6</v>
      </c>
      <c r="S17" s="105">
        <v>-5.0999999999999996</v>
      </c>
      <c r="T17" s="82"/>
    </row>
    <row r="18" spans="1:20" x14ac:dyDescent="0.3">
      <c r="A18" s="101">
        <v>2</v>
      </c>
      <c r="B18" s="151">
        <v>4</v>
      </c>
      <c r="C18" s="151">
        <v>1</v>
      </c>
      <c r="D18" s="44" t="s">
        <v>99</v>
      </c>
      <c r="E18" s="44"/>
      <c r="F18" s="144">
        <v>0.5</v>
      </c>
      <c r="G18" s="144">
        <v>5</v>
      </c>
      <c r="H18" s="44" t="s">
        <v>85</v>
      </c>
      <c r="I18" s="44" t="s">
        <v>219</v>
      </c>
      <c r="K18" s="45"/>
      <c r="L18" s="45"/>
      <c r="M18" s="145"/>
      <c r="N18" s="44"/>
      <c r="O18" s="41"/>
      <c r="P18" s="44"/>
      <c r="R18" s="45">
        <v>4</v>
      </c>
      <c r="S18" s="105">
        <v>-4</v>
      </c>
      <c r="T18" s="82"/>
    </row>
    <row r="19" spans="1:20" x14ac:dyDescent="0.3">
      <c r="A19" s="101">
        <v>3</v>
      </c>
      <c r="B19" s="151">
        <v>1</v>
      </c>
      <c r="C19" s="151">
        <v>0</v>
      </c>
      <c r="D19" s="44" t="s">
        <v>102</v>
      </c>
      <c r="E19" s="44" t="s">
        <v>100</v>
      </c>
      <c r="F19" s="144">
        <v>2</v>
      </c>
      <c r="G19" s="144">
        <v>5</v>
      </c>
      <c r="H19" s="44" t="s">
        <v>88</v>
      </c>
      <c r="I19" s="44" t="s">
        <v>218</v>
      </c>
      <c r="K19" s="45"/>
      <c r="L19" s="45"/>
      <c r="M19" s="145"/>
      <c r="N19" s="44"/>
      <c r="O19" s="41"/>
      <c r="P19" s="44"/>
      <c r="R19" s="45">
        <v>2</v>
      </c>
      <c r="S19" s="105">
        <v>-3.2</v>
      </c>
      <c r="T19" s="82"/>
    </row>
    <row r="20" spans="1:20" x14ac:dyDescent="0.3">
      <c r="A20" s="101"/>
      <c r="B20" s="45"/>
      <c r="C20" s="45"/>
      <c r="D20" s="44"/>
      <c r="E20" s="44"/>
      <c r="F20" s="144"/>
      <c r="G20" s="144"/>
      <c r="H20" s="44"/>
      <c r="I20" s="44"/>
      <c r="K20" s="45"/>
      <c r="L20" s="45"/>
      <c r="M20" s="145"/>
      <c r="N20" s="44"/>
      <c r="O20" s="41"/>
      <c r="P20" s="44"/>
      <c r="R20" s="45">
        <v>0</v>
      </c>
      <c r="S20" s="105">
        <v>-3</v>
      </c>
      <c r="T20" s="82"/>
    </row>
    <row r="21" spans="1:20" x14ac:dyDescent="0.3">
      <c r="A21" s="101"/>
      <c r="B21" s="45"/>
      <c r="C21" s="45"/>
      <c r="D21" s="44"/>
      <c r="E21" s="44"/>
      <c r="F21" s="144"/>
      <c r="G21" s="144"/>
      <c r="H21" s="44"/>
      <c r="I21" s="44"/>
      <c r="K21" s="45"/>
      <c r="L21" s="45"/>
      <c r="M21" s="145"/>
      <c r="N21" s="44"/>
      <c r="O21" s="41"/>
      <c r="P21" s="44"/>
      <c r="R21" s="45"/>
      <c r="S21" s="105"/>
      <c r="T21" s="82"/>
    </row>
    <row r="22" spans="1:20" x14ac:dyDescent="0.3">
      <c r="A22" s="101"/>
      <c r="B22" s="45"/>
      <c r="C22" s="45"/>
      <c r="D22" s="44"/>
      <c r="E22" s="44"/>
      <c r="F22" s="144"/>
      <c r="G22" s="144"/>
      <c r="H22" s="44"/>
      <c r="I22" s="44"/>
      <c r="K22" s="45"/>
      <c r="L22" s="45"/>
      <c r="M22" s="145"/>
      <c r="N22" s="44"/>
      <c r="O22" s="41"/>
      <c r="P22" s="44"/>
      <c r="R22" s="45"/>
      <c r="S22" s="105"/>
      <c r="T22" s="82"/>
    </row>
    <row r="23" spans="1:20" x14ac:dyDescent="0.3">
      <c r="A23" s="101"/>
      <c r="B23" s="45"/>
      <c r="C23" s="45"/>
      <c r="D23" s="44"/>
      <c r="E23" s="44"/>
      <c r="F23" s="144"/>
      <c r="G23" s="144"/>
      <c r="H23" s="44"/>
      <c r="I23" s="44"/>
      <c r="K23" s="45"/>
      <c r="L23" s="45"/>
      <c r="M23" s="145"/>
      <c r="N23" s="44"/>
      <c r="O23" s="41"/>
      <c r="P23" s="44"/>
      <c r="R23" s="45"/>
      <c r="S23" s="105"/>
      <c r="T23" s="82"/>
    </row>
    <row r="24" spans="1:20" x14ac:dyDescent="0.3">
      <c r="A24" s="101"/>
      <c r="B24" s="45"/>
      <c r="C24" s="45"/>
      <c r="D24" s="44"/>
      <c r="E24" s="44"/>
      <c r="F24" s="144"/>
      <c r="G24" s="144"/>
      <c r="H24" s="44"/>
      <c r="I24" s="44"/>
      <c r="K24" s="45"/>
      <c r="L24" s="45"/>
      <c r="M24" s="145"/>
      <c r="N24" s="44"/>
      <c r="O24" s="41"/>
      <c r="P24" s="44"/>
      <c r="R24" s="45"/>
      <c r="S24" s="105"/>
      <c r="T24" s="82"/>
    </row>
    <row r="25" spans="1:20" x14ac:dyDescent="0.3">
      <c r="A25" s="101"/>
      <c r="B25" s="45"/>
      <c r="C25" s="45"/>
      <c r="D25" s="44"/>
      <c r="E25" s="44"/>
      <c r="F25" s="144"/>
      <c r="G25" s="144"/>
      <c r="H25" s="44"/>
      <c r="I25" s="44"/>
      <c r="K25" s="45"/>
      <c r="L25" s="45"/>
      <c r="M25" s="145"/>
      <c r="N25" s="44"/>
      <c r="O25" s="41"/>
      <c r="P25" s="44"/>
      <c r="R25" s="45"/>
      <c r="S25" s="105"/>
      <c r="T25" s="82"/>
    </row>
    <row r="26" spans="1:20" x14ac:dyDescent="0.3">
      <c r="A26" s="101"/>
      <c r="B26" s="45"/>
      <c r="C26" s="45"/>
      <c r="D26" s="44"/>
      <c r="E26" s="44"/>
      <c r="F26" s="144"/>
      <c r="G26" s="144"/>
      <c r="H26" s="44"/>
      <c r="I26" s="44"/>
      <c r="K26" s="45"/>
      <c r="L26" s="45"/>
      <c r="M26" s="145"/>
      <c r="N26" s="44"/>
      <c r="O26" s="41"/>
      <c r="P26" s="44"/>
      <c r="R26" s="45"/>
      <c r="S26" s="105"/>
      <c r="T26" s="82"/>
    </row>
    <row r="27" spans="1:20" x14ac:dyDescent="0.3">
      <c r="A27" s="101"/>
      <c r="B27" s="45"/>
      <c r="C27" s="45"/>
      <c r="D27" s="44"/>
      <c r="E27" s="44"/>
      <c r="F27" s="144"/>
      <c r="G27" s="144"/>
      <c r="H27" s="44"/>
      <c r="I27" s="44"/>
      <c r="K27" s="45"/>
      <c r="L27" s="45"/>
      <c r="M27" s="145"/>
      <c r="N27" s="44"/>
      <c r="O27" s="41"/>
      <c r="P27" s="44"/>
      <c r="R27" s="45"/>
      <c r="S27" s="105"/>
      <c r="T27" s="82"/>
    </row>
    <row r="28" spans="1:20" x14ac:dyDescent="0.3">
      <c r="A28" s="101"/>
      <c r="B28" s="45"/>
      <c r="C28" s="45"/>
      <c r="D28" s="44"/>
      <c r="E28" s="44"/>
      <c r="F28" s="144"/>
      <c r="G28" s="144"/>
      <c r="H28" s="44"/>
      <c r="I28" s="44"/>
      <c r="K28" s="45"/>
      <c r="L28" s="45"/>
      <c r="M28" s="145"/>
      <c r="N28" s="44"/>
      <c r="O28" s="41"/>
      <c r="P28" s="44"/>
      <c r="R28" s="45"/>
      <c r="S28" s="105"/>
      <c r="T28" s="82"/>
    </row>
    <row r="29" spans="1:20" x14ac:dyDescent="0.3">
      <c r="A29" s="101"/>
      <c r="B29" s="45"/>
      <c r="C29" s="45"/>
      <c r="D29" s="44"/>
      <c r="E29" s="44"/>
      <c r="F29" s="144"/>
      <c r="G29" s="144"/>
      <c r="H29" s="44"/>
      <c r="I29" s="44"/>
      <c r="K29" s="45"/>
      <c r="L29" s="45"/>
      <c r="M29" s="145"/>
      <c r="N29" s="44"/>
      <c r="O29" s="41"/>
      <c r="P29" s="44"/>
      <c r="R29" s="45"/>
      <c r="S29" s="105"/>
      <c r="T29" s="82"/>
    </row>
    <row r="30" spans="1:20" x14ac:dyDescent="0.3">
      <c r="A30" s="101"/>
      <c r="B30" s="45"/>
      <c r="C30" s="45"/>
      <c r="D30" s="44"/>
      <c r="E30" s="44"/>
      <c r="F30" s="144"/>
      <c r="G30" s="144"/>
      <c r="H30" s="44"/>
      <c r="I30" s="44"/>
      <c r="K30" s="45"/>
      <c r="L30" s="45"/>
      <c r="M30" s="145"/>
      <c r="N30" s="44"/>
      <c r="O30" s="41"/>
      <c r="P30" s="44"/>
      <c r="R30" s="45"/>
      <c r="S30" s="105"/>
      <c r="T30" s="82"/>
    </row>
    <row r="31" spans="1:20" x14ac:dyDescent="0.3">
      <c r="A31" s="101"/>
      <c r="B31" s="45"/>
      <c r="C31" s="45"/>
      <c r="D31" s="44"/>
      <c r="E31" s="44"/>
      <c r="F31" s="144"/>
      <c r="G31" s="144"/>
      <c r="H31" s="44"/>
      <c r="I31" s="44"/>
      <c r="K31" s="45"/>
      <c r="L31" s="45"/>
      <c r="M31" s="145"/>
      <c r="N31" s="44"/>
      <c r="O31" s="41"/>
      <c r="P31" s="44"/>
      <c r="R31" s="45"/>
      <c r="S31" s="105"/>
      <c r="T31" s="82"/>
    </row>
    <row r="32" spans="1:20" x14ac:dyDescent="0.3">
      <c r="A32" s="101"/>
      <c r="B32" s="45"/>
      <c r="C32" s="45"/>
      <c r="D32" s="44"/>
      <c r="E32" s="44"/>
      <c r="F32" s="144"/>
      <c r="G32" s="144"/>
      <c r="H32" s="44"/>
      <c r="I32" s="44"/>
      <c r="K32" s="45"/>
      <c r="L32" s="45"/>
      <c r="M32" s="145"/>
      <c r="N32" s="44"/>
      <c r="O32" s="41"/>
      <c r="P32" s="44"/>
      <c r="R32" s="45"/>
      <c r="S32" s="105"/>
      <c r="T32" s="82"/>
    </row>
    <row r="33" spans="1:20" x14ac:dyDescent="0.3">
      <c r="A33" s="101"/>
      <c r="B33" s="45"/>
      <c r="C33" s="45"/>
      <c r="D33" s="44"/>
      <c r="E33" s="44"/>
      <c r="F33" s="144"/>
      <c r="G33" s="144"/>
      <c r="H33" s="44"/>
      <c r="I33" s="44"/>
      <c r="K33" s="45"/>
      <c r="L33" s="45"/>
      <c r="M33" s="145"/>
      <c r="N33" s="44"/>
      <c r="O33" s="41"/>
      <c r="P33" s="44"/>
      <c r="R33" s="45"/>
      <c r="S33" s="105"/>
      <c r="T33" s="82"/>
    </row>
    <row r="34" spans="1:20" x14ac:dyDescent="0.3">
      <c r="A34" s="101"/>
      <c r="B34" s="45"/>
      <c r="C34" s="45"/>
      <c r="D34" s="44"/>
      <c r="E34" s="44"/>
      <c r="F34" s="144"/>
      <c r="G34" s="144"/>
      <c r="H34" s="44"/>
      <c r="I34" s="44"/>
      <c r="K34" s="45"/>
      <c r="L34" s="45"/>
      <c r="M34" s="145"/>
      <c r="N34" s="44"/>
      <c r="O34" s="41"/>
      <c r="P34" s="44"/>
      <c r="R34" s="45"/>
      <c r="S34" s="105"/>
      <c r="T34" s="82"/>
    </row>
    <row r="35" spans="1:20" x14ac:dyDescent="0.3">
      <c r="A35" s="101"/>
      <c r="B35" s="45"/>
      <c r="C35" s="45"/>
      <c r="D35" s="44"/>
      <c r="E35" s="44"/>
      <c r="F35" s="144"/>
      <c r="G35" s="144"/>
      <c r="H35" s="44"/>
      <c r="I35" s="44"/>
      <c r="K35" s="45"/>
      <c r="L35" s="45"/>
      <c r="M35" s="145"/>
      <c r="N35" s="44"/>
      <c r="O35" s="41"/>
      <c r="P35" s="44"/>
      <c r="R35" s="45"/>
      <c r="S35" s="105"/>
      <c r="T35" s="82"/>
    </row>
    <row r="36" spans="1:20" x14ac:dyDescent="0.3">
      <c r="A36" s="101"/>
      <c r="B36" s="45"/>
      <c r="C36" s="45"/>
      <c r="D36" s="44"/>
      <c r="E36" s="44"/>
      <c r="F36" s="144"/>
      <c r="G36" s="144"/>
      <c r="H36" s="44"/>
      <c r="I36" s="44"/>
      <c r="K36" s="45"/>
      <c r="L36" s="45"/>
      <c r="M36" s="145"/>
      <c r="N36" s="44"/>
      <c r="O36" s="41"/>
      <c r="P36" s="44"/>
      <c r="R36" s="45"/>
      <c r="S36" s="105"/>
      <c r="T36" s="82"/>
    </row>
    <row r="37" spans="1:20" x14ac:dyDescent="0.3">
      <c r="A37" s="101"/>
      <c r="B37" s="45"/>
      <c r="C37" s="45"/>
      <c r="D37" s="44"/>
      <c r="E37" s="44"/>
      <c r="F37" s="144"/>
      <c r="G37" s="144"/>
      <c r="H37" s="44"/>
      <c r="I37" s="44"/>
      <c r="K37" s="45"/>
      <c r="L37" s="45"/>
      <c r="M37" s="145"/>
      <c r="N37" s="44"/>
      <c r="O37" s="41"/>
      <c r="P37" s="44"/>
      <c r="R37" s="45"/>
      <c r="S37" s="105"/>
      <c r="T37" s="82"/>
    </row>
    <row r="38" spans="1:20" x14ac:dyDescent="0.3">
      <c r="A38" s="101"/>
      <c r="B38" s="45"/>
      <c r="C38" s="45"/>
      <c r="D38" s="44"/>
      <c r="E38" s="44"/>
      <c r="F38" s="144"/>
      <c r="G38" s="144"/>
      <c r="H38" s="44"/>
      <c r="I38" s="44"/>
      <c r="K38" s="45"/>
      <c r="L38" s="45"/>
      <c r="M38" s="145"/>
      <c r="N38" s="44"/>
      <c r="O38" s="41"/>
      <c r="P38" s="44"/>
      <c r="R38" s="45"/>
      <c r="S38" s="105"/>
      <c r="T38" s="82"/>
    </row>
    <row r="39" spans="1:20" x14ac:dyDescent="0.3">
      <c r="A39" s="101"/>
      <c r="B39" s="45"/>
      <c r="C39" s="45"/>
      <c r="D39" s="44"/>
      <c r="E39" s="44"/>
      <c r="F39" s="144"/>
      <c r="G39" s="144"/>
      <c r="H39" s="44"/>
      <c r="I39" s="44"/>
      <c r="K39" s="45"/>
      <c r="L39" s="45"/>
      <c r="M39" s="145"/>
      <c r="N39" s="44"/>
      <c r="O39" s="41"/>
      <c r="P39" s="44"/>
      <c r="R39" s="45"/>
      <c r="S39" s="105"/>
    </row>
    <row r="40" spans="1:20" x14ac:dyDescent="0.3">
      <c r="A40" s="101"/>
      <c r="B40" s="45"/>
      <c r="C40" s="45"/>
      <c r="D40" s="44"/>
      <c r="E40" s="44"/>
      <c r="F40" s="144"/>
      <c r="G40" s="144"/>
      <c r="H40" s="44"/>
      <c r="I40" s="44"/>
      <c r="K40" s="45"/>
      <c r="L40" s="45"/>
      <c r="M40" s="145"/>
      <c r="N40" s="44"/>
      <c r="O40" s="41"/>
      <c r="P40" s="44"/>
      <c r="R40" s="45"/>
      <c r="S40" s="105"/>
    </row>
    <row r="41" spans="1:20" x14ac:dyDescent="0.3">
      <c r="A41" s="101"/>
      <c r="B41" s="45"/>
      <c r="C41" s="45"/>
      <c r="D41" s="44"/>
      <c r="E41" s="44"/>
      <c r="F41" s="144"/>
      <c r="G41" s="144"/>
      <c r="H41" s="44"/>
      <c r="I41" s="44"/>
      <c r="K41" s="45"/>
      <c r="L41" s="45"/>
      <c r="M41" s="145"/>
      <c r="N41" s="44"/>
      <c r="O41" s="41"/>
      <c r="P41" s="44"/>
      <c r="R41" s="45"/>
      <c r="S41" s="105"/>
    </row>
    <row r="42" spans="1:20" x14ac:dyDescent="0.3">
      <c r="A42" s="101"/>
      <c r="B42" s="45"/>
      <c r="C42" s="45"/>
      <c r="D42" s="44"/>
      <c r="E42" s="44"/>
      <c r="F42" s="144"/>
      <c r="G42" s="144"/>
      <c r="H42" s="44"/>
      <c r="I42" s="44"/>
      <c r="K42" s="45"/>
      <c r="L42" s="45"/>
      <c r="M42" s="145"/>
      <c r="N42" s="44"/>
      <c r="O42" s="41"/>
      <c r="P42" s="44"/>
      <c r="R42" s="45"/>
      <c r="S42" s="105"/>
    </row>
    <row r="43" spans="1:20" x14ac:dyDescent="0.3">
      <c r="A43" s="101"/>
      <c r="B43" s="45"/>
      <c r="C43" s="45"/>
      <c r="D43" s="44"/>
      <c r="E43" s="44"/>
      <c r="F43" s="144"/>
      <c r="G43" s="144"/>
      <c r="H43" s="44"/>
      <c r="I43" s="44"/>
      <c r="K43" s="45"/>
      <c r="L43" s="45"/>
      <c r="M43" s="145"/>
      <c r="N43" s="44"/>
      <c r="O43" s="41"/>
      <c r="P43" s="44"/>
      <c r="R43" s="45"/>
      <c r="S43" s="105"/>
    </row>
    <row r="44" spans="1:20" x14ac:dyDescent="0.3">
      <c r="A44" s="101"/>
      <c r="B44" s="45"/>
      <c r="C44" s="45"/>
      <c r="D44" s="44"/>
      <c r="E44" s="44"/>
      <c r="F44" s="144"/>
      <c r="G44" s="144"/>
      <c r="H44" s="44"/>
      <c r="I44" s="44"/>
      <c r="K44" s="45"/>
      <c r="L44" s="45"/>
      <c r="M44" s="145"/>
      <c r="N44" s="44"/>
      <c r="O44" s="41"/>
      <c r="P44" s="44"/>
      <c r="R44" s="45"/>
      <c r="S44" s="105"/>
    </row>
    <row r="45" spans="1:20" x14ac:dyDescent="0.3">
      <c r="A45" s="101"/>
      <c r="B45" s="45"/>
      <c r="C45" s="45"/>
      <c r="D45" s="44"/>
      <c r="E45" s="44"/>
      <c r="F45" s="144"/>
      <c r="G45" s="144"/>
      <c r="H45" s="44"/>
      <c r="I45" s="44"/>
      <c r="K45" s="45"/>
      <c r="L45" s="45"/>
      <c r="M45" s="145"/>
      <c r="N45" s="44"/>
      <c r="O45" s="41"/>
      <c r="P45" s="44"/>
      <c r="R45" s="45"/>
      <c r="S45" s="105"/>
    </row>
    <row r="46" spans="1:20" x14ac:dyDescent="0.3">
      <c r="A46" s="101"/>
      <c r="B46" s="45"/>
      <c r="C46" s="45"/>
      <c r="D46" s="44"/>
      <c r="E46" s="44"/>
      <c r="F46" s="144"/>
      <c r="G46" s="144"/>
      <c r="H46" s="44"/>
      <c r="I46" s="44"/>
      <c r="K46" s="45"/>
      <c r="L46" s="45"/>
      <c r="M46" s="145"/>
      <c r="N46" s="44"/>
      <c r="O46" s="41"/>
      <c r="P46" s="44"/>
      <c r="R46" s="45"/>
      <c r="S46" s="105"/>
    </row>
    <row r="47" spans="1:20" x14ac:dyDescent="0.3">
      <c r="A47" s="101"/>
      <c r="B47" s="45"/>
      <c r="C47" s="45"/>
      <c r="D47" s="44"/>
      <c r="E47" s="44"/>
      <c r="F47" s="144"/>
      <c r="G47" s="144"/>
      <c r="H47" s="44"/>
      <c r="I47" s="44"/>
      <c r="K47" s="45"/>
      <c r="L47" s="45"/>
      <c r="M47" s="145"/>
      <c r="N47" s="44"/>
      <c r="O47" s="41"/>
      <c r="P47" s="44"/>
      <c r="R47" s="45"/>
      <c r="S47" s="105"/>
    </row>
    <row r="48" spans="1:20" x14ac:dyDescent="0.3">
      <c r="A48" s="101"/>
      <c r="B48" s="45"/>
      <c r="C48" s="45"/>
      <c r="D48" s="44"/>
      <c r="E48" s="44"/>
      <c r="F48" s="144"/>
      <c r="G48" s="144"/>
      <c r="H48" s="44"/>
      <c r="I48" s="44"/>
      <c r="K48" s="45"/>
      <c r="L48" s="45"/>
      <c r="M48" s="145"/>
      <c r="N48" s="44"/>
      <c r="O48" s="41"/>
      <c r="P48" s="44"/>
      <c r="R48" s="45"/>
      <c r="S48" s="105"/>
    </row>
    <row r="49" spans="1:19" x14ac:dyDescent="0.3">
      <c r="A49" s="101"/>
      <c r="B49" s="45"/>
      <c r="C49" s="45"/>
      <c r="D49" s="44"/>
      <c r="E49" s="44"/>
      <c r="F49" s="144"/>
      <c r="G49" s="144"/>
      <c r="H49" s="44"/>
      <c r="I49" s="44"/>
      <c r="K49" s="45"/>
      <c r="L49" s="45"/>
      <c r="M49" s="145"/>
      <c r="N49" s="44"/>
      <c r="O49" s="41"/>
      <c r="P49" s="44"/>
      <c r="R49" s="45"/>
      <c r="S49" s="105"/>
    </row>
    <row r="50" spans="1:19" x14ac:dyDescent="0.3">
      <c r="A50" s="101"/>
      <c r="B50" s="45"/>
      <c r="C50" s="45"/>
      <c r="D50" s="44"/>
      <c r="E50" s="44"/>
      <c r="F50" s="144"/>
      <c r="G50" s="144"/>
      <c r="H50" s="44"/>
      <c r="I50" s="44"/>
      <c r="K50" s="45"/>
      <c r="L50" s="45"/>
      <c r="M50" s="145"/>
      <c r="N50" s="44"/>
      <c r="O50" s="41"/>
      <c r="P50" s="44"/>
      <c r="R50" s="45"/>
      <c r="S50" s="105"/>
    </row>
    <row r="51" spans="1:19" x14ac:dyDescent="0.3">
      <c r="A51" s="101"/>
      <c r="B51" s="45"/>
      <c r="C51" s="45"/>
      <c r="D51" s="44"/>
      <c r="E51" s="44"/>
      <c r="F51" s="144"/>
      <c r="G51" s="144"/>
      <c r="H51" s="44"/>
      <c r="I51" s="44"/>
      <c r="K51" s="45"/>
      <c r="L51" s="45"/>
      <c r="M51" s="145"/>
      <c r="N51" s="44"/>
      <c r="O51" s="41"/>
      <c r="P51" s="44"/>
      <c r="R51" s="45"/>
      <c r="S51" s="105"/>
    </row>
    <row r="52" spans="1:19" x14ac:dyDescent="0.3">
      <c r="A52" s="101"/>
      <c r="B52" s="45"/>
      <c r="C52" s="45"/>
      <c r="D52" s="44"/>
      <c r="E52" s="44"/>
      <c r="F52" s="144"/>
      <c r="G52" s="144"/>
      <c r="H52" s="44"/>
      <c r="I52" s="44"/>
      <c r="K52" s="45"/>
      <c r="L52" s="45"/>
      <c r="M52" s="145"/>
      <c r="N52" s="44"/>
      <c r="O52" s="41"/>
      <c r="P52" s="44"/>
      <c r="R52" s="45"/>
      <c r="S52" s="105"/>
    </row>
    <row r="53" spans="1:19" x14ac:dyDescent="0.3">
      <c r="A53" s="101"/>
      <c r="B53" s="45"/>
      <c r="C53" s="45"/>
      <c r="D53" s="44"/>
      <c r="E53" s="44"/>
      <c r="F53" s="144"/>
      <c r="G53" s="144"/>
      <c r="H53" s="44"/>
      <c r="I53" s="44"/>
      <c r="K53" s="45"/>
      <c r="L53" s="45"/>
      <c r="M53" s="145"/>
      <c r="N53" s="44"/>
      <c r="O53" s="41"/>
      <c r="P53" s="44"/>
      <c r="R53" s="45"/>
      <c r="S53" s="105"/>
    </row>
    <row r="54" spans="1:19" x14ac:dyDescent="0.3">
      <c r="A54" s="101"/>
      <c r="B54" s="45"/>
      <c r="C54" s="45"/>
      <c r="D54" s="44"/>
      <c r="E54" s="44"/>
      <c r="F54" s="144"/>
      <c r="G54" s="144"/>
      <c r="H54" s="44"/>
      <c r="I54" s="44"/>
      <c r="K54" s="45"/>
      <c r="L54" s="45"/>
      <c r="M54" s="145"/>
      <c r="N54" s="44"/>
      <c r="O54" s="41"/>
      <c r="P54" s="44"/>
      <c r="R54" s="45"/>
      <c r="S54" s="105"/>
    </row>
    <row r="55" spans="1:19" x14ac:dyDescent="0.3">
      <c r="A55" s="101"/>
      <c r="B55" s="45"/>
      <c r="C55" s="45"/>
      <c r="D55" s="44"/>
      <c r="E55" s="44"/>
      <c r="F55" s="144"/>
      <c r="G55" s="144"/>
      <c r="H55" s="44"/>
      <c r="I55" s="44"/>
      <c r="K55" s="45"/>
      <c r="L55" s="45"/>
      <c r="M55" s="145"/>
      <c r="N55" s="44"/>
      <c r="O55" s="41"/>
      <c r="P55" s="44"/>
      <c r="R55" s="45"/>
      <c r="S55" s="105"/>
    </row>
    <row r="56" spans="1:19" x14ac:dyDescent="0.3">
      <c r="A56" s="101"/>
      <c r="B56" s="45"/>
      <c r="C56" s="45"/>
      <c r="D56" s="44"/>
      <c r="E56" s="44"/>
      <c r="F56" s="144"/>
      <c r="G56" s="144"/>
      <c r="H56" s="44"/>
      <c r="I56" s="44"/>
      <c r="K56" s="45"/>
      <c r="L56" s="45"/>
      <c r="M56" s="145"/>
      <c r="N56" s="44"/>
      <c r="O56" s="41"/>
      <c r="P56" s="44"/>
      <c r="R56" s="45"/>
      <c r="S56" s="105"/>
    </row>
  </sheetData>
  <mergeCells count="7">
    <mergeCell ref="A1:D1"/>
    <mergeCell ref="B7:D7"/>
    <mergeCell ref="B2:C2"/>
    <mergeCell ref="B3:C3"/>
    <mergeCell ref="B4:C4"/>
    <mergeCell ref="B5:C5"/>
    <mergeCell ref="B6:C6"/>
  </mergeCells>
  <dataValidations count="2">
    <dataValidation type="list" allowBlank="1" showInputMessage="1" showErrorMessage="1" sqref="D17:E56" xr:uid="{00000000-0002-0000-0600-000000000000}">
      <formula1>SnowType</formula1>
    </dataValidation>
    <dataValidation type="list" allowBlank="1" showInputMessage="1" showErrorMessage="1" sqref="H17:H56" xr:uid="{00000000-0002-0000-0600-000001000000}">
      <formula1>SnowHardness</formula1>
    </dataValidation>
  </dataValidations>
  <pageMargins left="0.7" right="0.7" top="0.75" bottom="0.75" header="0.3" footer="0.3"/>
  <pageSetup paperSize="9" scale="43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">
    <tabColor rgb="FF7030A0"/>
    <pageSetUpPr fitToPage="1"/>
  </sheetPr>
  <dimension ref="A1:O27"/>
  <sheetViews>
    <sheetView workbookViewId="0">
      <selection activeCell="F22" sqref="F22"/>
    </sheetView>
  </sheetViews>
  <sheetFormatPr defaultColWidth="8.88671875" defaultRowHeight="14.4" x14ac:dyDescent="0.3"/>
  <cols>
    <col min="1" max="1" width="22.6640625" bestFit="1" customWidth="1"/>
    <col min="2" max="2" width="24.6640625" bestFit="1" customWidth="1"/>
    <col min="3" max="3" width="62.33203125" bestFit="1" customWidth="1"/>
    <col min="4" max="4" width="14.44140625" bestFit="1" customWidth="1"/>
    <col min="5" max="5" width="12.44140625" customWidth="1"/>
    <col min="7" max="15" width="9.109375" style="2"/>
  </cols>
  <sheetData>
    <row r="1" spans="1:15" s="1" customFormat="1" x14ac:dyDescent="0.3">
      <c r="A1" s="3" t="s">
        <v>18</v>
      </c>
      <c r="B1" s="3" t="s">
        <v>19</v>
      </c>
      <c r="C1" s="3" t="s">
        <v>11</v>
      </c>
      <c r="D1" s="3" t="s">
        <v>84</v>
      </c>
      <c r="E1" s="3" t="s">
        <v>92</v>
      </c>
      <c r="F1" s="3" t="s">
        <v>161</v>
      </c>
      <c r="G1" s="22"/>
      <c r="H1" s="22"/>
      <c r="I1" s="22"/>
      <c r="J1" s="22"/>
      <c r="K1" s="2"/>
      <c r="L1" s="2"/>
      <c r="M1" s="2"/>
      <c r="N1" s="2"/>
      <c r="O1" s="2"/>
    </row>
    <row r="2" spans="1:15" x14ac:dyDescent="0.3">
      <c r="A2" t="s">
        <v>44</v>
      </c>
      <c r="B2" t="s">
        <v>21</v>
      </c>
      <c r="C2" t="s">
        <v>12</v>
      </c>
      <c r="D2" t="s">
        <v>85</v>
      </c>
      <c r="E2" t="s">
        <v>93</v>
      </c>
      <c r="F2" t="s">
        <v>162</v>
      </c>
    </row>
    <row r="3" spans="1:15" x14ac:dyDescent="0.3">
      <c r="A3" t="s">
        <v>45</v>
      </c>
      <c r="B3" t="s">
        <v>22</v>
      </c>
      <c r="C3" t="s">
        <v>23</v>
      </c>
      <c r="D3" t="s">
        <v>86</v>
      </c>
      <c r="E3" t="s">
        <v>94</v>
      </c>
      <c r="F3" t="s">
        <v>163</v>
      </c>
    </row>
    <row r="4" spans="1:15" x14ac:dyDescent="0.3">
      <c r="A4" t="s">
        <v>46</v>
      </c>
      <c r="B4" t="s">
        <v>10</v>
      </c>
      <c r="C4" t="s">
        <v>24</v>
      </c>
      <c r="D4" t="s">
        <v>87</v>
      </c>
      <c r="E4" t="s">
        <v>95</v>
      </c>
    </row>
    <row r="5" spans="1:15" x14ac:dyDescent="0.3">
      <c r="A5" t="s">
        <v>47</v>
      </c>
      <c r="B5" t="s">
        <v>25</v>
      </c>
      <c r="C5" t="s">
        <v>26</v>
      </c>
      <c r="D5" t="s">
        <v>88</v>
      </c>
      <c r="E5" t="s">
        <v>96</v>
      </c>
    </row>
    <row r="6" spans="1:15" x14ac:dyDescent="0.3">
      <c r="A6" t="s">
        <v>48</v>
      </c>
      <c r="C6" t="s">
        <v>27</v>
      </c>
      <c r="D6" t="s">
        <v>89</v>
      </c>
      <c r="E6" t="s">
        <v>97</v>
      </c>
    </row>
    <row r="7" spans="1:15" x14ac:dyDescent="0.3">
      <c r="A7" t="s">
        <v>49</v>
      </c>
      <c r="C7" t="s">
        <v>28</v>
      </c>
      <c r="D7" t="s">
        <v>90</v>
      </c>
      <c r="E7" t="s">
        <v>98</v>
      </c>
    </row>
    <row r="8" spans="1:15" x14ac:dyDescent="0.3">
      <c r="A8" t="s">
        <v>50</v>
      </c>
      <c r="C8" t="s">
        <v>29</v>
      </c>
      <c r="D8" t="s">
        <v>91</v>
      </c>
      <c r="E8" t="s">
        <v>99</v>
      </c>
    </row>
    <row r="9" spans="1:15" x14ac:dyDescent="0.3">
      <c r="A9" t="s">
        <v>51</v>
      </c>
      <c r="C9" t="s">
        <v>30</v>
      </c>
      <c r="D9" t="s">
        <v>105</v>
      </c>
      <c r="E9" t="s">
        <v>100</v>
      </c>
    </row>
    <row r="10" spans="1:15" x14ac:dyDescent="0.3">
      <c r="A10" t="s">
        <v>52</v>
      </c>
      <c r="C10" t="s">
        <v>31</v>
      </c>
      <c r="E10" t="s">
        <v>101</v>
      </c>
    </row>
    <row r="11" spans="1:15" x14ac:dyDescent="0.3">
      <c r="A11" t="s">
        <v>53</v>
      </c>
      <c r="C11" t="s">
        <v>32</v>
      </c>
      <c r="E11" t="s">
        <v>102</v>
      </c>
    </row>
    <row r="12" spans="1:15" x14ac:dyDescent="0.3">
      <c r="A12" t="s">
        <v>54</v>
      </c>
      <c r="C12" t="s">
        <v>33</v>
      </c>
      <c r="E12" t="s">
        <v>103</v>
      </c>
    </row>
    <row r="13" spans="1:15" x14ac:dyDescent="0.3">
      <c r="A13" t="s">
        <v>55</v>
      </c>
      <c r="C13" t="s">
        <v>34</v>
      </c>
      <c r="E13" t="s">
        <v>104</v>
      </c>
    </row>
    <row r="14" spans="1:15" x14ac:dyDescent="0.3">
      <c r="A14" s="1" t="s">
        <v>5</v>
      </c>
      <c r="C14" t="s">
        <v>35</v>
      </c>
    </row>
    <row r="15" spans="1:15" x14ac:dyDescent="0.3">
      <c r="A15" s="1" t="s">
        <v>67</v>
      </c>
      <c r="C15" t="s">
        <v>36</v>
      </c>
    </row>
    <row r="16" spans="1:15" x14ac:dyDescent="0.3">
      <c r="A16" s="1" t="s">
        <v>66</v>
      </c>
      <c r="C16" t="s">
        <v>37</v>
      </c>
    </row>
    <row r="17" spans="1:6" x14ac:dyDescent="0.3">
      <c r="A17" t="s">
        <v>56</v>
      </c>
    </row>
    <row r="18" spans="1:6" x14ac:dyDescent="0.3">
      <c r="A18" t="s">
        <v>57</v>
      </c>
    </row>
    <row r="19" spans="1:6" x14ac:dyDescent="0.3">
      <c r="A19" t="s">
        <v>58</v>
      </c>
    </row>
    <row r="20" spans="1:6" x14ac:dyDescent="0.3">
      <c r="A20" t="s">
        <v>59</v>
      </c>
    </row>
    <row r="21" spans="1:6" x14ac:dyDescent="0.3">
      <c r="A21" t="s">
        <v>60</v>
      </c>
    </row>
    <row r="22" spans="1:6" x14ac:dyDescent="0.3">
      <c r="A22" t="s">
        <v>61</v>
      </c>
    </row>
    <row r="23" spans="1:6" x14ac:dyDescent="0.3">
      <c r="A23" t="s">
        <v>62</v>
      </c>
    </row>
    <row r="24" spans="1:6" x14ac:dyDescent="0.3">
      <c r="A24" t="s">
        <v>63</v>
      </c>
    </row>
    <row r="25" spans="1:6" x14ac:dyDescent="0.3">
      <c r="A25" t="s">
        <v>64</v>
      </c>
    </row>
    <row r="26" spans="1:6" x14ac:dyDescent="0.3">
      <c r="A26" t="s">
        <v>65</v>
      </c>
    </row>
    <row r="27" spans="1:6" x14ac:dyDescent="0.3">
      <c r="F27" s="2"/>
    </row>
  </sheetData>
  <pageMargins left="0.7" right="0.7" top="0.75" bottom="0.75" header="0.3" footer="0.3"/>
  <pageSetup paperSize="9" scale="7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21</vt:i4>
      </vt:variant>
    </vt:vector>
  </HeadingPairs>
  <TitlesOfParts>
    <vt:vector size="32" baseType="lpstr">
      <vt:lpstr>Station Overview</vt:lpstr>
      <vt:lpstr>Thickness Drilling</vt:lpstr>
      <vt:lpstr>Salinity Core</vt:lpstr>
      <vt:lpstr>Temperature Core</vt:lpstr>
      <vt:lpstr>Chemistry core</vt:lpstr>
      <vt:lpstr>Density Core</vt:lpstr>
      <vt:lpstr>Archive Core</vt:lpstr>
      <vt:lpstr>BioCores Philipp</vt:lpstr>
      <vt:lpstr>BioCores NCPOR</vt:lpstr>
      <vt:lpstr>Snow Pit</vt:lpstr>
      <vt:lpstr>Lists</vt:lpstr>
      <vt:lpstr>asdfasdf</vt:lpstr>
      <vt:lpstr>ExpID</vt:lpstr>
      <vt:lpstr>GeneralConditions</vt:lpstr>
      <vt:lpstr>ObsDate</vt:lpstr>
      <vt:lpstr>'Archive Core'!Print_Area</vt:lpstr>
      <vt:lpstr>'BioCores NCPOR'!Print_Area</vt:lpstr>
      <vt:lpstr>'BioCores Philipp'!Print_Area</vt:lpstr>
      <vt:lpstr>'Chemistry core'!Print_Area</vt:lpstr>
      <vt:lpstr>'Density Core'!Print_Area</vt:lpstr>
      <vt:lpstr>'Salinity Core'!Print_Area</vt:lpstr>
      <vt:lpstr>'Snow Pit'!Print_Area</vt:lpstr>
      <vt:lpstr>'Station Overview'!Print_Area</vt:lpstr>
      <vt:lpstr>'Temperature Core'!Print_Area</vt:lpstr>
      <vt:lpstr>'Thickness Drilling'!Print_Area</vt:lpstr>
      <vt:lpstr>SnowHardness</vt:lpstr>
      <vt:lpstr>SnowType</vt:lpstr>
      <vt:lpstr>StationTypes</vt:lpstr>
      <vt:lpstr>StnDay</vt:lpstr>
      <vt:lpstr>StnNum</vt:lpstr>
      <vt:lpstr>TimeZones</vt:lpstr>
      <vt:lpstr>Yes_No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 Bjørdal</dc:creator>
  <cp:lastModifiedBy>Dmitry Divine</cp:lastModifiedBy>
  <cp:lastPrinted>2011-02-07T12:20:41Z</cp:lastPrinted>
  <dcterms:created xsi:type="dcterms:W3CDTF">2011-01-27T20:27:49Z</dcterms:created>
  <dcterms:modified xsi:type="dcterms:W3CDTF">2025-11-17T11:33:40Z</dcterms:modified>
  <cp:contentStatus>Rev. September 2011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