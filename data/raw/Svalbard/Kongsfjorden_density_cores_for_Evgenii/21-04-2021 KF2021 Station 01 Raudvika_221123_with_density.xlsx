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valbard\Kongsfjorden_density_cores_for_Evgenii\"/>
    </mc:Choice>
  </mc:AlternateContent>
  <xr:revisionPtr revIDLastSave="0" documentId="13_ncr:1_{6300E529-C506-4824-A60E-EDE8E5D6900E}" xr6:coauthVersionLast="47" xr6:coauthVersionMax="47" xr10:uidLastSave="{00000000-0000-0000-0000-000000000000}"/>
  <bookViews>
    <workbookView xWindow="-120" yWindow="-120" windowWidth="38640" windowHeight="21120" tabRatio="766" xr2:uid="{00000000-000D-0000-FFFF-FFFF00000000}"/>
  </bookViews>
  <sheets>
    <sheet name="Station Overview" sheetId="1" r:id="rId1"/>
    <sheet name="EM-31" sheetId="2" r:id="rId2"/>
    <sheet name="Thickness Drilling" sheetId="3" r:id="rId3"/>
    <sheet name="Salinity Core" sheetId="4" r:id="rId4"/>
    <sheet name="Temperature Core" sheetId="15" r:id="rId5"/>
    <sheet name="Chemistry Core" sheetId="17" r:id="rId6"/>
    <sheet name="Stratigraphy Core" sheetId="16" r:id="rId7"/>
    <sheet name="RNA-1" sheetId="18" r:id="rId8"/>
    <sheet name="RNA-2" sheetId="19" r:id="rId9"/>
    <sheet name="Chl-a" sheetId="20" r:id="rId10"/>
    <sheet name="Pigments core" sheetId="21" r:id="rId11"/>
    <sheet name="Snow Pit" sheetId="5" r:id="rId12"/>
    <sheet name="TriOS" sheetId="6" r:id="rId13"/>
    <sheet name="ASD" sheetId="7" r:id="rId14"/>
    <sheet name="Black Carbon" sheetId="8" r:id="rId15"/>
    <sheet name="CTD" sheetId="12" r:id="rId16"/>
    <sheet name="Density Core" sheetId="14" r:id="rId17"/>
    <sheet name="Lists" sheetId="13" r:id="rId18"/>
  </sheets>
  <externalReferences>
    <externalReference r:id="rId19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13">ASD!$A$1:$L$32</definedName>
    <definedName name="_xlnm.Print_Area" localSheetId="14">'Black Carbon'!$A$1:$N$35</definedName>
    <definedName name="_xlnm.Print_Area" localSheetId="5">'Chemistry Core'!$A$1:$H$46</definedName>
    <definedName name="_xlnm.Print_Area" localSheetId="9">'Chl-a'!$A$1:$H$46</definedName>
    <definedName name="_xlnm.Print_Area" localSheetId="15">CTD!$A$1:$M$32</definedName>
    <definedName name="_xlnm.Print_Area" localSheetId="16">'Density Core'!$A$1:$I$36</definedName>
    <definedName name="_xlnm.Print_Area" localSheetId="1">'EM-31'!$A$1:$K$27</definedName>
    <definedName name="_xlnm.Print_Area" localSheetId="10">'Pigments core'!$A$1:$H$46</definedName>
    <definedName name="_xlnm.Print_Area" localSheetId="7">'RNA-1'!$A$1:$H$46</definedName>
    <definedName name="_xlnm.Print_Area" localSheetId="8">'RNA-2'!$A$1:$H$46</definedName>
    <definedName name="_xlnm.Print_Area" localSheetId="3">'Salinity Core'!$A$1:$N$41</definedName>
    <definedName name="_xlnm.Print_Area" localSheetId="11">'Snow Pit'!$A$1:$S$48</definedName>
    <definedName name="_xlnm.Print_Area" localSheetId="0">'Station Overview'!$A$1:$F$37</definedName>
    <definedName name="_xlnm.Print_Area" localSheetId="6">'Stratigraphy Core'!$A$1:$H$46</definedName>
    <definedName name="_xlnm.Print_Area" localSheetId="4">'Temperature Core'!$A$1:$H$46</definedName>
    <definedName name="_xlnm.Print_Area" localSheetId="2">'Thickness Drilling'!$A$1:$H$26</definedName>
    <definedName name="_xlnm.Print_Area" localSheetId="12">TriOS!$A$1:$L$31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2" i="14" l="1"/>
  <c r="H31" i="14"/>
  <c r="H30" i="14"/>
  <c r="H29" i="14"/>
  <c r="H28" i="14"/>
  <c r="H27" i="14"/>
  <c r="H26" i="14"/>
  <c r="H25" i="14"/>
  <c r="H24" i="14"/>
  <c r="H23" i="14"/>
  <c r="G32" i="14" l="1"/>
  <c r="G31" i="14"/>
  <c r="G30" i="14"/>
  <c r="G29" i="14"/>
  <c r="G28" i="14"/>
  <c r="G27" i="14"/>
  <c r="G26" i="14"/>
  <c r="G25" i="14"/>
  <c r="G24" i="14"/>
  <c r="G23" i="14"/>
  <c r="B4" i="21"/>
  <c r="B2" i="21"/>
  <c r="B4" i="20"/>
  <c r="B2" i="20"/>
  <c r="B4" i="19"/>
  <c r="B2" i="19"/>
  <c r="B4" i="18"/>
  <c r="B2" i="18"/>
  <c r="B4" i="17"/>
  <c r="B2" i="17"/>
  <c r="G12" i="3" l="1"/>
  <c r="G13" i="3"/>
  <c r="G14" i="3"/>
  <c r="G15" i="3"/>
  <c r="G16" i="3"/>
  <c r="G11" i="3"/>
  <c r="F12" i="3"/>
  <c r="F13" i="3"/>
  <c r="F14" i="3"/>
  <c r="F15" i="3"/>
  <c r="F16" i="3"/>
  <c r="F11" i="3"/>
  <c r="O18" i="5" l="1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B4" i="16"/>
  <c r="B2" i="16"/>
  <c r="B2" i="15" l="1"/>
  <c r="B4" i="15"/>
  <c r="B2" i="2"/>
  <c r="M12" i="4"/>
  <c r="B4" i="6" l="1"/>
  <c r="B4" i="7"/>
  <c r="B2" i="6"/>
  <c r="B2" i="7"/>
  <c r="B4" i="14"/>
  <c r="B2" i="14"/>
  <c r="B4" i="12" l="1"/>
  <c r="B2" i="12"/>
  <c r="B4" i="8"/>
  <c r="B2" i="8"/>
  <c r="B2" i="5"/>
  <c r="B4" i="4"/>
  <c r="B2" i="4"/>
  <c r="B4" i="2"/>
</calcChain>
</file>

<file path=xl/sharedStrings.xml><?xml version="1.0" encoding="utf-8"?>
<sst xmlns="http://schemas.openxmlformats.org/spreadsheetml/2006/main" count="603" uniqueCount="285">
  <si>
    <t>Ice Station Daily Report</t>
  </si>
  <si>
    <t>Expedition ID</t>
  </si>
  <si>
    <t>Station number</t>
  </si>
  <si>
    <t>Day at station</t>
  </si>
  <si>
    <t>Date</t>
  </si>
  <si>
    <t>EM-31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</si>
  <si>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</si>
  <si>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</si>
  <si>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</si>
  <si>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</si>
  <si>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</si>
  <si>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</si>
  <si>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</si>
  <si>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</si>
  <si>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</si>
  <si>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</si>
  <si>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</si>
  <si>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</si>
  <si>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</si>
  <si>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Snow thickness [cm]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</si>
  <si>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</si>
  <si>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</si>
  <si>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</si>
  <si>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</si>
  <si>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</si>
  <si>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</si>
  <si>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</si>
  <si>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</si>
  <si>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</si>
  <si>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</si>
  <si>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</si>
  <si>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</si>
  <si>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</si>
  <si>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</si>
  <si>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</si>
  <si>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</si>
  <si>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</si>
  <si>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</si>
  <si>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</si>
  <si>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</si>
  <si>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</si>
  <si>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</si>
  <si>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</si>
  <si>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</si>
  <si>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</si>
  <si>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</si>
  <si>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</si>
  <si>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</si>
  <si>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</si>
  <si>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</si>
  <si>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</si>
  <si>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</si>
  <si>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</si>
  <si>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</si>
  <si>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</si>
  <si>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</si>
  <si>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</si>
  <si>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</si>
  <si>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</si>
  <si>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</si>
  <si>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</si>
  <si>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</si>
  <si>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</si>
  <si>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</si>
  <si>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</si>
  <si>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</si>
  <si>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</si>
  <si>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</si>
  <si>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</si>
  <si>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</si>
  <si>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</si>
  <si>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</si>
  <si>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</si>
  <si>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</si>
  <si>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</si>
  <si>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Back Carbon</t>
  </si>
  <si>
    <t>CTD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</si>
  <si>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</si>
  <si>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</si>
  <si>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</si>
  <si>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</si>
  <si>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</si>
  <si>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</si>
  <si>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</si>
  <si>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</si>
  <si>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</si>
  <si>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</si>
  <si>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</si>
  <si>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</si>
  <si>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</si>
  <si>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</si>
  <si>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</si>
  <si>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</si>
  <si>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</si>
  <si>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</si>
  <si>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</si>
  <si>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</si>
  <si>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</si>
  <si>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</si>
  <si>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</si>
  <si>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</si>
  <si>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</si>
  <si>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</si>
  <si>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</si>
  <si>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</si>
  <si>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</si>
  <si>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</si>
  <si>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</si>
  <si>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</si>
  <si>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</si>
  <si>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</si>
  <si>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Station ID</t>
  </si>
  <si>
    <t>BC bottle ID</t>
  </si>
  <si>
    <t>BC depth [cm]</t>
  </si>
  <si>
    <t>Temp air 1m</t>
  </si>
  <si>
    <t>Temp surface</t>
  </si>
  <si>
    <t>Temp 5cm</t>
  </si>
  <si>
    <t>Crystal Ø surface [mm]</t>
  </si>
  <si>
    <t>Crystal Ø at 5cm [mm]</t>
  </si>
  <si>
    <t>Snow Pit</t>
  </si>
  <si>
    <t>Optics</t>
  </si>
  <si>
    <t>Crystal Type surface</t>
  </si>
  <si>
    <t>Crystal Type at 5cm</t>
  </si>
  <si>
    <t>BC area [cmxcm]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</si>
  <si>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</si>
  <si>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</si>
  <si>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</si>
  <si>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</si>
  <si>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</si>
  <si>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</si>
  <si>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</si>
  <si>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</si>
  <si>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</si>
  <si>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</si>
  <si>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</si>
  <si>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</si>
  <si>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</si>
  <si>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</si>
  <si>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t>EM value</t>
  </si>
  <si>
    <t>EM count Start</t>
  </si>
  <si>
    <t>EM count Stop</t>
  </si>
  <si>
    <t>EM-31 File Name</t>
  </si>
  <si>
    <t>Instrument ID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</si>
  <si>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</si>
  <si>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</si>
  <si>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</si>
  <si>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</si>
  <si>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</si>
  <si>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</si>
  <si>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</si>
  <si>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</si>
  <si>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</si>
  <si>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</si>
  <si>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(from list?)</t>
  </si>
  <si>
    <t>TriOS</t>
  </si>
  <si>
    <t>Experiment description</t>
  </si>
  <si>
    <t>Related photos</t>
  </si>
  <si>
    <t>Sensor ID</t>
  </si>
  <si>
    <t>Observation type</t>
  </si>
  <si>
    <t>Raw spectra</t>
  </si>
  <si>
    <t>Inclination</t>
  </si>
  <si>
    <t>Pressure</t>
  </si>
  <si>
    <t>Processed</t>
  </si>
  <si>
    <t>Cloud conditions</t>
  </si>
  <si>
    <t>Light comments</t>
  </si>
  <si>
    <t>Precipitation</t>
  </si>
  <si>
    <t>Surface</t>
  </si>
  <si>
    <t>Original data</t>
  </si>
  <si>
    <t>ASD / Field Spec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</si>
  <si>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</si>
  <si>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</si>
  <si>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</si>
  <si>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</si>
  <si>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</si>
  <si>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</si>
  <si>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</si>
  <si>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</si>
  <si>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</si>
  <si>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</si>
  <si>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</si>
  <si>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</si>
  <si>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</si>
  <si>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</si>
  <si>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</si>
  <si>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</si>
  <si>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</si>
  <si>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</si>
  <si>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</si>
  <si>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</si>
  <si>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</si>
  <si>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</si>
  <si>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</si>
  <si>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</si>
  <si>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GPS Track File Name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</si>
  <si>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</si>
  <si>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</si>
  <si>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</si>
  <si>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</si>
  <si>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</si>
  <si>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</si>
  <si>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</si>
  <si>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</si>
  <si>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</si>
  <si>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</si>
  <si>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</si>
  <si>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</si>
  <si>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</si>
  <si>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</si>
  <si>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</si>
  <si>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</si>
  <si>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</si>
  <si>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</si>
  <si>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Documents</t>
  </si>
  <si>
    <t>Ice depth (from top) [cm]</t>
  </si>
  <si>
    <t>Epsilon value</t>
  </si>
  <si>
    <t>Original weight [g]</t>
  </si>
  <si>
    <t>Snow Density [g/cm³]</t>
  </si>
  <si>
    <t>S. Gerland</t>
  </si>
  <si>
    <t>6 holes, 5 m between holes, horseshoe transect shape</t>
  </si>
  <si>
    <t>01</t>
  </si>
  <si>
    <t>Raudvika</t>
  </si>
  <si>
    <t>KF_April2021</t>
  </si>
  <si>
    <t>D. Divine, S. Gerland, A. Fransson, E. Eronen-Rasimus</t>
  </si>
  <si>
    <t>S. Gerland, D. Divine</t>
  </si>
  <si>
    <t>loose, soft surface layer</t>
  </si>
  <si>
    <t>Crust</t>
  </si>
  <si>
    <t>almost snow ice</t>
  </si>
  <si>
    <t>DD,AF,EER</t>
  </si>
  <si>
    <t>8,8,6,6,8,5</t>
  </si>
  <si>
    <t>1 cm skeletal layer</t>
  </si>
  <si>
    <t>B01</t>
  </si>
  <si>
    <t>B02</t>
  </si>
  <si>
    <t>B03</t>
  </si>
  <si>
    <t>B04</t>
  </si>
  <si>
    <t>B05</t>
  </si>
  <si>
    <t>Stratigraphy Core</t>
  </si>
  <si>
    <t>DD, AF, EER</t>
  </si>
  <si>
    <t>packed as a density core; photos of the core taken</t>
  </si>
  <si>
    <t>bagged and brought to marine lab for analysis</t>
  </si>
  <si>
    <t>bagged and stored frozen</t>
  </si>
  <si>
    <t>ex T-core, see T-core for details, bagged and stored frozen</t>
  </si>
  <si>
    <t>CTD cast from the boat, next to the edge of fast ice (see Agnetas notebook for details)</t>
  </si>
  <si>
    <t>B06</t>
  </si>
  <si>
    <t>snow sample (looked like snow ice) 0-4 cm, see snow pit for details</t>
  </si>
  <si>
    <t>RNA-1</t>
  </si>
  <si>
    <t>sliced and bagged onsite</t>
  </si>
  <si>
    <t>top</t>
  </si>
  <si>
    <t>middle</t>
  </si>
  <si>
    <t>bottom, skeletal layer 1 cm</t>
  </si>
  <si>
    <t>top (TOP1)</t>
  </si>
  <si>
    <t>middle (MID1)</t>
  </si>
  <si>
    <t>bottom (BOT1), skeletal layer 1 cm</t>
  </si>
  <si>
    <t>Raudvika fast ice, Floe ca 15 m x 10 m, connected landfast (frozen to other floes). Ice broke up earlier this year (swell during storm?) but stayed. Due to swell, connections to neighbouring floe pieces were insecure to corss.</t>
  </si>
  <si>
    <t>RNA-2</t>
  </si>
  <si>
    <t>top (TOP2)</t>
  </si>
  <si>
    <t>middle (MID2)</t>
  </si>
  <si>
    <t>bottom (BOT3), skeletal layer 1 cm</t>
  </si>
  <si>
    <t>bottom (BOT2), skeletal layer 1 cm</t>
  </si>
  <si>
    <t>top (TOP3)</t>
  </si>
  <si>
    <t>middle (MID3)</t>
  </si>
  <si>
    <t>not meausured</t>
  </si>
  <si>
    <t>Core 1</t>
  </si>
  <si>
    <t>Core2</t>
  </si>
  <si>
    <t>Pigments cores (pooled)</t>
  </si>
  <si>
    <t>Chl-a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</si>
  <si>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</si>
  <si>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</si>
  <si>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</si>
  <si>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</si>
  <si>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</si>
  <si>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</si>
  <si>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</si>
  <si>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</si>
  <si>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</si>
  <si>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</si>
  <si>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</si>
  <si>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</si>
  <si>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</si>
  <si>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</si>
  <si>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</si>
  <si>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t-hole in the piece</t>
  </si>
  <si>
    <t>a bit of sediments</t>
  </si>
  <si>
    <t>red sediements</t>
  </si>
  <si>
    <t>temperature lab</t>
  </si>
  <si>
    <t>density parafine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</si>
</sst>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[$-F400]h:mm:ss\ AM/PM"/>
    <numFmt numFmtId="176" formatCode="0&quot; cm²&quot;"/>
    <numFmt numFmtId="177" formatCode="0.0&quot; mm&quot;"/>
    <numFmt numFmtId="178" formatCode="0.0\ &quot; c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10" applyNumberFormat="0" applyAlignment="0" applyProtection="0"/>
    <xf numFmtId="164" fontId="14" fillId="0" borderId="0" applyFont="0" applyFill="0" applyBorder="0" applyAlignment="0" applyProtection="0"/>
  </cellStyleXfs>
  <cellXfs count="254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10" xfId="2"/>
    <xf numFmtId="0" fontId="5" fillId="3" borderId="11" xfId="0" applyFont="1" applyFill="1" applyBorder="1"/>
    <xf numFmtId="166" fontId="5" fillId="3" borderId="11" xfId="0" applyNumberFormat="1" applyFont="1" applyFill="1" applyBorder="1"/>
    <xf numFmtId="0" fontId="5" fillId="3" borderId="12" xfId="0" applyFont="1" applyFill="1" applyBorder="1"/>
    <xf numFmtId="0" fontId="5" fillId="3" borderId="11" xfId="0" applyFont="1" applyFill="1" applyBorder="1" applyAlignment="1">
      <alignment vertical="top"/>
    </xf>
    <xf numFmtId="168" fontId="5" fillId="5" borderId="12" xfId="0" applyNumberFormat="1" applyFont="1" applyFill="1" applyBorder="1" applyAlignment="1">
      <alignment horizontal="right"/>
    </xf>
    <xf numFmtId="0" fontId="0" fillId="3" borderId="11" xfId="0" applyFill="1" applyBorder="1"/>
    <xf numFmtId="167" fontId="0" fillId="3" borderId="11" xfId="0" applyNumberFormat="1" applyFill="1" applyBorder="1"/>
    <xf numFmtId="0" fontId="0" fillId="3" borderId="13" xfId="0" applyFill="1" applyBorder="1"/>
    <xf numFmtId="0" fontId="3" fillId="3" borderId="11" xfId="0" applyFont="1" applyFill="1" applyBorder="1" applyAlignment="1">
      <alignment horizontal="center" wrapText="1"/>
    </xf>
    <xf numFmtId="49" fontId="0" fillId="3" borderId="17" xfId="0" applyNumberFormat="1" applyFill="1" applyBorder="1" applyAlignment="1">
      <alignment wrapText="1"/>
    </xf>
    <xf numFmtId="49" fontId="0" fillId="3" borderId="19" xfId="0" applyNumberFormat="1" applyFill="1" applyBorder="1" applyAlignment="1">
      <alignment wrapText="1"/>
    </xf>
    <xf numFmtId="49" fontId="0" fillId="3" borderId="22" xfId="0" applyNumberFormat="1" applyFill="1" applyBorder="1" applyAlignment="1">
      <alignment wrapText="1"/>
    </xf>
    <xf numFmtId="0" fontId="3" fillId="3" borderId="26" xfId="0" applyFont="1" applyFill="1" applyBorder="1" applyAlignment="1">
      <alignment vertical="top" wrapText="1"/>
    </xf>
    <xf numFmtId="0" fontId="0" fillId="3" borderId="14" xfId="0" applyFill="1" applyBorder="1"/>
    <xf numFmtId="0" fontId="0" fillId="3" borderId="17" xfId="0" applyFill="1" applyBorder="1"/>
    <xf numFmtId="0" fontId="0" fillId="3" borderId="23" xfId="0" applyFill="1" applyBorder="1"/>
    <xf numFmtId="0" fontId="0" fillId="3" borderId="19" xfId="0" applyFill="1" applyBorder="1"/>
    <xf numFmtId="167" fontId="0" fillId="3" borderId="20" xfId="0" applyNumberFormat="1" applyFill="1" applyBorder="1"/>
    <xf numFmtId="0" fontId="0" fillId="3" borderId="17" xfId="0" applyFill="1" applyBorder="1" applyAlignment="1">
      <alignment vertical="top"/>
    </xf>
    <xf numFmtId="0" fontId="0" fillId="3" borderId="19" xfId="0" applyFill="1" applyBorder="1" applyAlignment="1">
      <alignment vertical="top"/>
    </xf>
    <xf numFmtId="49" fontId="8" fillId="4" borderId="10" xfId="2" applyNumberFormat="1"/>
    <xf numFmtId="0" fontId="0" fillId="3" borderId="11" xfId="0" applyFill="1" applyBorder="1" applyAlignment="1">
      <alignment horizontal="center" wrapText="1"/>
    </xf>
    <xf numFmtId="0" fontId="7" fillId="3" borderId="14" xfId="0" applyFont="1" applyFill="1" applyBorder="1"/>
    <xf numFmtId="0" fontId="7" fillId="3" borderId="17" xfId="0" applyFont="1" applyFill="1" applyBorder="1"/>
    <xf numFmtId="0" fontId="7" fillId="3" borderId="32" xfId="0" applyFont="1" applyFill="1" applyBorder="1"/>
    <xf numFmtId="0" fontId="7" fillId="3" borderId="19" xfId="0" applyFont="1" applyFill="1" applyBorder="1" applyAlignment="1">
      <alignment vertical="top"/>
    </xf>
    <xf numFmtId="0" fontId="6" fillId="3" borderId="24" xfId="0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7" fillId="3" borderId="25" xfId="0" applyFont="1" applyFill="1" applyBorder="1" applyAlignment="1">
      <alignment horizontal="center" wrapText="1"/>
    </xf>
    <xf numFmtId="0" fontId="6" fillId="3" borderId="26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wrapText="1"/>
    </xf>
    <xf numFmtId="0" fontId="3" fillId="3" borderId="26" xfId="0" applyFont="1" applyFill="1" applyBorder="1" applyAlignment="1">
      <alignment horizontal="center" wrapText="1"/>
    </xf>
    <xf numFmtId="0" fontId="5" fillId="3" borderId="14" xfId="0" applyFont="1" applyFill="1" applyBorder="1"/>
    <xf numFmtId="0" fontId="5" fillId="3" borderId="17" xfId="0" applyFont="1" applyFill="1" applyBorder="1"/>
    <xf numFmtId="0" fontId="5" fillId="3" borderId="32" xfId="0" applyFont="1" applyFill="1" applyBorder="1"/>
    <xf numFmtId="0" fontId="5" fillId="3" borderId="19" xfId="0" applyFont="1" applyFill="1" applyBorder="1" applyAlignment="1">
      <alignment vertical="top"/>
    </xf>
    <xf numFmtId="174" fontId="0" fillId="3" borderId="21" xfId="0" applyNumberFormat="1" applyFill="1" applyBorder="1"/>
    <xf numFmtId="0" fontId="3" fillId="3" borderId="24" xfId="0" applyFont="1" applyFill="1" applyBorder="1"/>
    <xf numFmtId="0" fontId="3" fillId="3" borderId="26" xfId="0" applyFont="1" applyFill="1" applyBorder="1"/>
    <xf numFmtId="0" fontId="3" fillId="3" borderId="25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11" xfId="0" applyFill="1" applyBorder="1"/>
    <xf numFmtId="174" fontId="0" fillId="5" borderId="11" xfId="0" applyNumberFormat="1" applyFill="1" applyBorder="1" applyAlignment="1">
      <alignment horizontal="right"/>
    </xf>
    <xf numFmtId="174" fontId="0" fillId="3" borderId="11" xfId="0" applyNumberFormat="1" applyFill="1" applyBorder="1"/>
    <xf numFmtId="0" fontId="0" fillId="5" borderId="11" xfId="0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0" fontId="0" fillId="6" borderId="24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7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30" xfId="0" applyFill="1" applyBorder="1"/>
    <xf numFmtId="0" fontId="0" fillId="7" borderId="28" xfId="0" applyFill="1" applyBorder="1"/>
    <xf numFmtId="0" fontId="0" fillId="7" borderId="29" xfId="0" applyFill="1" applyBorder="1"/>
    <xf numFmtId="20" fontId="0" fillId="7" borderId="29" xfId="0" applyNumberFormat="1" applyFill="1" applyBorder="1"/>
    <xf numFmtId="0" fontId="0" fillId="7" borderId="11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4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20" xfId="0" applyFill="1" applyBorder="1" applyProtection="1">
      <protection locked="0"/>
    </xf>
    <xf numFmtId="0" fontId="0" fillId="5" borderId="21" xfId="0" applyFill="1" applyBorder="1" applyProtection="1">
      <protection locked="0"/>
    </xf>
    <xf numFmtId="0" fontId="0" fillId="5" borderId="23" xfId="0" applyFill="1" applyBorder="1" applyAlignment="1" applyProtection="1">
      <alignment horizontal="left" wrapText="1"/>
      <protection locked="0"/>
    </xf>
    <xf numFmtId="0" fontId="0" fillId="5" borderId="18" xfId="0" applyFill="1" applyBorder="1" applyAlignment="1" applyProtection="1">
      <alignment horizontal="left"/>
      <protection locked="0"/>
    </xf>
    <xf numFmtId="0" fontId="0" fillId="5" borderId="21" xfId="0" applyFill="1" applyBorder="1" applyAlignment="1" applyProtection="1">
      <alignment horizontal="left"/>
      <protection locked="0"/>
    </xf>
    <xf numFmtId="0" fontId="5" fillId="7" borderId="27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31" xfId="0" applyFont="1" applyFill="1" applyBorder="1" applyAlignment="1">
      <alignment vertical="top"/>
    </xf>
    <xf numFmtId="0" fontId="5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173" fontId="0" fillId="5" borderId="13" xfId="0" applyNumberFormat="1" applyFill="1" applyBorder="1" applyProtection="1">
      <protection locked="0"/>
    </xf>
    <xf numFmtId="2" fontId="0" fillId="5" borderId="13" xfId="0" applyNumberFormat="1" applyFill="1" applyBorder="1" applyProtection="1">
      <protection locked="0"/>
    </xf>
    <xf numFmtId="174" fontId="0" fillId="5" borderId="13" xfId="0" applyNumberFormat="1" applyFill="1" applyBorder="1" applyProtection="1">
      <protection locked="0"/>
    </xf>
    <xf numFmtId="0" fontId="5" fillId="5" borderId="13" xfId="0" applyFont="1" applyFill="1" applyBorder="1" applyProtection="1">
      <protection locked="0"/>
    </xf>
    <xf numFmtId="173" fontId="0" fillId="5" borderId="11" xfId="0" applyNumberFormat="1" applyFill="1" applyBorder="1" applyProtection="1">
      <protection locked="0"/>
    </xf>
    <xf numFmtId="2" fontId="0" fillId="5" borderId="11" xfId="0" applyNumberForma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3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20" xfId="0" applyFill="1" applyBorder="1"/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8" xfId="0" applyNumberFormat="1" applyFill="1" applyBorder="1" applyAlignment="1" applyProtection="1">
      <alignment horizontal="right"/>
      <protection locked="0"/>
    </xf>
    <xf numFmtId="170" fontId="0" fillId="5" borderId="21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8" xfId="0" applyNumberFormat="1" applyFill="1" applyBorder="1" applyAlignment="1" applyProtection="1">
      <alignment horizontal="right"/>
      <protection locked="0"/>
    </xf>
    <xf numFmtId="174" fontId="0" fillId="5" borderId="21" xfId="0" applyNumberFormat="1" applyFill="1" applyBorder="1" applyAlignment="1" applyProtection="1">
      <alignment horizontal="right"/>
      <protection locked="0"/>
    </xf>
    <xf numFmtId="174" fontId="0" fillId="5" borderId="15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3" xfId="0" applyFill="1" applyBorder="1" applyAlignment="1" applyProtection="1">
      <alignment horizontal="center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5" fillId="5" borderId="11" xfId="0" applyFont="1" applyFill="1" applyBorder="1"/>
    <xf numFmtId="174" fontId="0" fillId="5" borderId="11" xfId="3" applyNumberFormat="1" applyFont="1" applyFill="1" applyBorder="1" applyAlignment="1" applyProtection="1">
      <alignment horizontal="right"/>
      <protection locked="0"/>
    </xf>
    <xf numFmtId="2" fontId="0" fillId="5" borderId="11" xfId="0" applyNumberFormat="1" applyFill="1" applyBorder="1" applyAlignment="1" applyProtection="1">
      <alignment horizontal="center"/>
      <protection locked="0"/>
    </xf>
    <xf numFmtId="170" fontId="0" fillId="5" borderId="11" xfId="0" applyNumberFormat="1" applyFill="1" applyBorder="1" applyProtection="1">
      <protection locked="0"/>
    </xf>
    <xf numFmtId="49" fontId="0" fillId="5" borderId="11" xfId="0" applyNumberFormat="1" applyFill="1" applyBorder="1" applyAlignment="1" applyProtection="1">
      <alignment horizontal="left"/>
      <protection locked="0"/>
    </xf>
    <xf numFmtId="0" fontId="5" fillId="7" borderId="8" xfId="0" applyFont="1" applyFill="1" applyBorder="1" applyAlignment="1">
      <alignment vertical="top"/>
    </xf>
    <xf numFmtId="0" fontId="5" fillId="7" borderId="9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11" xfId="0" applyNumberFormat="1" applyFill="1" applyBorder="1" applyAlignment="1" applyProtection="1">
      <alignment horizontal="right"/>
      <protection locked="0"/>
    </xf>
    <xf numFmtId="171" fontId="0" fillId="5" borderId="11" xfId="0" applyNumberFormat="1" applyFill="1" applyBorder="1" applyAlignment="1" applyProtection="1">
      <alignment horizontal="right"/>
      <protection locked="0"/>
    </xf>
    <xf numFmtId="169" fontId="0" fillId="5" borderId="11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175" fontId="0" fillId="7" borderId="0" xfId="0" applyNumberFormat="1" applyFill="1"/>
    <xf numFmtId="175" fontId="5" fillId="7" borderId="0" xfId="0" applyNumberFormat="1" applyFont="1" applyFill="1"/>
    <xf numFmtId="175" fontId="0" fillId="5" borderId="11" xfId="0" applyNumberFormat="1" applyFill="1" applyBorder="1"/>
    <xf numFmtId="0" fontId="0" fillId="5" borderId="13" xfId="0" applyFill="1" applyBorder="1"/>
    <xf numFmtId="175" fontId="0" fillId="5" borderId="13" xfId="0" applyNumberFormat="1" applyFill="1" applyBorder="1"/>
    <xf numFmtId="0" fontId="3" fillId="3" borderId="37" xfId="0" applyFont="1" applyFill="1" applyBorder="1"/>
    <xf numFmtId="0" fontId="0" fillId="3" borderId="25" xfId="0" applyFill="1" applyBorder="1"/>
    <xf numFmtId="175" fontId="3" fillId="3" borderId="38" xfId="0" applyNumberFormat="1" applyFont="1" applyFill="1" applyBorder="1"/>
    <xf numFmtId="0" fontId="5" fillId="3" borderId="15" xfId="0" applyFont="1" applyFill="1" applyBorder="1" applyAlignment="1">
      <alignment horizontal="right"/>
    </xf>
    <xf numFmtId="0" fontId="5" fillId="7" borderId="39" xfId="0" applyFont="1" applyFill="1" applyBorder="1"/>
    <xf numFmtId="0" fontId="5" fillId="3" borderId="32" xfId="0" applyFont="1" applyFill="1" applyBorder="1" applyAlignment="1">
      <alignment vertical="top"/>
    </xf>
    <xf numFmtId="0" fontId="5" fillId="3" borderId="17" xfId="0" applyFont="1" applyFill="1" applyBorder="1" applyAlignment="1">
      <alignment vertical="top"/>
    </xf>
    <xf numFmtId="0" fontId="12" fillId="7" borderId="0" xfId="1" applyFont="1" applyFill="1" applyBorder="1"/>
    <xf numFmtId="175" fontId="5" fillId="7" borderId="0" xfId="0" applyNumberFormat="1" applyFont="1" applyFill="1" applyAlignment="1">
      <alignment vertical="top" wrapText="1"/>
    </xf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3" xfId="0" applyNumberFormat="1" applyFill="1" applyBorder="1" applyAlignment="1">
      <alignment horizontal="right"/>
    </xf>
    <xf numFmtId="0" fontId="0" fillId="5" borderId="11" xfId="0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174" fontId="0" fillId="5" borderId="13" xfId="0" applyNumberFormat="1" applyFill="1" applyBorder="1"/>
    <xf numFmtId="170" fontId="0" fillId="5" borderId="13" xfId="0" applyNumberFormat="1" applyFill="1" applyBorder="1"/>
    <xf numFmtId="0" fontId="6" fillId="3" borderId="26" xfId="0" applyFont="1" applyFill="1" applyBorder="1" applyAlignment="1">
      <alignment horizontal="left" wrapText="1"/>
    </xf>
    <xf numFmtId="0" fontId="0" fillId="3" borderId="42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6" xfId="0" applyFill="1" applyBorder="1"/>
    <xf numFmtId="174" fontId="0" fillId="5" borderId="18" xfId="0" applyNumberFormat="1" applyFill="1" applyBorder="1" applyAlignment="1">
      <alignment horizontal="right"/>
    </xf>
    <xf numFmtId="0" fontId="0" fillId="3" borderId="43" xfId="0" applyFill="1" applyBorder="1"/>
    <xf numFmtId="174" fontId="0" fillId="5" borderId="21" xfId="0" applyNumberFormat="1" applyFill="1" applyBorder="1" applyAlignment="1">
      <alignment horizontal="right"/>
    </xf>
    <xf numFmtId="176" fontId="9" fillId="5" borderId="44" xfId="0" applyNumberFormat="1" applyFont="1" applyFill="1" applyBorder="1" applyAlignment="1">
      <alignment horizontal="right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40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center"/>
    </xf>
    <xf numFmtId="174" fontId="0" fillId="5" borderId="20" xfId="0" applyNumberFormat="1" applyFill="1" applyBorder="1" applyAlignment="1">
      <alignment horizontal="right"/>
    </xf>
    <xf numFmtId="0" fontId="0" fillId="5" borderId="21" xfId="0" applyFill="1" applyBorder="1" applyAlignment="1">
      <alignment horizontal="left"/>
    </xf>
    <xf numFmtId="170" fontId="0" fillId="5" borderId="15" xfId="0" applyNumberFormat="1" applyFill="1" applyBorder="1" applyAlignment="1" applyProtection="1">
      <alignment horizontal="right"/>
      <protection locked="0"/>
    </xf>
    <xf numFmtId="177" fontId="0" fillId="5" borderId="11" xfId="0" applyNumberFormat="1" applyFill="1" applyBorder="1" applyProtection="1">
      <protection locked="0"/>
    </xf>
    <xf numFmtId="169" fontId="0" fillId="5" borderId="11" xfId="0" applyNumberFormat="1" applyFill="1" applyBorder="1" applyProtection="1">
      <protection locked="0"/>
    </xf>
    <xf numFmtId="178" fontId="0" fillId="5" borderId="13" xfId="0" applyNumberFormat="1" applyFill="1" applyBorder="1" applyProtection="1">
      <protection locked="0"/>
    </xf>
    <xf numFmtId="178" fontId="0" fillId="5" borderId="11" xfId="0" applyNumberFormat="1" applyFill="1" applyBorder="1" applyProtection="1">
      <protection locked="0"/>
    </xf>
    <xf numFmtId="14" fontId="0" fillId="7" borderId="0" xfId="0" applyNumberFormat="1" applyFill="1"/>
    <xf numFmtId="0" fontId="0" fillId="5" borderId="13" xfId="0" applyFill="1" applyBorder="1" applyAlignment="1">
      <alignment horizontal="left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2" fontId="0" fillId="5" borderId="13" xfId="0" applyNumberFormat="1" applyFill="1" applyBorder="1"/>
    <xf numFmtId="0" fontId="0" fillId="5" borderId="11" xfId="0" applyFill="1" applyBorder="1" applyAlignment="1" applyProtection="1">
      <alignment horizontal="left"/>
      <protection locked="0"/>
    </xf>
    <xf numFmtId="0" fontId="0" fillId="5" borderId="18" xfId="0" applyFill="1" applyBorder="1" applyAlignment="1" applyProtection="1">
      <alignment horizontal="left"/>
      <protection locked="0"/>
    </xf>
    <xf numFmtId="49" fontId="0" fillId="5" borderId="25" xfId="0" applyNumberFormat="1" applyFill="1" applyBorder="1" applyProtection="1">
      <protection locked="0"/>
    </xf>
    <xf numFmtId="49" fontId="0" fillId="5" borderId="26" xfId="0" applyNumberFormat="1" applyFill="1" applyBorder="1" applyProtection="1">
      <protection locked="0"/>
    </xf>
    <xf numFmtId="0" fontId="0" fillId="5" borderId="11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20" xfId="0" applyFill="1" applyBorder="1" applyAlignment="1" applyProtection="1">
      <alignment horizontal="center" vertical="top" wrapText="1"/>
      <protection locked="0"/>
    </xf>
    <xf numFmtId="0" fontId="0" fillId="5" borderId="21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5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15" xfId="0" applyNumberFormat="1" applyFill="1" applyBorder="1" applyAlignment="1" applyProtection="1">
      <alignment horizontal="right"/>
      <protection locked="0"/>
    </xf>
    <xf numFmtId="49" fontId="0" fillId="5" borderId="16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" fontId="0" fillId="5" borderId="18" xfId="0" applyNumberFormat="1" applyFill="1" applyBorder="1" applyAlignment="1" applyProtection="1">
      <alignment horizontal="right"/>
      <protection locked="0"/>
    </xf>
    <xf numFmtId="49" fontId="0" fillId="5" borderId="20" xfId="0" applyNumberFormat="1" applyFill="1" applyBorder="1" applyAlignment="1" applyProtection="1">
      <alignment horizontal="right"/>
      <protection locked="0"/>
    </xf>
    <xf numFmtId="49" fontId="0" fillId="5" borderId="21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right"/>
      <protection locked="0"/>
    </xf>
    <xf numFmtId="0" fontId="0" fillId="5" borderId="20" xfId="0" applyFill="1" applyBorder="1" applyAlignment="1" applyProtection="1">
      <alignment horizontal="right"/>
      <protection locked="0"/>
    </xf>
    <xf numFmtId="0" fontId="3" fillId="3" borderId="25" xfId="0" applyFont="1" applyFill="1" applyBorder="1" applyAlignment="1">
      <alignment horizontal="center" vertical="top" wrapText="1"/>
    </xf>
    <xf numFmtId="0" fontId="0" fillId="5" borderId="13" xfId="0" applyFill="1" applyBorder="1" applyAlignment="1" applyProtection="1">
      <alignment horizontal="right" wrapText="1"/>
      <protection locked="0"/>
    </xf>
    <xf numFmtId="0" fontId="5" fillId="5" borderId="33" xfId="0" applyFont="1" applyFill="1" applyBorder="1" applyAlignment="1" applyProtection="1">
      <alignment horizontal="left" wrapText="1"/>
      <protection locked="0"/>
    </xf>
    <xf numFmtId="0" fontId="5" fillId="5" borderId="34" xfId="0" applyFont="1" applyFill="1" applyBorder="1" applyAlignment="1" applyProtection="1">
      <alignment horizontal="left" wrapText="1"/>
      <protection locked="0"/>
    </xf>
    <xf numFmtId="0" fontId="5" fillId="5" borderId="35" xfId="0" applyFont="1" applyFill="1" applyBorder="1" applyAlignment="1" applyProtection="1">
      <alignment horizontal="left" wrapText="1"/>
      <protection locked="0"/>
    </xf>
    <xf numFmtId="49" fontId="5" fillId="3" borderId="15" xfId="0" applyNumberFormat="1" applyFont="1" applyFill="1" applyBorder="1" applyAlignment="1">
      <alignment horizontal="right"/>
    </xf>
    <xf numFmtId="166" fontId="5" fillId="3" borderId="11" xfId="0" applyNumberFormat="1" applyFont="1" applyFill="1" applyBorder="1" applyAlignment="1">
      <alignment horizontal="right"/>
    </xf>
    <xf numFmtId="0" fontId="5" fillId="5" borderId="11" xfId="0" applyFont="1" applyFill="1" applyBorder="1" applyAlignment="1" applyProtection="1">
      <alignment horizontal="right"/>
      <protection locked="0"/>
    </xf>
    <xf numFmtId="168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0" fontId="7" fillId="5" borderId="34" xfId="0" applyFont="1" applyFill="1" applyBorder="1" applyAlignment="1" applyProtection="1">
      <alignment horizontal="left" vertical="top"/>
      <protection locked="0"/>
    </xf>
    <xf numFmtId="0" fontId="7" fillId="5" borderId="35" xfId="0" applyFont="1" applyFill="1" applyBorder="1" applyAlignment="1" applyProtection="1">
      <alignment horizontal="left" vertical="top"/>
      <protection locked="0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11" xfId="0" applyFont="1" applyFill="1" applyBorder="1" applyAlignment="1">
      <alignment horizontal="right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49" fontId="5" fillId="5" borderId="34" xfId="0" applyNumberFormat="1" applyFont="1" applyFill="1" applyBorder="1" applyAlignment="1" applyProtection="1">
      <alignment horizontal="left" wrapText="1"/>
      <protection locked="0"/>
    </xf>
    <xf numFmtId="49" fontId="5" fillId="5" borderId="35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11" xfId="0" applyNumberFormat="1" applyFill="1" applyBorder="1" applyAlignment="1" applyProtection="1">
      <alignment wrapText="1"/>
      <protection locked="0"/>
    </xf>
    <xf numFmtId="0" fontId="3" fillId="3" borderId="37" xfId="0" applyFont="1" applyFill="1" applyBorder="1"/>
    <xf numFmtId="0" fontId="3" fillId="3" borderId="45" xfId="0" applyFont="1" applyFill="1" applyBorder="1"/>
    <xf numFmtId="49" fontId="0" fillId="5" borderId="13" xfId="0" applyNumberFormat="1" applyFill="1" applyBorder="1" applyAlignment="1" applyProtection="1">
      <alignment wrapText="1"/>
      <protection locked="0"/>
    </xf>
    <xf numFmtId="0" fontId="12" fillId="8" borderId="0" xfId="1" applyFont="1" applyFill="1" applyBorder="1"/>
    <xf numFmtId="168" fontId="5" fillId="5" borderId="2" xfId="0" applyNumberFormat="1" applyFont="1" applyFill="1" applyBorder="1" applyAlignment="1">
      <alignment horizontal="left"/>
    </xf>
    <xf numFmtId="168" fontId="5" fillId="5" borderId="3" xfId="0" applyNumberFormat="1" applyFont="1" applyFill="1" applyBorder="1" applyAlignment="1">
      <alignment horizontal="left"/>
    </xf>
    <xf numFmtId="168" fontId="5" fillId="5" borderId="40" xfId="0" applyNumberFormat="1" applyFont="1" applyFill="1" applyBorder="1" applyAlignment="1">
      <alignment horizontal="left"/>
    </xf>
    <xf numFmtId="0" fontId="5" fillId="5" borderId="7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41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5" borderId="40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5" borderId="34" xfId="0" applyFont="1" applyFill="1" applyBorder="1" applyAlignment="1">
      <alignment wrapText="1"/>
    </xf>
    <xf numFmtId="0" fontId="5" fillId="5" borderId="35" xfId="0" applyFont="1" applyFill="1" applyBorder="1" applyAlignment="1">
      <alignment wrapText="1"/>
    </xf>
    <xf numFmtId="0" fontId="5" fillId="5" borderId="33" xfId="0" applyFont="1" applyFill="1" applyBorder="1" applyAlignment="1">
      <alignment horizontal="left" wrapText="1"/>
    </xf>
    <xf numFmtId="0" fontId="5" fillId="5" borderId="34" xfId="0" applyFont="1" applyFill="1" applyBorder="1" applyAlignment="1">
      <alignment horizontal="left" wrapText="1"/>
    </xf>
    <xf numFmtId="0" fontId="5" fillId="5" borderId="35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168" fontId="5" fillId="5" borderId="11" xfId="0" applyNumberFormat="1" applyFont="1" applyFill="1" applyBorder="1" applyAlignment="1">
      <alignment horizontal="right"/>
    </xf>
    <xf numFmtId="49" fontId="5" fillId="5" borderId="11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abSelected="1" topLeftCell="A2" zoomScale="80" zoomScaleNormal="80" workbookViewId="0">
      <selection activeCell="D21" sqref="D21"/>
    </sheetView>
  </sheetViews>
  <sheetFormatPr defaultColWidth="9.140625" defaultRowHeight="15" x14ac:dyDescent="0.25"/>
  <cols>
    <col min="1" max="1" width="22.85546875" style="53" customWidth="1"/>
    <col min="2" max="2" width="12.85546875" style="53" customWidth="1"/>
    <col min="3" max="5" width="10.85546875" style="53" customWidth="1"/>
    <col min="6" max="6" width="32.85546875" style="53" customWidth="1"/>
    <col min="7" max="7" width="9.140625" style="53"/>
    <col min="8" max="9" width="9.140625" style="53" customWidth="1"/>
    <col min="10" max="16384" width="9.140625" style="53"/>
  </cols>
  <sheetData>
    <row r="1" spans="1:9" ht="31.5" x14ac:dyDescent="0.5">
      <c r="A1" s="185" t="s">
        <v>0</v>
      </c>
      <c r="B1" s="185"/>
      <c r="C1" s="185"/>
      <c r="D1" s="185"/>
      <c r="E1" s="185"/>
      <c r="F1" s="52"/>
      <c r="G1" s="52"/>
      <c r="H1" s="52"/>
    </row>
    <row r="2" spans="1:9" ht="15.75" customHeight="1" x14ac:dyDescent="0.35">
      <c r="A2" s="54"/>
      <c r="D2" s="52"/>
      <c r="E2" s="52"/>
      <c r="F2" s="52"/>
      <c r="G2" s="52"/>
      <c r="H2" s="52"/>
    </row>
    <row r="3" spans="1:9" ht="15.75" thickBot="1" x14ac:dyDescent="0.3">
      <c r="A3" s="55" t="s">
        <v>70</v>
      </c>
      <c r="D3" s="52"/>
      <c r="E3" s="52"/>
    </row>
    <row r="4" spans="1:9" x14ac:dyDescent="0.25">
      <c r="A4" s="17" t="s">
        <v>1</v>
      </c>
      <c r="B4" s="188" t="s">
        <v>221</v>
      </c>
      <c r="C4" s="189"/>
      <c r="H4" s="56"/>
      <c r="I4" s="56"/>
    </row>
    <row r="5" spans="1:9" x14ac:dyDescent="0.25">
      <c r="A5" s="18" t="s">
        <v>2</v>
      </c>
      <c r="B5" s="190">
        <v>1</v>
      </c>
      <c r="C5" s="191"/>
      <c r="H5" s="56"/>
      <c r="I5" s="56"/>
    </row>
    <row r="6" spans="1:9" x14ac:dyDescent="0.25">
      <c r="A6" s="18" t="s">
        <v>3</v>
      </c>
      <c r="B6" s="190">
        <v>1</v>
      </c>
      <c r="C6" s="191"/>
    </row>
    <row r="7" spans="1:9" ht="15.75" thickBot="1" x14ac:dyDescent="0.3">
      <c r="A7" s="20" t="s">
        <v>137</v>
      </c>
      <c r="B7" s="192" t="s">
        <v>222</v>
      </c>
      <c r="C7" s="193"/>
    </row>
    <row r="9" spans="1:9" ht="15.75" thickBot="1" x14ac:dyDescent="0.3">
      <c r="A9" s="55" t="s">
        <v>73</v>
      </c>
    </row>
    <row r="10" spans="1:9" x14ac:dyDescent="0.25">
      <c r="A10" s="17" t="s">
        <v>10</v>
      </c>
      <c r="B10" s="186" t="s">
        <v>23</v>
      </c>
      <c r="C10" s="186"/>
      <c r="D10" s="186"/>
      <c r="E10" s="187"/>
    </row>
    <row r="11" spans="1:9" x14ac:dyDescent="0.25">
      <c r="A11" s="18" t="s">
        <v>12</v>
      </c>
      <c r="B11" s="177" t="s">
        <v>13</v>
      </c>
      <c r="C11" s="177"/>
      <c r="D11" s="177"/>
      <c r="E11" s="178"/>
    </row>
    <row r="12" spans="1:9" x14ac:dyDescent="0.25">
      <c r="A12" s="22" t="s">
        <v>14</v>
      </c>
      <c r="B12" s="181" t="s">
        <v>252</v>
      </c>
      <c r="C12" s="181"/>
      <c r="D12" s="181"/>
      <c r="E12" s="182"/>
    </row>
    <row r="13" spans="1:9" x14ac:dyDescent="0.25">
      <c r="A13" s="22"/>
      <c r="B13" s="181"/>
      <c r="C13" s="181"/>
      <c r="D13" s="181"/>
      <c r="E13" s="182"/>
    </row>
    <row r="14" spans="1:9" ht="15.75" thickBot="1" x14ac:dyDescent="0.3">
      <c r="A14" s="23"/>
      <c r="B14" s="183"/>
      <c r="C14" s="183"/>
      <c r="D14" s="183"/>
      <c r="E14" s="184"/>
    </row>
    <row r="15" spans="1:9" x14ac:dyDescent="0.25">
      <c r="A15" s="58"/>
      <c r="B15" s="59"/>
      <c r="C15" s="59"/>
      <c r="D15" s="59"/>
      <c r="E15" s="59"/>
    </row>
    <row r="16" spans="1:9" ht="15.75" thickBot="1" x14ac:dyDescent="0.3">
      <c r="A16" s="55" t="s">
        <v>71</v>
      </c>
    </row>
    <row r="17" spans="1:6" x14ac:dyDescent="0.25">
      <c r="A17" s="17" t="s">
        <v>197</v>
      </c>
      <c r="B17" s="171">
        <v>44307</v>
      </c>
      <c r="C17" s="60"/>
      <c r="D17" s="171"/>
    </row>
    <row r="18" spans="1:6" ht="15.75" thickBot="1" x14ac:dyDescent="0.3">
      <c r="A18" s="18" t="s">
        <v>198</v>
      </c>
      <c r="B18" s="71">
        <v>0.70416666666666661</v>
      </c>
      <c r="C18" s="61"/>
      <c r="D18" s="62"/>
      <c r="E18" s="63"/>
    </row>
    <row r="19" spans="1:6" x14ac:dyDescent="0.25">
      <c r="A19" s="57"/>
      <c r="B19" s="64"/>
      <c r="C19" s="11" t="s">
        <v>7</v>
      </c>
      <c r="D19" s="11" t="s">
        <v>8</v>
      </c>
      <c r="E19" s="19" t="s">
        <v>9</v>
      </c>
    </row>
    <row r="20" spans="1:6" x14ac:dyDescent="0.25">
      <c r="A20" s="18" t="s">
        <v>40</v>
      </c>
      <c r="B20" s="10"/>
      <c r="C20" s="49">
        <v>78</v>
      </c>
      <c r="D20">
        <v>54.591059999999999</v>
      </c>
      <c r="E20" s="72"/>
    </row>
    <row r="21" spans="1:6" ht="15.75" thickBot="1" x14ac:dyDescent="0.3">
      <c r="A21" s="20" t="s">
        <v>41</v>
      </c>
      <c r="B21" s="21"/>
      <c r="C21" s="73">
        <v>12</v>
      </c>
      <c r="D21">
        <v>33.415080000000003</v>
      </c>
      <c r="E21" s="74"/>
    </row>
    <row r="23" spans="1:6" ht="15.75" thickBot="1" x14ac:dyDescent="0.3">
      <c r="A23" s="55" t="s">
        <v>72</v>
      </c>
      <c r="B23" s="65"/>
      <c r="E23" s="66"/>
    </row>
    <row r="24" spans="1:6" x14ac:dyDescent="0.25">
      <c r="A24" s="17" t="s">
        <v>44</v>
      </c>
      <c r="B24" s="171">
        <v>44307</v>
      </c>
      <c r="C24" s="60"/>
    </row>
    <row r="25" spans="1:6" ht="15.75" thickBot="1" x14ac:dyDescent="0.3">
      <c r="A25" s="18" t="s">
        <v>45</v>
      </c>
      <c r="B25" s="71">
        <v>0.81944444444444453</v>
      </c>
      <c r="C25" s="61"/>
      <c r="D25" s="62"/>
      <c r="E25" s="63"/>
    </row>
    <row r="26" spans="1:6" x14ac:dyDescent="0.25">
      <c r="A26" s="57"/>
      <c r="B26" s="64"/>
      <c r="C26" s="11" t="s">
        <v>7</v>
      </c>
      <c r="D26" s="11" t="s">
        <v>8</v>
      </c>
      <c r="E26" s="19" t="s">
        <v>9</v>
      </c>
    </row>
    <row r="27" spans="1:6" x14ac:dyDescent="0.25">
      <c r="A27" s="18" t="s">
        <v>42</v>
      </c>
      <c r="B27" s="10"/>
      <c r="C27" s="49">
        <v>78.909847999999997</v>
      </c>
      <c r="D27" s="49"/>
      <c r="E27" s="72"/>
    </row>
    <row r="28" spans="1:6" ht="15.75" thickBot="1" x14ac:dyDescent="0.3">
      <c r="A28" s="20" t="s">
        <v>43</v>
      </c>
      <c r="B28" s="21"/>
      <c r="C28" s="73">
        <v>12.556683</v>
      </c>
      <c r="D28" s="73"/>
      <c r="E28" s="74"/>
    </row>
    <row r="29" spans="1:6" ht="15.75" thickBot="1" x14ac:dyDescent="0.3">
      <c r="B29" s="67"/>
      <c r="C29" s="68"/>
    </row>
    <row r="30" spans="1:6" ht="15.75" thickBot="1" x14ac:dyDescent="0.3">
      <c r="A30" s="51" t="s">
        <v>196</v>
      </c>
      <c r="B30" s="179" t="s">
        <v>68</v>
      </c>
      <c r="C30" s="179"/>
      <c r="D30" s="179"/>
      <c r="E30" s="180"/>
    </row>
    <row r="31" spans="1:6" ht="15.75" thickBot="1" x14ac:dyDescent="0.3"/>
    <row r="32" spans="1:6" ht="30" customHeight="1" thickBot="1" x14ac:dyDescent="0.3">
      <c r="A32" s="69"/>
      <c r="B32" s="196" t="s">
        <v>195</v>
      </c>
      <c r="C32" s="196"/>
      <c r="D32" s="196" t="s">
        <v>194</v>
      </c>
      <c r="E32" s="196"/>
      <c r="F32" s="16" t="s">
        <v>15</v>
      </c>
    </row>
    <row r="33" spans="1:6" ht="30" customHeight="1" x14ac:dyDescent="0.25">
      <c r="A33" s="15" t="s">
        <v>199</v>
      </c>
      <c r="B33" s="197"/>
      <c r="C33" s="197"/>
      <c r="D33" s="197"/>
      <c r="E33" s="197"/>
      <c r="F33" s="75"/>
    </row>
    <row r="34" spans="1:6" ht="30" customHeight="1" x14ac:dyDescent="0.25">
      <c r="A34" s="13" t="s">
        <v>199</v>
      </c>
      <c r="B34" s="194"/>
      <c r="C34" s="194"/>
      <c r="D34" s="194"/>
      <c r="E34" s="194"/>
      <c r="F34" s="76"/>
    </row>
    <row r="35" spans="1:6" ht="30" customHeight="1" x14ac:dyDescent="0.25">
      <c r="A35" s="13" t="s">
        <v>199</v>
      </c>
      <c r="B35" s="194"/>
      <c r="C35" s="194"/>
      <c r="D35" s="194"/>
      <c r="E35" s="194"/>
      <c r="F35" s="76"/>
    </row>
    <row r="36" spans="1:6" ht="30" customHeight="1" x14ac:dyDescent="0.25">
      <c r="A36" s="13" t="s">
        <v>199</v>
      </c>
      <c r="B36" s="194"/>
      <c r="C36" s="194"/>
      <c r="D36" s="194"/>
      <c r="E36" s="194"/>
      <c r="F36" s="76"/>
    </row>
    <row r="37" spans="1:6" ht="30" customHeight="1" thickBot="1" x14ac:dyDescent="0.3">
      <c r="A37" s="14" t="s">
        <v>199</v>
      </c>
      <c r="B37" s="195"/>
      <c r="C37" s="195"/>
      <c r="D37" s="195"/>
      <c r="E37" s="195"/>
      <c r="F37" s="77"/>
    </row>
    <row r="38" spans="1:6" x14ac:dyDescent="0.25">
      <c r="B38" s="70"/>
      <c r="C38" s="70"/>
      <c r="D38" s="70"/>
      <c r="E38" s="70"/>
      <c r="F38" s="70"/>
    </row>
    <row r="39" spans="1:6" x14ac:dyDescent="0.25">
      <c r="B39" s="70"/>
      <c r="C39" s="70"/>
      <c r="D39" s="70"/>
      <c r="E39" s="70"/>
      <c r="F39" s="70"/>
    </row>
    <row r="40" spans="1:6" x14ac:dyDescent="0.25">
      <c r="B40" s="70"/>
      <c r="C40" s="70"/>
      <c r="D40" s="70"/>
      <c r="E40" s="70"/>
      <c r="F40" s="70"/>
    </row>
    <row r="41" spans="1:6" x14ac:dyDescent="0.25">
      <c r="B41" s="70"/>
      <c r="C41" s="70"/>
      <c r="D41" s="70"/>
      <c r="E41" s="70"/>
      <c r="F41" s="70"/>
    </row>
    <row r="42" spans="1:6" x14ac:dyDescent="0.25">
      <c r="B42" s="70"/>
      <c r="C42" s="70"/>
      <c r="D42" s="70"/>
      <c r="E42" s="70"/>
      <c r="F42" s="70"/>
    </row>
    <row r="43" spans="1:6" x14ac:dyDescent="0.25">
      <c r="B43" s="70"/>
      <c r="C43" s="70"/>
      <c r="D43" s="70"/>
      <c r="E43" s="70"/>
      <c r="F43" s="70"/>
    </row>
    <row r="44" spans="1:6" x14ac:dyDescent="0.25">
      <c r="B44" s="70"/>
      <c r="C44" s="70"/>
      <c r="D44" s="70"/>
      <c r="E44" s="70"/>
      <c r="F44" s="70"/>
    </row>
    <row r="45" spans="1:6" x14ac:dyDescent="0.25">
      <c r="B45" s="70"/>
      <c r="C45" s="70"/>
      <c r="D45" s="70"/>
      <c r="E45" s="70"/>
      <c r="F45" s="70"/>
    </row>
    <row r="46" spans="1:6" x14ac:dyDescent="0.25">
      <c r="B46" s="70"/>
      <c r="C46" s="70"/>
      <c r="D46" s="70"/>
      <c r="E46" s="70"/>
      <c r="F46" s="70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O42"/>
  <sheetViews>
    <sheetView zoomScale="80" zoomScaleNormal="80" workbookViewId="0">
      <selection activeCell="H7" sqref="H7"/>
    </sheetView>
  </sheetViews>
  <sheetFormatPr defaultColWidth="9.140625" defaultRowHeight="15" x14ac:dyDescent="0.25"/>
  <cols>
    <col min="1" max="1" width="21.42578125" style="53" customWidth="1"/>
    <col min="2" max="10" width="15.85546875" style="53" customWidth="1"/>
    <col min="11" max="11" width="36.85546875" style="53" customWidth="1"/>
    <col min="12" max="12" width="8.42578125" style="53" customWidth="1"/>
    <col min="13" max="13" width="9.140625" style="53" customWidth="1"/>
    <col min="14" max="16384" width="9.140625" style="53"/>
  </cols>
  <sheetData>
    <row r="1" spans="1:15" ht="32.25" thickBot="1" x14ac:dyDescent="0.55000000000000004">
      <c r="A1" s="185" t="s">
        <v>5</v>
      </c>
      <c r="B1" s="185"/>
      <c r="C1" s="185"/>
      <c r="D1" s="185"/>
    </row>
    <row r="2" spans="1:15" ht="15" customHeight="1" x14ac:dyDescent="0.25">
      <c r="A2" s="26" t="s">
        <v>17</v>
      </c>
      <c r="B2" s="201" t="str">
        <f>CONCATENATE(ExpID,"-",StnNum,"-",StnDay)</f>
        <v>KF_April2021-1-1</v>
      </c>
      <c r="C2" s="201"/>
      <c r="D2" s="78"/>
      <c r="E2" s="79"/>
      <c r="F2" s="79"/>
      <c r="G2" s="79"/>
      <c r="H2" s="79"/>
      <c r="I2" s="80"/>
      <c r="J2" s="81"/>
      <c r="K2" s="80"/>
    </row>
    <row r="3" spans="1:15" x14ac:dyDescent="0.25">
      <c r="A3" s="27" t="s">
        <v>169</v>
      </c>
      <c r="B3" s="203"/>
      <c r="C3" s="203"/>
      <c r="D3" s="82"/>
      <c r="E3" s="79"/>
      <c r="F3" s="79"/>
      <c r="G3" s="79"/>
      <c r="H3" s="79"/>
      <c r="I3" s="80"/>
      <c r="J3" s="81"/>
      <c r="K3" s="80"/>
    </row>
    <row r="4" spans="1:15" x14ac:dyDescent="0.25">
      <c r="A4" s="27" t="s">
        <v>4</v>
      </c>
      <c r="B4" s="202">
        <f>ObsDate</f>
        <v>44307</v>
      </c>
      <c r="C4" s="202"/>
      <c r="D4" s="82"/>
      <c r="E4" s="79"/>
      <c r="F4" s="79"/>
      <c r="G4" s="79"/>
      <c r="H4" s="79"/>
      <c r="I4" s="79"/>
      <c r="J4" s="81"/>
      <c r="K4" s="80"/>
    </row>
    <row r="5" spans="1:15" x14ac:dyDescent="0.25">
      <c r="A5" s="28" t="s">
        <v>110</v>
      </c>
      <c r="B5" s="204"/>
      <c r="C5" s="204"/>
      <c r="D5" s="82"/>
      <c r="E5" s="79"/>
      <c r="F5" s="79"/>
      <c r="G5" s="79"/>
      <c r="H5" s="79"/>
      <c r="I5" s="79"/>
      <c r="J5" s="81"/>
      <c r="K5" s="80"/>
    </row>
    <row r="6" spans="1:15" x14ac:dyDescent="0.25">
      <c r="A6" s="28" t="s">
        <v>137</v>
      </c>
      <c r="B6" s="205"/>
      <c r="C6" s="205"/>
      <c r="D6" s="82"/>
      <c r="E6" s="79"/>
      <c r="F6" s="79"/>
      <c r="G6" s="79"/>
      <c r="H6" s="79"/>
      <c r="I6" s="79"/>
      <c r="J6" s="81"/>
      <c r="K6" s="80"/>
    </row>
    <row r="7" spans="1:15" x14ac:dyDescent="0.25">
      <c r="A7" s="28" t="s">
        <v>141</v>
      </c>
      <c r="B7" s="205"/>
      <c r="C7" s="205"/>
      <c r="D7" s="82"/>
      <c r="E7" s="79"/>
      <c r="F7" s="79"/>
      <c r="G7" s="79"/>
      <c r="H7" s="79"/>
      <c r="I7" s="79"/>
      <c r="J7" s="81"/>
      <c r="K7" s="80"/>
    </row>
    <row r="8" spans="1:15" x14ac:dyDescent="0.25">
      <c r="A8" s="28" t="s">
        <v>193</v>
      </c>
      <c r="B8" s="206"/>
      <c r="C8" s="207"/>
      <c r="D8" s="82"/>
      <c r="E8" s="79"/>
      <c r="F8" s="79"/>
      <c r="G8" s="79"/>
      <c r="H8" s="79"/>
      <c r="I8" s="79"/>
      <c r="J8" s="81"/>
      <c r="K8" s="80"/>
    </row>
    <row r="9" spans="1:15" x14ac:dyDescent="0.25">
      <c r="A9" s="28" t="s">
        <v>142</v>
      </c>
      <c r="B9" s="203"/>
      <c r="C9" s="203"/>
      <c r="D9" s="82"/>
      <c r="E9" s="79"/>
      <c r="F9" s="79"/>
      <c r="G9" s="79"/>
      <c r="H9" s="79"/>
      <c r="I9" s="79"/>
      <c r="J9" s="81"/>
      <c r="K9" s="80"/>
    </row>
    <row r="10" spans="1:15" ht="45" customHeight="1" thickBot="1" x14ac:dyDescent="0.3">
      <c r="A10" s="29" t="s">
        <v>16</v>
      </c>
      <c r="B10" s="198"/>
      <c r="C10" s="199"/>
      <c r="D10" s="200"/>
      <c r="E10" s="80"/>
      <c r="F10" s="80"/>
      <c r="G10" s="80"/>
      <c r="H10" s="80"/>
      <c r="I10" s="80"/>
      <c r="J10" s="80"/>
      <c r="M10" s="80"/>
    </row>
    <row r="11" spans="1:15" ht="15.75" thickBot="1" x14ac:dyDescent="0.3">
      <c r="A11" s="80"/>
      <c r="B11" s="80"/>
      <c r="C11" s="80"/>
      <c r="D11" s="80"/>
      <c r="E11" s="80"/>
      <c r="F11" s="80"/>
      <c r="G11" s="80"/>
      <c r="H11" s="80"/>
      <c r="I11" s="80"/>
      <c r="J11" s="80"/>
      <c r="M11" s="80"/>
    </row>
    <row r="12" spans="1:15" s="84" customFormat="1" ht="45.75" thickBot="1" x14ac:dyDescent="0.3">
      <c r="A12" s="30" t="s">
        <v>18</v>
      </c>
      <c r="B12" s="31" t="s">
        <v>139</v>
      </c>
      <c r="C12" s="31" t="s">
        <v>140</v>
      </c>
      <c r="D12" s="31" t="s">
        <v>19</v>
      </c>
      <c r="E12" s="32" t="s">
        <v>138</v>
      </c>
      <c r="F12" s="32" t="s">
        <v>170</v>
      </c>
      <c r="G12" s="32" t="s">
        <v>171</v>
      </c>
      <c r="H12" s="32" t="s">
        <v>172</v>
      </c>
      <c r="I12" s="31" t="s">
        <v>173</v>
      </c>
      <c r="J12" s="31" t="s">
        <v>174</v>
      </c>
      <c r="K12" s="33" t="s">
        <v>14</v>
      </c>
      <c r="L12" s="83"/>
      <c r="M12" s="83"/>
      <c r="N12" s="83"/>
      <c r="O12" s="83"/>
    </row>
    <row r="13" spans="1:15" x14ac:dyDescent="0.25">
      <c r="A13" s="85"/>
      <c r="B13" s="86"/>
      <c r="C13" s="86"/>
      <c r="D13" s="87"/>
      <c r="E13" s="86"/>
      <c r="F13" s="87"/>
      <c r="G13" s="87"/>
      <c r="H13" s="87"/>
      <c r="I13" s="87"/>
      <c r="J13" s="87"/>
      <c r="K13" s="88"/>
      <c r="L13" s="80"/>
      <c r="M13" s="80"/>
    </row>
    <row r="14" spans="1:15" x14ac:dyDescent="0.25">
      <c r="A14" s="89"/>
      <c r="B14" s="90"/>
      <c r="C14" s="90"/>
      <c r="D14" s="50"/>
      <c r="E14" s="90"/>
      <c r="F14" s="50"/>
      <c r="G14" s="50"/>
      <c r="H14" s="50"/>
      <c r="I14" s="50"/>
      <c r="J14" s="50"/>
      <c r="K14" s="91"/>
      <c r="L14" s="80"/>
      <c r="M14" s="80"/>
    </row>
    <row r="15" spans="1:15" x14ac:dyDescent="0.25">
      <c r="A15" s="89"/>
      <c r="B15" s="90"/>
      <c r="C15" s="90"/>
      <c r="D15" s="50"/>
      <c r="E15" s="90"/>
      <c r="F15" s="50"/>
      <c r="G15" s="50"/>
      <c r="H15" s="50"/>
      <c r="I15" s="50"/>
      <c r="J15" s="50"/>
      <c r="K15" s="91"/>
      <c r="L15" s="80"/>
      <c r="M15" s="80"/>
    </row>
    <row r="16" spans="1:15" x14ac:dyDescent="0.25">
      <c r="A16" s="89"/>
      <c r="B16" s="90"/>
      <c r="C16" s="90"/>
      <c r="D16" s="50"/>
      <c r="E16" s="90"/>
      <c r="F16" s="50"/>
      <c r="G16" s="50"/>
      <c r="H16" s="50"/>
      <c r="I16" s="50"/>
      <c r="J16" s="50"/>
      <c r="K16" s="91"/>
      <c r="L16" s="80"/>
      <c r="M16" s="80"/>
    </row>
    <row r="17" spans="1:13" x14ac:dyDescent="0.25">
      <c r="A17" s="89"/>
      <c r="B17" s="90"/>
      <c r="C17" s="90"/>
      <c r="D17" s="50"/>
      <c r="E17" s="90"/>
      <c r="F17" s="50"/>
      <c r="G17" s="50"/>
      <c r="H17" s="50"/>
      <c r="I17" s="50"/>
      <c r="J17" s="50"/>
      <c r="K17" s="91"/>
      <c r="L17" s="80"/>
      <c r="M17" s="80"/>
    </row>
    <row r="18" spans="1:13" x14ac:dyDescent="0.25">
      <c r="A18" s="89"/>
      <c r="B18" s="90"/>
      <c r="C18" s="90"/>
      <c r="D18" s="50"/>
      <c r="E18" s="90"/>
      <c r="F18" s="50"/>
      <c r="G18" s="50"/>
      <c r="H18" s="50"/>
      <c r="I18" s="50"/>
      <c r="J18" s="50"/>
      <c r="K18" s="91"/>
      <c r="L18" s="80"/>
      <c r="M18" s="80"/>
    </row>
    <row r="19" spans="1:13" x14ac:dyDescent="0.25">
      <c r="A19" s="89"/>
      <c r="B19" s="90"/>
      <c r="C19" s="90"/>
      <c r="D19" s="50"/>
      <c r="E19" s="90"/>
      <c r="F19" s="50"/>
      <c r="G19" s="50"/>
      <c r="H19" s="50"/>
      <c r="I19" s="50"/>
      <c r="J19" s="50"/>
      <c r="K19" s="91"/>
      <c r="L19" s="80"/>
      <c r="M19" s="80"/>
    </row>
    <row r="20" spans="1:13" x14ac:dyDescent="0.25">
      <c r="A20" s="89"/>
      <c r="B20" s="90"/>
      <c r="C20" s="90"/>
      <c r="D20" s="50"/>
      <c r="E20" s="90"/>
      <c r="F20" s="50"/>
      <c r="G20" s="50"/>
      <c r="H20" s="50"/>
      <c r="I20" s="50"/>
      <c r="J20" s="50"/>
      <c r="K20" s="91"/>
      <c r="L20" s="80"/>
      <c r="M20" s="80"/>
    </row>
    <row r="21" spans="1:13" x14ac:dyDescent="0.25">
      <c r="A21" s="89"/>
      <c r="B21" s="90"/>
      <c r="C21" s="90"/>
      <c r="D21" s="50"/>
      <c r="E21" s="90"/>
      <c r="F21" s="50"/>
      <c r="G21" s="50"/>
      <c r="H21" s="50"/>
      <c r="I21" s="50"/>
      <c r="J21" s="50"/>
      <c r="K21" s="91"/>
      <c r="L21" s="80"/>
      <c r="M21" s="80"/>
    </row>
    <row r="22" spans="1:13" x14ac:dyDescent="0.25">
      <c r="A22" s="89"/>
      <c r="B22" s="90"/>
      <c r="C22" s="90"/>
      <c r="D22" s="50"/>
      <c r="E22" s="90"/>
      <c r="F22" s="50"/>
      <c r="G22" s="50"/>
      <c r="H22" s="50"/>
      <c r="I22" s="50"/>
      <c r="J22" s="50"/>
      <c r="K22" s="91"/>
      <c r="L22" s="80"/>
      <c r="M22" s="80"/>
    </row>
    <row r="23" spans="1:13" x14ac:dyDescent="0.25">
      <c r="A23" s="89"/>
      <c r="B23" s="90"/>
      <c r="C23" s="90"/>
      <c r="D23" s="50"/>
      <c r="E23" s="90"/>
      <c r="F23" s="50"/>
      <c r="G23" s="50"/>
      <c r="H23" s="50"/>
      <c r="I23" s="50"/>
      <c r="J23" s="50"/>
      <c r="K23" s="91"/>
      <c r="L23" s="80"/>
      <c r="M23" s="80"/>
    </row>
    <row r="24" spans="1:13" x14ac:dyDescent="0.25">
      <c r="A24" s="89"/>
      <c r="B24" s="90"/>
      <c r="C24" s="90"/>
      <c r="D24" s="50"/>
      <c r="E24" s="90"/>
      <c r="F24" s="50"/>
      <c r="G24" s="50"/>
      <c r="H24" s="50"/>
      <c r="I24" s="50"/>
      <c r="J24" s="50"/>
      <c r="K24" s="91"/>
      <c r="L24" s="80"/>
      <c r="M24" s="80"/>
    </row>
    <row r="25" spans="1:13" x14ac:dyDescent="0.25">
      <c r="A25" s="89"/>
      <c r="B25" s="90"/>
      <c r="C25" s="90"/>
      <c r="D25" s="50"/>
      <c r="E25" s="90"/>
      <c r="F25" s="50"/>
      <c r="G25" s="50"/>
      <c r="H25" s="50"/>
      <c r="I25" s="50"/>
      <c r="J25" s="50"/>
      <c r="K25" s="91"/>
      <c r="L25" s="80"/>
      <c r="M25" s="80"/>
    </row>
    <row r="26" spans="1:13" x14ac:dyDescent="0.25">
      <c r="A26" s="89"/>
      <c r="B26" s="90"/>
      <c r="C26" s="90"/>
      <c r="D26" s="50"/>
      <c r="E26" s="90"/>
      <c r="F26" s="50"/>
      <c r="G26" s="50"/>
      <c r="H26" s="50"/>
      <c r="I26" s="50"/>
      <c r="J26" s="50"/>
      <c r="K26" s="91"/>
    </row>
    <row r="27" spans="1:13" x14ac:dyDescent="0.25">
      <c r="A27" s="89"/>
      <c r="B27" s="90"/>
      <c r="C27" s="90"/>
      <c r="D27" s="50"/>
      <c r="E27" s="90"/>
      <c r="F27" s="50"/>
      <c r="G27" s="50"/>
      <c r="H27" s="50"/>
      <c r="I27" s="50"/>
      <c r="J27" s="50"/>
      <c r="K27" s="91"/>
    </row>
    <row r="28" spans="1:13" x14ac:dyDescent="0.25">
      <c r="A28" s="89"/>
      <c r="B28" s="90"/>
      <c r="C28" s="90"/>
      <c r="D28" s="50"/>
      <c r="E28" s="90"/>
      <c r="F28" s="50"/>
      <c r="G28" s="50"/>
      <c r="H28" s="50"/>
      <c r="I28" s="50"/>
      <c r="J28" s="50"/>
      <c r="K28" s="91"/>
    </row>
    <row r="29" spans="1:13" x14ac:dyDescent="0.25">
      <c r="A29" s="89"/>
      <c r="B29" s="90"/>
      <c r="C29" s="90"/>
      <c r="D29" s="50"/>
      <c r="E29" s="90"/>
      <c r="F29" s="50"/>
      <c r="G29" s="50"/>
      <c r="H29" s="50"/>
      <c r="I29" s="50"/>
      <c r="J29" s="50"/>
      <c r="K29" s="91"/>
    </row>
    <row r="30" spans="1:13" x14ac:dyDescent="0.25">
      <c r="A30" s="89"/>
      <c r="B30" s="90"/>
      <c r="C30" s="90"/>
      <c r="D30" s="50"/>
      <c r="E30" s="90"/>
      <c r="F30" s="50"/>
      <c r="G30" s="50"/>
      <c r="H30" s="50"/>
      <c r="I30" s="50"/>
      <c r="J30" s="50"/>
      <c r="K30" s="91"/>
    </row>
    <row r="31" spans="1:13" x14ac:dyDescent="0.25">
      <c r="A31" s="89"/>
      <c r="B31" s="90"/>
      <c r="C31" s="90"/>
      <c r="D31" s="50"/>
      <c r="E31" s="90"/>
      <c r="F31" s="50"/>
      <c r="G31" s="50"/>
      <c r="H31" s="50"/>
      <c r="I31" s="50"/>
      <c r="J31" s="50"/>
      <c r="K31" s="91"/>
    </row>
    <row r="32" spans="1:13" x14ac:dyDescent="0.25">
      <c r="A32" s="89"/>
      <c r="B32" s="90"/>
      <c r="C32" s="90"/>
      <c r="D32" s="50"/>
      <c r="E32" s="90"/>
      <c r="F32" s="50"/>
      <c r="G32" s="50"/>
      <c r="H32" s="50"/>
      <c r="I32" s="50"/>
      <c r="J32" s="50"/>
      <c r="K32" s="91"/>
    </row>
    <row r="33" spans="1:11" x14ac:dyDescent="0.25">
      <c r="A33" s="89"/>
      <c r="B33" s="90"/>
      <c r="C33" s="90"/>
      <c r="D33" s="50"/>
      <c r="E33" s="90"/>
      <c r="F33" s="50"/>
      <c r="G33" s="50"/>
      <c r="H33" s="50"/>
      <c r="I33" s="50"/>
      <c r="J33" s="50"/>
      <c r="K33" s="91"/>
    </row>
    <row r="34" spans="1:11" x14ac:dyDescent="0.25">
      <c r="A34" s="89"/>
      <c r="B34" s="90"/>
      <c r="C34" s="90"/>
      <c r="D34" s="50"/>
      <c r="E34" s="90"/>
      <c r="F34" s="50"/>
      <c r="G34" s="50"/>
      <c r="H34" s="50"/>
      <c r="I34" s="50"/>
      <c r="J34" s="50"/>
      <c r="K34" s="91"/>
    </row>
    <row r="35" spans="1:11" x14ac:dyDescent="0.25">
      <c r="A35" s="89"/>
      <c r="B35" s="90"/>
      <c r="C35" s="90"/>
      <c r="D35" s="50"/>
      <c r="E35" s="90"/>
      <c r="F35" s="50"/>
      <c r="G35" s="50"/>
      <c r="H35" s="50"/>
      <c r="I35" s="50"/>
      <c r="J35" s="50"/>
      <c r="K35" s="91"/>
    </row>
    <row r="36" spans="1:11" x14ac:dyDescent="0.25">
      <c r="A36" s="89"/>
      <c r="B36" s="90"/>
      <c r="C36" s="90"/>
      <c r="D36" s="50"/>
      <c r="E36" s="90"/>
      <c r="F36" s="50"/>
      <c r="G36" s="50"/>
      <c r="H36" s="50"/>
      <c r="I36" s="50"/>
      <c r="J36" s="50"/>
      <c r="K36" s="91"/>
    </row>
    <row r="37" spans="1:11" x14ac:dyDescent="0.25">
      <c r="A37" s="89"/>
      <c r="B37" s="90"/>
      <c r="C37" s="90"/>
      <c r="D37" s="50"/>
      <c r="E37" s="90"/>
      <c r="F37" s="50"/>
      <c r="G37" s="50"/>
      <c r="H37" s="50"/>
      <c r="I37" s="50"/>
      <c r="J37" s="50"/>
      <c r="K37" s="91"/>
    </row>
    <row r="38" spans="1:11" x14ac:dyDescent="0.25">
      <c r="A38" s="89"/>
      <c r="B38" s="90"/>
      <c r="C38" s="90"/>
      <c r="D38" s="50"/>
      <c r="E38" s="90"/>
      <c r="F38" s="50"/>
      <c r="G38" s="50"/>
      <c r="H38" s="50"/>
      <c r="I38" s="50"/>
      <c r="J38" s="50"/>
      <c r="K38" s="91"/>
    </row>
    <row r="39" spans="1:11" x14ac:dyDescent="0.25">
      <c r="A39" s="89"/>
      <c r="B39" s="90"/>
      <c r="C39" s="90"/>
      <c r="D39" s="50"/>
      <c r="E39" s="90"/>
      <c r="F39" s="50"/>
      <c r="G39" s="50"/>
      <c r="H39" s="50"/>
      <c r="I39" s="50"/>
      <c r="J39" s="50"/>
      <c r="K39" s="91"/>
    </row>
    <row r="40" spans="1:11" x14ac:dyDescent="0.25">
      <c r="A40" s="89"/>
      <c r="B40" s="90"/>
      <c r="C40" s="90"/>
      <c r="D40" s="50"/>
      <c r="E40" s="90"/>
      <c r="F40" s="50"/>
      <c r="G40" s="50"/>
      <c r="H40" s="50"/>
      <c r="I40" s="50"/>
      <c r="J40" s="50"/>
      <c r="K40" s="91"/>
    </row>
    <row r="41" spans="1:11" x14ac:dyDescent="0.25">
      <c r="A41" s="89"/>
      <c r="B41" s="90"/>
      <c r="C41" s="90"/>
      <c r="D41" s="50"/>
      <c r="E41" s="90"/>
      <c r="F41" s="50"/>
      <c r="G41" s="50"/>
      <c r="H41" s="50"/>
      <c r="I41" s="50"/>
      <c r="J41" s="50"/>
      <c r="K41" s="91"/>
    </row>
    <row r="42" spans="1:11" x14ac:dyDescent="0.25">
      <c r="A42" s="89"/>
      <c r="B42" s="90"/>
      <c r="C42" s="90"/>
      <c r="D42" s="50"/>
      <c r="E42" s="90"/>
      <c r="F42" s="50"/>
      <c r="G42" s="50"/>
      <c r="H42" s="50"/>
      <c r="I42" s="50"/>
      <c r="J42" s="50"/>
      <c r="K42" s="91"/>
    </row>
  </sheetData>
  <mergeCells count="10">
    <mergeCell ref="A1:D1"/>
    <mergeCell ref="B10:D10"/>
    <mergeCell ref="B2:C2"/>
    <mergeCell ref="B4:C4"/>
    <mergeCell ref="B3:C3"/>
    <mergeCell ref="B5:C5"/>
    <mergeCell ref="B6:C6"/>
    <mergeCell ref="B7:C7"/>
    <mergeCell ref="B9:C9"/>
    <mergeCell ref="B8:C8"/>
  </mergeCells>
  <dataValidations count="4">
    <dataValidation type="decimal" operator="notEqual" allowBlank="1" showErrorMessage="1" error="Must enter a number" promptTitle="Start here" prompt="Enter the distance along the profile in this column.  The rows with entries in this column will then be ready for data in the other columns." sqref="A13:A42" xr:uid="{00000000-0002-0000-0100-000000000000}">
      <formula1>-1874525.21548457</formula1>
    </dataValidation>
    <dataValidation type="decimal" operator="greaterThanOrEqual" allowBlank="1" showInputMessage="1" showErrorMessage="1" error="Must be a positive number" promptTitle="Snow thickness" sqref="B13:B42" xr:uid="{00000000-0002-0000-0100-000001000000}">
      <formula1>0</formula1>
    </dataValidation>
    <dataValidation type="decimal" operator="greaterThanOrEqual" allowBlank="1" showErrorMessage="1" error="Must enter a positive number" promptTitle="EM Observation" prompt="Enter the data value recorded from the EM-31" sqref="C13:C42" xr:uid="{00000000-0002-0000-0100-000002000000}">
      <formula1>0</formula1>
    </dataValidation>
    <dataValidation allowBlank="1" showErrorMessage="1" promptTitle="Snow Thickness" prompt="Enter the measured snow thickness (in cm)." sqref="D13:D42" xr:uid="{00000000-0002-0000-0100-000003000000}"/>
  </dataValidations>
  <pageMargins left="0.7" right="0.7" top="0.75" bottom="0.75" header="0.3" footer="0.3"/>
  <pageSetup paperSize="9" scale="65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zoomScale="80" zoomScaleNormal="80" workbookViewId="0">
      <selection activeCell="E19" sqref="E19"/>
    </sheetView>
  </sheetViews>
  <sheetFormatPr defaultColWidth="9.140625" defaultRowHeight="15" x14ac:dyDescent="0.25"/>
  <cols>
    <col min="1" max="1" width="18.85546875" style="53" customWidth="1"/>
    <col min="2" max="7" width="15.85546875" style="53" customWidth="1"/>
    <col min="8" max="8" width="36.85546875" style="53" customWidth="1"/>
    <col min="9" max="16384" width="9.140625" style="53"/>
  </cols>
  <sheetData>
    <row r="1" spans="1:9" ht="32.25" thickBot="1" x14ac:dyDescent="0.55000000000000004">
      <c r="A1" s="185" t="s">
        <v>74</v>
      </c>
      <c r="B1" s="185"/>
      <c r="C1" s="185"/>
      <c r="D1" s="185"/>
    </row>
    <row r="2" spans="1:9" x14ac:dyDescent="0.25">
      <c r="A2" s="26" t="s">
        <v>17</v>
      </c>
      <c r="B2" s="201" t="s">
        <v>219</v>
      </c>
      <c r="C2" s="201"/>
      <c r="D2" s="78"/>
    </row>
    <row r="3" spans="1:9" x14ac:dyDescent="0.25">
      <c r="A3" s="27" t="s">
        <v>169</v>
      </c>
      <c r="B3" s="203" t="s">
        <v>220</v>
      </c>
      <c r="C3" s="203"/>
      <c r="D3" s="82"/>
    </row>
    <row r="4" spans="1:9" x14ac:dyDescent="0.25">
      <c r="A4" s="27" t="s">
        <v>4</v>
      </c>
      <c r="B4" s="202">
        <v>44307</v>
      </c>
      <c r="C4" s="202"/>
      <c r="D4" s="82"/>
    </row>
    <row r="5" spans="1:9" x14ac:dyDescent="0.25">
      <c r="A5" s="28" t="s">
        <v>110</v>
      </c>
      <c r="B5" s="213"/>
      <c r="C5" s="214"/>
      <c r="D5" s="82"/>
    </row>
    <row r="6" spans="1:9" x14ac:dyDescent="0.25">
      <c r="A6" s="28" t="s">
        <v>137</v>
      </c>
      <c r="B6" s="206" t="s">
        <v>217</v>
      </c>
      <c r="C6" s="207"/>
      <c r="D6" s="82"/>
      <c r="E6" s="79"/>
      <c r="F6" s="79"/>
      <c r="G6" s="79"/>
      <c r="H6" s="81"/>
      <c r="I6" s="80"/>
    </row>
    <row r="7" spans="1:9" x14ac:dyDescent="0.25">
      <c r="A7" s="28" t="s">
        <v>200</v>
      </c>
      <c r="B7" s="208"/>
      <c r="C7" s="209"/>
      <c r="D7" s="82"/>
      <c r="E7" s="79"/>
      <c r="F7" s="79"/>
      <c r="G7" s="79"/>
      <c r="H7" s="81"/>
      <c r="I7" s="80"/>
    </row>
    <row r="8" spans="1:9" ht="30" customHeight="1" thickBot="1" x14ac:dyDescent="0.3">
      <c r="A8" s="29" t="s">
        <v>16</v>
      </c>
      <c r="B8" s="210" t="s">
        <v>218</v>
      </c>
      <c r="C8" s="211"/>
      <c r="D8" s="212"/>
    </row>
    <row r="9" spans="1:9" ht="15.75" thickBot="1" x14ac:dyDescent="0.3"/>
    <row r="10" spans="1:9" s="92" customFormat="1" ht="45.75" thickBot="1" x14ac:dyDescent="0.3">
      <c r="A10" s="34" t="s">
        <v>18</v>
      </c>
      <c r="B10" s="31" t="s">
        <v>187</v>
      </c>
      <c r="C10" s="35" t="s">
        <v>170</v>
      </c>
      <c r="D10" s="35" t="s">
        <v>171</v>
      </c>
      <c r="E10" s="35" t="s">
        <v>172</v>
      </c>
      <c r="F10" s="35" t="s">
        <v>173</v>
      </c>
      <c r="G10" s="35" t="s">
        <v>175</v>
      </c>
      <c r="H10" s="36" t="s">
        <v>14</v>
      </c>
    </row>
    <row r="11" spans="1:9" x14ac:dyDescent="0.25">
      <c r="A11" s="85">
        <v>0</v>
      </c>
      <c r="B11" s="87">
        <v>9</v>
      </c>
      <c r="C11" s="169">
        <v>45</v>
      </c>
      <c r="D11" s="85">
        <v>46.5</v>
      </c>
      <c r="E11" s="87"/>
      <c r="F11" s="87">
        <f>D11-C11</f>
        <v>1.5</v>
      </c>
      <c r="G11" s="85">
        <f>D11</f>
        <v>46.5</v>
      </c>
      <c r="H11" s="93"/>
    </row>
    <row r="12" spans="1:9" x14ac:dyDescent="0.25">
      <c r="A12" s="89">
        <v>5</v>
      </c>
      <c r="B12" s="50">
        <v>6</v>
      </c>
      <c r="C12" s="170">
        <v>45</v>
      </c>
      <c r="D12" s="89">
        <v>45.5</v>
      </c>
      <c r="E12" s="50"/>
      <c r="F12" s="87">
        <f t="shared" ref="F12:F16" si="0">D12-C12</f>
        <v>0.5</v>
      </c>
      <c r="G12" s="85">
        <f t="shared" ref="G12:G16" si="1">D12</f>
        <v>45.5</v>
      </c>
      <c r="H12" s="49"/>
    </row>
    <row r="13" spans="1:9" x14ac:dyDescent="0.25">
      <c r="A13" s="89">
        <v>10</v>
      </c>
      <c r="B13" s="50">
        <v>6</v>
      </c>
      <c r="C13" s="170">
        <v>45</v>
      </c>
      <c r="D13" s="89">
        <v>47.5</v>
      </c>
      <c r="E13" s="50"/>
      <c r="F13" s="87">
        <f t="shared" si="0"/>
        <v>2.5</v>
      </c>
      <c r="G13" s="85">
        <f t="shared" si="1"/>
        <v>47.5</v>
      </c>
      <c r="H13" s="49"/>
    </row>
    <row r="14" spans="1:9" x14ac:dyDescent="0.25">
      <c r="A14" s="89">
        <v>15</v>
      </c>
      <c r="B14" s="50">
        <v>5</v>
      </c>
      <c r="C14" s="170">
        <v>46.5</v>
      </c>
      <c r="D14" s="89">
        <v>47.5</v>
      </c>
      <c r="E14" s="50"/>
      <c r="F14" s="87">
        <f t="shared" si="0"/>
        <v>1</v>
      </c>
      <c r="G14" s="85">
        <f t="shared" si="1"/>
        <v>47.5</v>
      </c>
      <c r="H14" s="49"/>
    </row>
    <row r="15" spans="1:9" x14ac:dyDescent="0.25">
      <c r="A15" s="89">
        <v>20</v>
      </c>
      <c r="B15" s="50">
        <v>6</v>
      </c>
      <c r="C15" s="170">
        <v>46.5</v>
      </c>
      <c r="D15" s="89">
        <v>47.5</v>
      </c>
      <c r="E15" s="50"/>
      <c r="F15" s="87">
        <f t="shared" si="0"/>
        <v>1</v>
      </c>
      <c r="G15" s="85">
        <f t="shared" si="1"/>
        <v>47.5</v>
      </c>
      <c r="H15" s="49"/>
    </row>
    <row r="16" spans="1:9" x14ac:dyDescent="0.25">
      <c r="A16" s="89">
        <v>25</v>
      </c>
      <c r="B16" s="50">
        <v>5</v>
      </c>
      <c r="C16" s="170">
        <v>46.5</v>
      </c>
      <c r="D16" s="89">
        <v>47.5</v>
      </c>
      <c r="E16" s="50"/>
      <c r="F16" s="87">
        <f t="shared" si="0"/>
        <v>1</v>
      </c>
      <c r="G16" s="85">
        <f t="shared" si="1"/>
        <v>47.5</v>
      </c>
      <c r="H16" s="49"/>
    </row>
    <row r="17" spans="1:8" x14ac:dyDescent="0.25">
      <c r="A17" s="89"/>
      <c r="B17" s="50"/>
      <c r="C17" s="50"/>
      <c r="D17" s="50"/>
      <c r="E17" s="50"/>
      <c r="F17" s="50"/>
      <c r="G17" s="50"/>
      <c r="H17" s="49"/>
    </row>
    <row r="18" spans="1:8" x14ac:dyDescent="0.25">
      <c r="A18" s="89"/>
      <c r="B18" s="50"/>
      <c r="C18" s="50"/>
      <c r="D18" s="50"/>
      <c r="E18" s="50"/>
      <c r="F18" s="50"/>
      <c r="G18" s="50"/>
      <c r="H18" s="49"/>
    </row>
    <row r="19" spans="1:8" x14ac:dyDescent="0.25">
      <c r="A19" s="89"/>
      <c r="B19" s="50"/>
      <c r="C19" s="50"/>
      <c r="D19" s="50"/>
      <c r="E19" s="50"/>
      <c r="F19" s="50"/>
      <c r="G19" s="50"/>
      <c r="H19" s="49"/>
    </row>
    <row r="20" spans="1:8" x14ac:dyDescent="0.25">
      <c r="A20" s="89"/>
      <c r="B20" s="50"/>
      <c r="C20" s="50"/>
      <c r="D20" s="50"/>
      <c r="E20" s="50"/>
      <c r="F20" s="50"/>
      <c r="G20" s="50"/>
      <c r="H20" s="49"/>
    </row>
    <row r="21" spans="1:8" x14ac:dyDescent="0.25">
      <c r="A21" s="89"/>
      <c r="B21" s="50"/>
      <c r="C21" s="50"/>
      <c r="D21" s="50"/>
      <c r="E21" s="50"/>
      <c r="F21" s="50"/>
      <c r="G21" s="50"/>
      <c r="H21" s="49"/>
    </row>
    <row r="22" spans="1:8" x14ac:dyDescent="0.25">
      <c r="A22" s="89"/>
      <c r="B22" s="50"/>
      <c r="C22" s="50"/>
      <c r="D22" s="50"/>
      <c r="E22" s="50"/>
      <c r="F22" s="50"/>
      <c r="G22" s="50"/>
      <c r="H22" s="49"/>
    </row>
    <row r="23" spans="1:8" x14ac:dyDescent="0.25">
      <c r="A23" s="89"/>
      <c r="B23" s="50"/>
      <c r="C23" s="50"/>
      <c r="D23" s="50"/>
      <c r="E23" s="50"/>
      <c r="F23" s="50"/>
      <c r="G23" s="50"/>
      <c r="H23" s="49"/>
    </row>
    <row r="24" spans="1:8" x14ac:dyDescent="0.25">
      <c r="A24" s="89"/>
      <c r="B24" s="50"/>
      <c r="C24" s="50"/>
      <c r="D24" s="50"/>
      <c r="E24" s="50"/>
      <c r="F24" s="50"/>
      <c r="G24" s="50"/>
      <c r="H24" s="49"/>
    </row>
    <row r="25" spans="1:8" x14ac:dyDescent="0.25">
      <c r="A25" s="89"/>
      <c r="B25" s="50"/>
      <c r="C25" s="50"/>
      <c r="D25" s="50"/>
      <c r="E25" s="50"/>
      <c r="F25" s="50"/>
      <c r="G25" s="50"/>
      <c r="H25" s="49"/>
    </row>
    <row r="26" spans="1:8" x14ac:dyDescent="0.25">
      <c r="A26" s="89"/>
      <c r="B26" s="50"/>
      <c r="C26" s="50"/>
      <c r="D26" s="50"/>
      <c r="E26" s="50"/>
      <c r="F26" s="50"/>
      <c r="G26" s="50"/>
      <c r="H26" s="49"/>
    </row>
    <row r="27" spans="1:8" x14ac:dyDescent="0.25">
      <c r="A27" s="89"/>
      <c r="B27" s="50"/>
      <c r="C27" s="50"/>
      <c r="D27" s="50"/>
      <c r="E27" s="50"/>
      <c r="F27" s="50"/>
      <c r="G27" s="50"/>
      <c r="H27" s="49"/>
    </row>
    <row r="28" spans="1:8" x14ac:dyDescent="0.25">
      <c r="A28" s="89"/>
      <c r="B28" s="50"/>
      <c r="C28" s="50"/>
      <c r="D28" s="50"/>
      <c r="E28" s="50"/>
      <c r="F28" s="50"/>
      <c r="G28" s="50"/>
      <c r="H28" s="49"/>
    </row>
    <row r="29" spans="1:8" x14ac:dyDescent="0.25">
      <c r="A29" s="89"/>
      <c r="B29" s="50"/>
      <c r="C29" s="50"/>
      <c r="D29" s="50"/>
      <c r="E29" s="50"/>
      <c r="F29" s="50"/>
      <c r="G29" s="50"/>
      <c r="H29" s="49"/>
    </row>
    <row r="30" spans="1:8" x14ac:dyDescent="0.25">
      <c r="A30" s="89"/>
      <c r="B30" s="50"/>
      <c r="C30" s="50"/>
      <c r="D30" s="50"/>
      <c r="E30" s="50"/>
      <c r="F30" s="50"/>
      <c r="G30" s="50"/>
      <c r="H30" s="49"/>
    </row>
    <row r="31" spans="1:8" x14ac:dyDescent="0.25">
      <c r="A31" s="89"/>
      <c r="B31" s="50"/>
      <c r="C31" s="50"/>
      <c r="D31" s="50"/>
      <c r="E31" s="50"/>
      <c r="F31" s="50"/>
      <c r="G31" s="50"/>
      <c r="H31" s="49"/>
    </row>
    <row r="32" spans="1:8" x14ac:dyDescent="0.25">
      <c r="A32" s="89"/>
      <c r="B32" s="50"/>
      <c r="C32" s="50"/>
      <c r="D32" s="50"/>
      <c r="E32" s="50"/>
      <c r="F32" s="50"/>
      <c r="G32" s="50"/>
      <c r="H32" s="49"/>
    </row>
    <row r="33" spans="1:8" x14ac:dyDescent="0.25">
      <c r="A33" s="89"/>
      <c r="B33" s="50"/>
      <c r="C33" s="50"/>
      <c r="D33" s="50"/>
      <c r="E33" s="50"/>
      <c r="F33" s="50"/>
      <c r="G33" s="50"/>
      <c r="H33" s="49"/>
    </row>
    <row r="34" spans="1:8" x14ac:dyDescent="0.25">
      <c r="A34" s="89"/>
      <c r="B34" s="50"/>
      <c r="C34" s="50"/>
      <c r="D34" s="50"/>
      <c r="E34" s="50"/>
      <c r="F34" s="50"/>
      <c r="G34" s="50"/>
      <c r="H34" s="49"/>
    </row>
    <row r="35" spans="1:8" x14ac:dyDescent="0.25">
      <c r="A35" s="89"/>
      <c r="B35" s="50"/>
      <c r="C35" s="50"/>
      <c r="D35" s="50"/>
      <c r="E35" s="50"/>
      <c r="F35" s="50"/>
      <c r="G35" s="50"/>
      <c r="H35" s="49"/>
    </row>
    <row r="36" spans="1:8" x14ac:dyDescent="0.25">
      <c r="A36" s="89"/>
      <c r="B36" s="50"/>
      <c r="C36" s="50"/>
      <c r="D36" s="50"/>
      <c r="E36" s="50"/>
      <c r="F36" s="50"/>
      <c r="G36" s="50"/>
      <c r="H36" s="49"/>
    </row>
    <row r="37" spans="1:8" x14ac:dyDescent="0.25">
      <c r="A37" s="89"/>
      <c r="B37" s="50"/>
      <c r="C37" s="50"/>
      <c r="D37" s="50"/>
      <c r="E37" s="50"/>
      <c r="F37" s="50"/>
      <c r="G37" s="50"/>
      <c r="H37" s="49"/>
    </row>
    <row r="38" spans="1:8" x14ac:dyDescent="0.25">
      <c r="A38" s="89"/>
      <c r="B38" s="50"/>
      <c r="C38" s="50"/>
      <c r="D38" s="50"/>
      <c r="E38" s="50"/>
      <c r="F38" s="50"/>
      <c r="G38" s="50"/>
      <c r="H38" s="49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opLeftCell="A7" zoomScale="80" zoomScaleNormal="80" workbookViewId="0">
      <selection activeCell="D18" sqref="D18:D22"/>
    </sheetView>
  </sheetViews>
  <sheetFormatPr defaultColWidth="9.140625" defaultRowHeight="15" x14ac:dyDescent="0.25"/>
  <cols>
    <col min="1" max="1" width="29.42578125" style="53" bestFit="1" customWidth="1"/>
    <col min="2" max="8" width="15.85546875" style="53" customWidth="1"/>
    <col min="9" max="9" width="36.85546875" style="53" customWidth="1"/>
    <col min="10" max="10" width="9.140625" style="53"/>
    <col min="11" max="13" width="15.85546875" style="53" customWidth="1"/>
    <col min="14" max="14" width="36.85546875" style="53" customWidth="1"/>
    <col min="15" max="16384" width="9.140625" style="53"/>
  </cols>
  <sheetData>
    <row r="1" spans="1:13" ht="31.5" x14ac:dyDescent="0.5">
      <c r="A1" s="217" t="s">
        <v>127</v>
      </c>
      <c r="B1" s="217"/>
      <c r="C1" s="217"/>
      <c r="D1" s="217"/>
    </row>
    <row r="2" spans="1:13" x14ac:dyDescent="0.25">
      <c r="A2" s="4" t="s">
        <v>17</v>
      </c>
      <c r="B2" s="221" t="str">
        <f>CONCATENATE(ExpID,"-",StnNum,"-",StnDay)</f>
        <v>KF_April2021-1-1</v>
      </c>
      <c r="C2" s="221"/>
      <c r="D2" s="118"/>
    </row>
    <row r="3" spans="1:13" x14ac:dyDescent="0.25">
      <c r="A3" s="4" t="s">
        <v>169</v>
      </c>
      <c r="B3" s="203"/>
      <c r="C3" s="203"/>
      <c r="D3" s="119"/>
    </row>
    <row r="4" spans="1:13" x14ac:dyDescent="0.25">
      <c r="A4" s="4" t="s">
        <v>4</v>
      </c>
      <c r="B4" s="202">
        <f>ObsDate</f>
        <v>44307</v>
      </c>
      <c r="C4" s="202"/>
      <c r="D4" s="119"/>
    </row>
    <row r="5" spans="1:13" x14ac:dyDescent="0.25">
      <c r="A5" s="6" t="s">
        <v>110</v>
      </c>
      <c r="B5" s="204"/>
      <c r="C5" s="204"/>
      <c r="D5" s="119"/>
    </row>
    <row r="6" spans="1:13" x14ac:dyDescent="0.25">
      <c r="A6" s="6" t="s">
        <v>137</v>
      </c>
      <c r="B6" s="205" t="s">
        <v>227</v>
      </c>
      <c r="C6" s="205"/>
      <c r="D6" s="119"/>
      <c r="E6" s="79"/>
    </row>
    <row r="7" spans="1:13" ht="30" customHeight="1" x14ac:dyDescent="0.25">
      <c r="A7" s="7" t="s">
        <v>16</v>
      </c>
      <c r="B7" s="218"/>
      <c r="C7" s="219"/>
      <c r="D7" s="220"/>
    </row>
    <row r="9" spans="1:13" x14ac:dyDescent="0.25">
      <c r="A9" s="55" t="s">
        <v>125</v>
      </c>
    </row>
    <row r="10" spans="1:13" x14ac:dyDescent="0.25">
      <c r="A10" s="9" t="s">
        <v>176</v>
      </c>
      <c r="B10" s="114"/>
      <c r="K10" s="215" t="s">
        <v>207</v>
      </c>
      <c r="L10" s="216"/>
      <c r="M10" s="50">
        <v>48.5</v>
      </c>
    </row>
    <row r="11" spans="1:13" x14ac:dyDescent="0.25">
      <c r="A11" s="9" t="s">
        <v>177</v>
      </c>
      <c r="B11" s="114">
        <v>47</v>
      </c>
      <c r="K11" s="215" t="s">
        <v>148</v>
      </c>
      <c r="L11" s="216"/>
      <c r="M11" s="49"/>
    </row>
    <row r="12" spans="1:13" x14ac:dyDescent="0.25">
      <c r="A12" s="9" t="s">
        <v>178</v>
      </c>
      <c r="B12" s="114">
        <v>46.5</v>
      </c>
      <c r="K12" s="9" t="s">
        <v>147</v>
      </c>
      <c r="L12" s="9"/>
      <c r="M12" s="48">
        <f>SUM(M18:M50)</f>
        <v>0</v>
      </c>
    </row>
    <row r="13" spans="1:13" x14ac:dyDescent="0.25">
      <c r="A13" s="9" t="s">
        <v>173</v>
      </c>
      <c r="B13" s="114"/>
    </row>
    <row r="14" spans="1:13" x14ac:dyDescent="0.25">
      <c r="A14" s="9" t="s">
        <v>175</v>
      </c>
      <c r="B14" s="114"/>
    </row>
    <row r="15" spans="1:13" x14ac:dyDescent="0.25">
      <c r="A15" s="9" t="s">
        <v>187</v>
      </c>
      <c r="B15" s="114">
        <v>7</v>
      </c>
    </row>
    <row r="17" spans="1:14" s="84" customFormat="1" ht="45" x14ac:dyDescent="0.25">
      <c r="A17" s="12" t="s">
        <v>129</v>
      </c>
      <c r="B17" s="12" t="s">
        <v>182</v>
      </c>
      <c r="C17" s="12" t="s">
        <v>183</v>
      </c>
      <c r="D17" s="12" t="s">
        <v>130</v>
      </c>
      <c r="E17" s="12" t="s">
        <v>131</v>
      </c>
      <c r="F17" s="12" t="s">
        <v>132</v>
      </c>
      <c r="G17" s="12" t="s">
        <v>184</v>
      </c>
      <c r="H17" s="12" t="s">
        <v>133</v>
      </c>
      <c r="I17" s="12" t="s">
        <v>14</v>
      </c>
      <c r="K17" s="12" t="s">
        <v>134</v>
      </c>
      <c r="L17" s="12" t="s">
        <v>185</v>
      </c>
      <c r="M17" s="12" t="s">
        <v>186</v>
      </c>
      <c r="N17" s="12" t="s">
        <v>14</v>
      </c>
    </row>
    <row r="18" spans="1:14" x14ac:dyDescent="0.25">
      <c r="A18" s="115" t="s">
        <v>230</v>
      </c>
      <c r="B18" s="114">
        <v>0</v>
      </c>
      <c r="C18" s="114">
        <v>10</v>
      </c>
      <c r="D18" s="90">
        <v>5.4</v>
      </c>
      <c r="E18" s="90">
        <v>9.7899999999999991</v>
      </c>
      <c r="F18" s="116">
        <v>12.4</v>
      </c>
      <c r="G18" s="114"/>
      <c r="H18" s="90"/>
      <c r="I18" s="117"/>
      <c r="K18" s="115"/>
      <c r="L18" s="114"/>
      <c r="M18" s="114"/>
      <c r="N18" s="117"/>
    </row>
    <row r="19" spans="1:14" x14ac:dyDescent="0.25">
      <c r="A19" s="115" t="s">
        <v>231</v>
      </c>
      <c r="B19" s="114">
        <v>10</v>
      </c>
      <c r="C19" s="114">
        <v>20</v>
      </c>
      <c r="D19" s="90">
        <v>5.9</v>
      </c>
      <c r="E19" s="90">
        <v>10.61</v>
      </c>
      <c r="F19" s="116">
        <v>13.4</v>
      </c>
      <c r="G19" s="114"/>
      <c r="H19" s="90"/>
      <c r="I19" s="117"/>
      <c r="K19" s="115"/>
      <c r="L19" s="114"/>
      <c r="M19" s="114"/>
      <c r="N19" s="117"/>
    </row>
    <row r="20" spans="1:14" x14ac:dyDescent="0.25">
      <c r="A20" s="115" t="s">
        <v>232</v>
      </c>
      <c r="B20" s="114">
        <v>20</v>
      </c>
      <c r="C20" s="114">
        <v>30</v>
      </c>
      <c r="D20" s="90">
        <v>4.9000000000000004</v>
      </c>
      <c r="E20" s="90">
        <v>9.0399999999999991</v>
      </c>
      <c r="F20" s="116">
        <v>9.6999999999999993</v>
      </c>
      <c r="G20" s="114"/>
      <c r="H20" s="90"/>
      <c r="I20" s="117"/>
      <c r="K20" s="115"/>
      <c r="L20" s="114"/>
      <c r="M20" s="114"/>
      <c r="N20" s="117"/>
    </row>
    <row r="21" spans="1:14" x14ac:dyDescent="0.25">
      <c r="A21" s="115" t="s">
        <v>233</v>
      </c>
      <c r="B21" s="114">
        <v>30</v>
      </c>
      <c r="C21" s="114">
        <v>40</v>
      </c>
      <c r="D21" s="90">
        <v>5.3</v>
      </c>
      <c r="E21" s="90">
        <v>9.6300000000000008</v>
      </c>
      <c r="F21" s="116">
        <v>11</v>
      </c>
      <c r="G21" s="114"/>
      <c r="H21" s="90"/>
      <c r="I21" s="117"/>
      <c r="K21" s="115"/>
      <c r="L21" s="114"/>
      <c r="M21" s="114"/>
      <c r="N21" s="117"/>
    </row>
    <row r="22" spans="1:14" x14ac:dyDescent="0.25">
      <c r="A22" s="115" t="s">
        <v>234</v>
      </c>
      <c r="B22" s="114">
        <v>40</v>
      </c>
      <c r="C22" s="114">
        <v>48.5</v>
      </c>
      <c r="D22" s="90">
        <v>5.3</v>
      </c>
      <c r="E22" s="90">
        <v>9.5</v>
      </c>
      <c r="F22" s="116">
        <v>14.2</v>
      </c>
      <c r="G22" s="114"/>
      <c r="H22" s="90"/>
      <c r="I22" s="117"/>
      <c r="K22" s="115"/>
      <c r="L22" s="114"/>
      <c r="M22" s="114"/>
      <c r="N22" s="117"/>
    </row>
    <row r="23" spans="1:14" x14ac:dyDescent="0.25">
      <c r="A23" s="115"/>
      <c r="B23" s="114"/>
      <c r="C23" s="114"/>
      <c r="D23" s="90"/>
      <c r="E23" s="90"/>
      <c r="F23" s="116"/>
      <c r="G23" s="114"/>
      <c r="H23" s="90"/>
      <c r="I23" s="117"/>
      <c r="K23" s="115"/>
      <c r="L23" s="114"/>
      <c r="M23" s="114"/>
      <c r="N23" s="117"/>
    </row>
    <row r="24" spans="1:14" x14ac:dyDescent="0.25">
      <c r="A24" s="115" t="s">
        <v>242</v>
      </c>
      <c r="B24" s="114">
        <v>4</v>
      </c>
      <c r="C24" s="114">
        <v>0</v>
      </c>
      <c r="D24" s="90">
        <v>12.8</v>
      </c>
      <c r="E24" s="90">
        <v>21.4</v>
      </c>
      <c r="F24" s="116">
        <v>19.100000000000001</v>
      </c>
      <c r="G24" s="114"/>
      <c r="H24" s="90"/>
      <c r="I24" s="117" t="s">
        <v>243</v>
      </c>
      <c r="K24" s="115"/>
      <c r="L24" s="114"/>
      <c r="M24" s="114"/>
      <c r="N24" s="117"/>
    </row>
    <row r="25" spans="1:14" x14ac:dyDescent="0.25">
      <c r="A25" s="115"/>
      <c r="B25" s="114"/>
      <c r="C25" s="114"/>
      <c r="D25" s="90"/>
      <c r="E25" s="90"/>
      <c r="F25" s="116"/>
      <c r="G25" s="114"/>
      <c r="H25" s="90"/>
      <c r="I25" s="117"/>
      <c r="K25" s="115"/>
      <c r="L25" s="114"/>
      <c r="M25" s="114"/>
      <c r="N25" s="117"/>
    </row>
    <row r="26" spans="1:14" x14ac:dyDescent="0.25">
      <c r="A26" s="115"/>
      <c r="B26" s="114"/>
      <c r="C26" s="114"/>
      <c r="D26" s="90"/>
      <c r="E26" s="90"/>
      <c r="F26" s="116"/>
      <c r="G26" s="114"/>
      <c r="H26" s="90"/>
      <c r="I26" s="117"/>
      <c r="K26" s="115"/>
      <c r="L26" s="114"/>
      <c r="M26" s="114"/>
      <c r="N26" s="117"/>
    </row>
    <row r="27" spans="1:14" x14ac:dyDescent="0.25">
      <c r="A27" s="115"/>
      <c r="B27" s="114"/>
      <c r="C27" s="114"/>
      <c r="D27" s="90"/>
      <c r="E27" s="90"/>
      <c r="F27" s="116"/>
      <c r="G27" s="114"/>
      <c r="H27" s="90"/>
      <c r="I27" s="117"/>
      <c r="K27" s="115"/>
      <c r="L27" s="114"/>
      <c r="M27" s="114"/>
      <c r="N27" s="117"/>
    </row>
    <row r="28" spans="1:14" x14ac:dyDescent="0.25">
      <c r="A28" s="115"/>
      <c r="B28" s="114"/>
      <c r="C28" s="114"/>
      <c r="D28" s="90"/>
      <c r="E28" s="90"/>
      <c r="F28" s="116"/>
      <c r="G28" s="114"/>
      <c r="H28" s="90"/>
      <c r="I28" s="117"/>
      <c r="K28" s="115"/>
      <c r="L28" s="114"/>
      <c r="M28" s="114"/>
      <c r="N28" s="117"/>
    </row>
    <row r="29" spans="1:14" x14ac:dyDescent="0.25">
      <c r="A29" s="115"/>
      <c r="B29" s="114"/>
      <c r="C29" s="114"/>
      <c r="D29" s="90"/>
      <c r="E29" s="90"/>
      <c r="F29" s="116"/>
      <c r="G29" s="114"/>
      <c r="H29" s="90"/>
      <c r="I29" s="117"/>
      <c r="K29" s="115"/>
      <c r="L29" s="114"/>
      <c r="M29" s="114"/>
      <c r="N29" s="117"/>
    </row>
    <row r="30" spans="1:14" x14ac:dyDescent="0.25">
      <c r="A30" s="115"/>
      <c r="B30" s="114"/>
      <c r="C30" s="114"/>
      <c r="D30" s="90"/>
      <c r="E30" s="90"/>
      <c r="F30" s="116"/>
      <c r="G30" s="114"/>
      <c r="H30" s="90"/>
      <c r="I30" s="117"/>
      <c r="K30" s="115"/>
      <c r="L30" s="114"/>
      <c r="M30" s="114"/>
      <c r="N30" s="117"/>
    </row>
    <row r="31" spans="1:14" x14ac:dyDescent="0.25">
      <c r="A31" s="115"/>
      <c r="B31" s="114"/>
      <c r="C31" s="114"/>
      <c r="D31" s="90"/>
      <c r="E31" s="90"/>
      <c r="F31" s="116"/>
      <c r="G31" s="114"/>
      <c r="H31" s="90"/>
      <c r="I31" s="117"/>
      <c r="K31" s="115"/>
      <c r="L31" s="114"/>
      <c r="M31" s="114"/>
      <c r="N31" s="117"/>
    </row>
    <row r="32" spans="1:14" x14ac:dyDescent="0.25">
      <c r="A32" s="115"/>
      <c r="B32" s="114"/>
      <c r="C32" s="114"/>
      <c r="D32" s="90"/>
      <c r="E32" s="90"/>
      <c r="F32" s="116"/>
      <c r="G32" s="114"/>
      <c r="H32" s="90"/>
      <c r="I32" s="117"/>
      <c r="K32" s="115"/>
      <c r="L32" s="114"/>
      <c r="M32" s="114"/>
      <c r="N32" s="117"/>
    </row>
    <row r="33" spans="1:14" x14ac:dyDescent="0.25">
      <c r="A33" s="115"/>
      <c r="B33" s="114"/>
      <c r="C33" s="114"/>
      <c r="D33" s="90"/>
      <c r="E33" s="90"/>
      <c r="F33" s="116"/>
      <c r="G33" s="114"/>
      <c r="H33" s="90"/>
      <c r="I33" s="117"/>
      <c r="K33" s="115"/>
      <c r="L33" s="114"/>
      <c r="M33" s="114"/>
      <c r="N33" s="117"/>
    </row>
    <row r="34" spans="1:14" x14ac:dyDescent="0.25">
      <c r="A34" s="115"/>
      <c r="B34" s="114"/>
      <c r="C34" s="114"/>
      <c r="D34" s="90"/>
      <c r="E34" s="90"/>
      <c r="F34" s="116"/>
      <c r="G34" s="114"/>
      <c r="H34" s="90"/>
      <c r="I34" s="117"/>
      <c r="K34" s="115"/>
      <c r="L34" s="114"/>
      <c r="M34" s="114"/>
      <c r="N34" s="117"/>
    </row>
    <row r="35" spans="1:14" x14ac:dyDescent="0.25">
      <c r="A35" s="115"/>
      <c r="B35" s="114"/>
      <c r="C35" s="114"/>
      <c r="D35" s="90"/>
      <c r="E35" s="90"/>
      <c r="F35" s="116"/>
      <c r="G35" s="114"/>
      <c r="H35" s="90"/>
      <c r="I35" s="117"/>
      <c r="K35" s="115"/>
      <c r="L35" s="114"/>
      <c r="M35" s="114"/>
      <c r="N35" s="117"/>
    </row>
    <row r="36" spans="1:14" x14ac:dyDescent="0.25">
      <c r="A36" s="115"/>
      <c r="B36" s="114"/>
      <c r="C36" s="114"/>
      <c r="D36" s="90"/>
      <c r="E36" s="90"/>
      <c r="F36" s="116"/>
      <c r="G36" s="114"/>
      <c r="H36" s="90"/>
      <c r="I36" s="117"/>
      <c r="K36" s="115"/>
      <c r="L36" s="114"/>
      <c r="M36" s="114"/>
      <c r="N36" s="117"/>
    </row>
    <row r="37" spans="1:14" x14ac:dyDescent="0.25">
      <c r="A37" s="115"/>
      <c r="B37" s="114"/>
      <c r="C37" s="114"/>
      <c r="D37" s="90"/>
      <c r="E37" s="90"/>
      <c r="F37" s="116"/>
      <c r="G37" s="114"/>
      <c r="H37" s="90"/>
      <c r="I37" s="117"/>
      <c r="K37" s="115"/>
      <c r="L37" s="114"/>
      <c r="M37" s="114"/>
      <c r="N37" s="117"/>
    </row>
    <row r="38" spans="1:14" x14ac:dyDescent="0.25">
      <c r="A38" s="115"/>
      <c r="B38" s="114"/>
      <c r="C38" s="114"/>
      <c r="D38" s="90"/>
      <c r="E38" s="90"/>
      <c r="F38" s="116"/>
      <c r="G38" s="114"/>
      <c r="H38" s="90"/>
      <c r="I38" s="117"/>
      <c r="K38" s="115"/>
      <c r="L38" s="114"/>
      <c r="M38" s="114"/>
      <c r="N38" s="117"/>
    </row>
    <row r="39" spans="1:14" x14ac:dyDescent="0.25">
      <c r="A39" s="115"/>
      <c r="B39" s="114"/>
      <c r="C39" s="114"/>
      <c r="D39" s="90"/>
      <c r="E39" s="90"/>
      <c r="F39" s="116"/>
      <c r="G39" s="114"/>
      <c r="H39" s="90"/>
      <c r="I39" s="117"/>
      <c r="K39" s="115"/>
      <c r="L39" s="114"/>
      <c r="M39" s="114"/>
      <c r="N39" s="117"/>
    </row>
    <row r="40" spans="1:14" x14ac:dyDescent="0.25">
      <c r="A40" s="115"/>
      <c r="B40" s="114"/>
      <c r="C40" s="114"/>
      <c r="D40" s="90"/>
      <c r="E40" s="90"/>
      <c r="F40" s="116"/>
      <c r="G40" s="114"/>
      <c r="H40" s="90"/>
      <c r="I40" s="117"/>
      <c r="K40" s="115"/>
      <c r="L40" s="114"/>
      <c r="M40" s="114"/>
      <c r="N40" s="117"/>
    </row>
    <row r="41" spans="1:14" x14ac:dyDescent="0.25">
      <c r="A41" s="115"/>
      <c r="B41" s="114"/>
      <c r="C41" s="114"/>
      <c r="D41" s="90"/>
      <c r="E41" s="90"/>
      <c r="F41" s="116"/>
      <c r="G41" s="114"/>
      <c r="H41" s="90"/>
      <c r="I41" s="117"/>
      <c r="K41" s="115"/>
      <c r="L41" s="114"/>
      <c r="M41" s="114"/>
      <c r="N41" s="117"/>
    </row>
    <row r="42" spans="1:14" x14ac:dyDescent="0.25">
      <c r="A42" s="115"/>
      <c r="B42" s="114"/>
      <c r="C42" s="114"/>
      <c r="D42" s="90"/>
      <c r="E42" s="90"/>
      <c r="F42" s="116"/>
      <c r="G42" s="114"/>
      <c r="H42" s="90"/>
      <c r="I42" s="117"/>
      <c r="K42" s="115"/>
      <c r="L42" s="114"/>
      <c r="M42" s="114"/>
      <c r="N42" s="117"/>
    </row>
    <row r="43" spans="1:14" x14ac:dyDescent="0.25">
      <c r="A43" s="115"/>
      <c r="B43" s="114"/>
      <c r="C43" s="114"/>
      <c r="D43" s="90"/>
      <c r="E43" s="90"/>
      <c r="F43" s="116"/>
      <c r="G43" s="114"/>
      <c r="H43" s="90"/>
      <c r="I43" s="117"/>
      <c r="K43" s="115"/>
      <c r="L43" s="114"/>
      <c r="M43" s="114"/>
      <c r="N43" s="117"/>
    </row>
    <row r="44" spans="1:14" x14ac:dyDescent="0.25">
      <c r="A44" s="115"/>
      <c r="B44" s="114"/>
      <c r="C44" s="114"/>
      <c r="D44" s="90"/>
      <c r="E44" s="90"/>
      <c r="F44" s="116"/>
      <c r="G44" s="114"/>
      <c r="H44" s="90"/>
      <c r="I44" s="117"/>
      <c r="K44" s="115"/>
      <c r="L44" s="114"/>
      <c r="M44" s="114"/>
      <c r="N44" s="117"/>
    </row>
    <row r="45" spans="1:14" x14ac:dyDescent="0.25">
      <c r="A45" s="115"/>
      <c r="B45" s="114"/>
      <c r="C45" s="114"/>
      <c r="D45" s="90"/>
      <c r="E45" s="90"/>
      <c r="F45" s="116"/>
      <c r="G45" s="114"/>
      <c r="H45" s="90"/>
      <c r="I45" s="117"/>
      <c r="K45" s="115"/>
      <c r="L45" s="114"/>
      <c r="M45" s="114"/>
      <c r="N45" s="117"/>
    </row>
    <row r="46" spans="1:14" x14ac:dyDescent="0.25">
      <c r="A46" s="115"/>
      <c r="B46" s="114"/>
      <c r="C46" s="114"/>
      <c r="D46" s="90"/>
      <c r="E46" s="90"/>
      <c r="F46" s="116"/>
      <c r="G46" s="114"/>
      <c r="H46" s="90"/>
      <c r="I46" s="117"/>
      <c r="K46" s="115"/>
      <c r="L46" s="114"/>
      <c r="M46" s="114"/>
      <c r="N46" s="117"/>
    </row>
    <row r="47" spans="1:14" x14ac:dyDescent="0.25">
      <c r="A47" s="115"/>
      <c r="B47" s="114"/>
      <c r="C47" s="114"/>
      <c r="D47" s="90"/>
      <c r="E47" s="90"/>
      <c r="F47" s="116"/>
      <c r="G47" s="114"/>
      <c r="H47" s="90"/>
      <c r="I47" s="117"/>
      <c r="K47" s="115"/>
      <c r="L47" s="114"/>
      <c r="M47" s="114"/>
      <c r="N47" s="117"/>
    </row>
    <row r="48" spans="1:14" x14ac:dyDescent="0.25">
      <c r="A48" s="115"/>
      <c r="B48" s="114"/>
      <c r="C48" s="114"/>
      <c r="D48" s="90"/>
      <c r="E48" s="90"/>
      <c r="F48" s="116"/>
      <c r="G48" s="114"/>
      <c r="H48" s="90"/>
      <c r="I48" s="117"/>
      <c r="K48" s="115"/>
      <c r="L48" s="114"/>
      <c r="M48" s="114"/>
      <c r="N48" s="117"/>
    </row>
    <row r="49" spans="1:14" x14ac:dyDescent="0.25">
      <c r="A49" s="115"/>
      <c r="B49" s="114"/>
      <c r="C49" s="114"/>
      <c r="D49" s="90"/>
      <c r="E49" s="90"/>
      <c r="F49" s="116"/>
      <c r="G49" s="114"/>
      <c r="H49" s="90"/>
      <c r="I49" s="117"/>
      <c r="K49" s="115"/>
      <c r="L49" s="114"/>
      <c r="M49" s="114"/>
      <c r="N49" s="117"/>
    </row>
    <row r="50" spans="1:14" x14ac:dyDescent="0.25">
      <c r="A50" s="115"/>
      <c r="B50" s="114"/>
      <c r="C50" s="114"/>
      <c r="D50" s="90"/>
      <c r="E50" s="90"/>
      <c r="F50" s="116"/>
      <c r="G50" s="114"/>
      <c r="H50" s="90"/>
      <c r="I50" s="117"/>
      <c r="K50" s="115"/>
      <c r="L50" s="114"/>
      <c r="M50" s="114"/>
      <c r="N50" s="117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40625" defaultRowHeight="15" x14ac:dyDescent="0.25"/>
  <cols>
    <col min="1" max="1" width="23.85546875" style="53" bestFit="1" customWidth="1"/>
    <col min="2" max="2" width="16.42578125" style="53" bestFit="1" customWidth="1"/>
    <col min="3" max="3" width="12.85546875" style="53" customWidth="1"/>
    <col min="4" max="4" width="29.42578125" style="53" bestFit="1" customWidth="1"/>
    <col min="5" max="5" width="18.85546875" style="53" customWidth="1"/>
    <col min="6" max="6" width="20.140625" style="53" bestFit="1" customWidth="1"/>
    <col min="7" max="7" width="18.85546875" style="53" customWidth="1"/>
    <col min="8" max="8" width="36.85546875" style="53" customWidth="1"/>
    <col min="9" max="16384" width="9.140625" style="53"/>
  </cols>
  <sheetData>
    <row r="1" spans="1:9" ht="34.5" thickBot="1" x14ac:dyDescent="0.55000000000000004">
      <c r="A1" s="225" t="s">
        <v>124</v>
      </c>
      <c r="B1" s="225"/>
      <c r="C1" s="225"/>
      <c r="D1" s="225"/>
    </row>
    <row r="2" spans="1:9" x14ac:dyDescent="0.25">
      <c r="A2" s="37" t="s">
        <v>17</v>
      </c>
      <c r="B2" s="201" t="str">
        <f>CONCATENATE(ExpID,"-",StnNum,"-",StnDay)</f>
        <v>KF_April2021-1-1</v>
      </c>
      <c r="C2" s="201"/>
      <c r="D2" s="78"/>
    </row>
    <row r="3" spans="1:9" x14ac:dyDescent="0.25">
      <c r="A3" s="38" t="s">
        <v>169</v>
      </c>
      <c r="B3" s="203"/>
      <c r="C3" s="203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04"/>
      <c r="C5" s="204"/>
      <c r="D5" s="82"/>
    </row>
    <row r="6" spans="1:9" x14ac:dyDescent="0.25">
      <c r="A6" s="39" t="s">
        <v>137</v>
      </c>
      <c r="B6" s="206" t="s">
        <v>227</v>
      </c>
      <c r="C6" s="207"/>
      <c r="D6" s="82"/>
    </row>
    <row r="7" spans="1:9" x14ac:dyDescent="0.25">
      <c r="A7" s="226" t="s">
        <v>204</v>
      </c>
      <c r="B7" s="227"/>
      <c r="C7" s="45"/>
      <c r="D7" s="82"/>
      <c r="E7" s="94"/>
      <c r="F7" s="79"/>
      <c r="G7" s="79"/>
      <c r="H7" s="81"/>
      <c r="I7" s="80"/>
    </row>
    <row r="8" spans="1:9" ht="30" customHeight="1" thickBot="1" x14ac:dyDescent="0.3">
      <c r="A8" s="40" t="s">
        <v>16</v>
      </c>
      <c r="B8" s="222" t="s">
        <v>237</v>
      </c>
      <c r="C8" s="223"/>
      <c r="D8" s="224"/>
    </row>
    <row r="10" spans="1:9" ht="15.75" thickBot="1" x14ac:dyDescent="0.3">
      <c r="A10" s="55" t="s">
        <v>81</v>
      </c>
      <c r="D10" s="55" t="s">
        <v>125</v>
      </c>
    </row>
    <row r="11" spans="1:9" x14ac:dyDescent="0.25">
      <c r="A11" s="17" t="s">
        <v>143</v>
      </c>
      <c r="B11" s="99">
        <v>-5.3</v>
      </c>
      <c r="D11" s="17" t="s">
        <v>176</v>
      </c>
      <c r="E11" s="102"/>
    </row>
    <row r="12" spans="1:9" x14ac:dyDescent="0.25">
      <c r="A12" s="18" t="s">
        <v>144</v>
      </c>
      <c r="B12" s="100">
        <v>-4.5</v>
      </c>
      <c r="D12" s="18" t="s">
        <v>177</v>
      </c>
      <c r="E12" s="103">
        <v>48</v>
      </c>
    </row>
    <row r="13" spans="1:9" x14ac:dyDescent="0.25">
      <c r="A13" s="18" t="s">
        <v>145</v>
      </c>
      <c r="B13" s="100">
        <v>-2.8</v>
      </c>
      <c r="D13" s="18" t="s">
        <v>178</v>
      </c>
      <c r="E13" s="103">
        <v>47</v>
      </c>
    </row>
    <row r="14" spans="1:9" ht="15.75" thickBot="1" x14ac:dyDescent="0.3">
      <c r="A14" s="20" t="s">
        <v>146</v>
      </c>
      <c r="B14" s="101">
        <v>-1.5</v>
      </c>
      <c r="D14" s="18" t="s">
        <v>173</v>
      </c>
      <c r="E14" s="103"/>
    </row>
    <row r="15" spans="1:9" x14ac:dyDescent="0.25">
      <c r="D15" s="18" t="s">
        <v>175</v>
      </c>
      <c r="E15" s="103"/>
    </row>
    <row r="16" spans="1:9" ht="15.75" thickBot="1" x14ac:dyDescent="0.3">
      <c r="D16" s="20" t="s">
        <v>187</v>
      </c>
      <c r="E16" s="104">
        <v>7</v>
      </c>
      <c r="F16" s="53" t="s">
        <v>228</v>
      </c>
    </row>
    <row r="17" spans="1:8" ht="15.75" thickBot="1" x14ac:dyDescent="0.3"/>
    <row r="18" spans="1:8" x14ac:dyDescent="0.25">
      <c r="D18" s="17" t="s">
        <v>207</v>
      </c>
      <c r="E18" s="105">
        <v>47</v>
      </c>
      <c r="F18" s="95"/>
      <c r="G18" s="96"/>
    </row>
    <row r="19" spans="1:8" x14ac:dyDescent="0.25">
      <c r="D19" s="18" t="s">
        <v>148</v>
      </c>
      <c r="E19" s="106">
        <v>1</v>
      </c>
      <c r="F19" s="64"/>
      <c r="G19" s="97"/>
    </row>
    <row r="20" spans="1:8" ht="15.75" thickBot="1" x14ac:dyDescent="0.3">
      <c r="D20" s="20" t="s">
        <v>147</v>
      </c>
      <c r="E20" s="98"/>
      <c r="F20" s="98"/>
      <c r="G20" s="41">
        <v>47</v>
      </c>
    </row>
    <row r="21" spans="1:8" ht="15.75" thickBot="1" x14ac:dyDescent="0.3"/>
    <row r="22" spans="1:8" ht="15.75" thickBot="1" x14ac:dyDescent="0.3">
      <c r="A22" s="42" t="s">
        <v>213</v>
      </c>
      <c r="B22" s="43" t="s">
        <v>126</v>
      </c>
      <c r="D22" s="42" t="s">
        <v>134</v>
      </c>
      <c r="E22" s="44" t="s">
        <v>179</v>
      </c>
      <c r="F22" s="44" t="s">
        <v>180</v>
      </c>
      <c r="G22" s="44" t="s">
        <v>181</v>
      </c>
      <c r="H22" s="43" t="s">
        <v>14</v>
      </c>
    </row>
    <row r="23" spans="1:8" x14ac:dyDescent="0.25">
      <c r="A23" s="107">
        <v>2.5</v>
      </c>
      <c r="B23" s="166">
        <v>-2.6</v>
      </c>
      <c r="D23" s="109"/>
      <c r="E23" s="110"/>
      <c r="F23" s="110"/>
      <c r="G23" s="110"/>
      <c r="H23" s="93" t="s">
        <v>229</v>
      </c>
    </row>
    <row r="24" spans="1:8" x14ac:dyDescent="0.25">
      <c r="A24" s="108">
        <v>12.5</v>
      </c>
      <c r="B24" s="122">
        <v>-2.5</v>
      </c>
      <c r="D24" s="111"/>
      <c r="E24" s="112"/>
      <c r="F24" s="112"/>
      <c r="G24" s="112"/>
      <c r="H24" s="49"/>
    </row>
    <row r="25" spans="1:8" x14ac:dyDescent="0.25">
      <c r="A25" s="108">
        <v>22.5</v>
      </c>
      <c r="B25" s="122">
        <v>-2.2000000000000002</v>
      </c>
      <c r="D25" s="111"/>
      <c r="E25" s="112"/>
      <c r="F25" s="112"/>
      <c r="G25" s="112"/>
      <c r="H25" s="49"/>
    </row>
    <row r="26" spans="1:8" x14ac:dyDescent="0.25">
      <c r="A26" s="108">
        <v>32.5</v>
      </c>
      <c r="B26" s="122">
        <v>-1.95</v>
      </c>
      <c r="D26" s="111"/>
      <c r="E26" s="112"/>
      <c r="F26" s="112"/>
      <c r="G26" s="112"/>
      <c r="H26" s="49"/>
    </row>
    <row r="27" spans="1:8" x14ac:dyDescent="0.25">
      <c r="A27" s="108">
        <v>42.5</v>
      </c>
      <c r="B27" s="122">
        <v>-1.7</v>
      </c>
      <c r="D27" s="111"/>
      <c r="E27" s="112"/>
      <c r="F27" s="112"/>
      <c r="G27" s="112"/>
      <c r="H27" s="49"/>
    </row>
    <row r="28" spans="1:8" x14ac:dyDescent="0.25">
      <c r="A28" s="108">
        <v>46</v>
      </c>
      <c r="B28" s="122">
        <v>-1.5</v>
      </c>
      <c r="D28" s="111"/>
      <c r="E28" s="112"/>
      <c r="F28" s="112"/>
      <c r="G28" s="112"/>
      <c r="H28" s="49"/>
    </row>
    <row r="29" spans="1:8" x14ac:dyDescent="0.25">
      <c r="A29" s="108"/>
      <c r="B29" s="122"/>
      <c r="D29" s="111"/>
      <c r="E29" s="112"/>
      <c r="F29" s="112"/>
      <c r="G29" s="112"/>
      <c r="H29" s="49"/>
    </row>
    <row r="30" spans="1:8" x14ac:dyDescent="0.25">
      <c r="A30" s="108"/>
      <c r="B30" s="122"/>
      <c r="D30" s="111"/>
      <c r="E30" s="112"/>
      <c r="F30" s="112"/>
      <c r="G30" s="112"/>
      <c r="H30" s="49"/>
    </row>
    <row r="31" spans="1:8" x14ac:dyDescent="0.25">
      <c r="A31" s="108"/>
      <c r="B31" s="122"/>
      <c r="D31" s="111"/>
      <c r="E31" s="112"/>
      <c r="F31" s="112"/>
      <c r="G31" s="112"/>
      <c r="H31" s="49"/>
    </row>
    <row r="32" spans="1:8" x14ac:dyDescent="0.25">
      <c r="A32" s="108"/>
      <c r="B32" s="122"/>
      <c r="D32" s="111"/>
      <c r="E32" s="112"/>
      <c r="F32" s="112"/>
      <c r="G32" s="112"/>
      <c r="H32" s="49"/>
    </row>
    <row r="33" spans="1:8" x14ac:dyDescent="0.25">
      <c r="A33" s="108"/>
      <c r="B33" s="122"/>
      <c r="D33" s="111"/>
      <c r="E33" s="112"/>
      <c r="F33" s="112"/>
      <c r="G33" s="112"/>
      <c r="H33" s="49"/>
    </row>
    <row r="34" spans="1:8" x14ac:dyDescent="0.25">
      <c r="A34" s="108"/>
      <c r="B34" s="122"/>
      <c r="D34" s="111"/>
      <c r="E34" s="112"/>
      <c r="F34" s="112"/>
      <c r="G34" s="112"/>
      <c r="H34" s="49"/>
    </row>
    <row r="35" spans="1:8" x14ac:dyDescent="0.25">
      <c r="A35" s="108"/>
      <c r="B35" s="122"/>
      <c r="D35" s="111"/>
      <c r="E35" s="112"/>
      <c r="F35" s="112"/>
      <c r="G35" s="112"/>
      <c r="H35" s="49"/>
    </row>
    <row r="36" spans="1:8" x14ac:dyDescent="0.25">
      <c r="A36" s="108"/>
      <c r="B36" s="122"/>
      <c r="D36" s="111"/>
      <c r="E36" s="112"/>
      <c r="F36" s="112"/>
      <c r="G36" s="112"/>
      <c r="H36" s="49"/>
    </row>
    <row r="37" spans="1:8" x14ac:dyDescent="0.25">
      <c r="A37" s="108"/>
      <c r="B37" s="122"/>
      <c r="D37" s="111"/>
      <c r="E37" s="112"/>
      <c r="F37" s="112"/>
      <c r="G37" s="112"/>
      <c r="H37" s="49"/>
    </row>
    <row r="38" spans="1:8" x14ac:dyDescent="0.25">
      <c r="A38" s="108"/>
      <c r="B38" s="122"/>
      <c r="D38" s="111"/>
      <c r="E38" s="112"/>
      <c r="F38" s="112"/>
      <c r="G38" s="112"/>
      <c r="H38" s="49"/>
    </row>
    <row r="39" spans="1:8" x14ac:dyDescent="0.25">
      <c r="A39" s="108"/>
      <c r="B39" s="122"/>
      <c r="D39" s="111"/>
      <c r="E39" s="112"/>
      <c r="F39" s="112"/>
      <c r="G39" s="112"/>
      <c r="H39" s="49"/>
    </row>
    <row r="40" spans="1:8" x14ac:dyDescent="0.25">
      <c r="A40" s="108"/>
      <c r="B40" s="122"/>
      <c r="D40" s="111"/>
      <c r="E40" s="112"/>
      <c r="F40" s="112"/>
      <c r="G40" s="112"/>
      <c r="H40" s="49"/>
    </row>
    <row r="41" spans="1:8" x14ac:dyDescent="0.25">
      <c r="A41" s="108"/>
      <c r="B41" s="122"/>
      <c r="D41" s="111"/>
      <c r="E41" s="112"/>
      <c r="F41" s="112"/>
      <c r="G41" s="112"/>
      <c r="H41" s="49"/>
    </row>
    <row r="42" spans="1:8" x14ac:dyDescent="0.25">
      <c r="A42" s="108"/>
      <c r="B42" s="122"/>
      <c r="D42" s="111"/>
      <c r="E42" s="112"/>
      <c r="F42" s="112"/>
      <c r="G42" s="112"/>
      <c r="H42" s="49"/>
    </row>
    <row r="43" spans="1:8" x14ac:dyDescent="0.25">
      <c r="A43" s="108"/>
      <c r="B43" s="122"/>
      <c r="D43" s="111"/>
      <c r="E43" s="112"/>
      <c r="F43" s="112"/>
      <c r="G43" s="112"/>
      <c r="H43" s="49"/>
    </row>
    <row r="44" spans="1:8" x14ac:dyDescent="0.25">
      <c r="A44" s="108"/>
      <c r="B44" s="122"/>
      <c r="D44" s="111"/>
      <c r="E44" s="112"/>
      <c r="F44" s="112"/>
      <c r="G44" s="112"/>
      <c r="H44" s="49"/>
    </row>
    <row r="45" spans="1:8" x14ac:dyDescent="0.25">
      <c r="A45" s="108"/>
      <c r="B45" s="122"/>
      <c r="D45" s="111"/>
      <c r="E45" s="112"/>
      <c r="F45" s="112"/>
      <c r="G45" s="112"/>
      <c r="H45" s="49"/>
    </row>
    <row r="46" spans="1:8" x14ac:dyDescent="0.25">
      <c r="A46" s="108"/>
      <c r="B46" s="122"/>
      <c r="D46" s="111"/>
      <c r="E46" s="112"/>
      <c r="F46" s="112"/>
      <c r="G46" s="112"/>
      <c r="H46" s="49"/>
    </row>
    <row r="47" spans="1:8" x14ac:dyDescent="0.25">
      <c r="A47" s="108"/>
      <c r="B47" s="122"/>
      <c r="D47" s="111"/>
      <c r="E47" s="112"/>
      <c r="F47" s="112"/>
      <c r="G47" s="112"/>
      <c r="H47" s="49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8402-D212-4D4E-9546-1A6839630A47}">
  <sheetPr>
    <tabColor rgb="FF92D050"/>
    <pageSetUpPr fitToPage="1"/>
  </sheetPr>
  <dimension ref="A1:I47"/>
  <sheetViews>
    <sheetView zoomScale="80" zoomScaleNormal="80" workbookViewId="0">
      <selection activeCell="H16" sqref="H16"/>
    </sheetView>
  </sheetViews>
  <sheetFormatPr defaultColWidth="9.140625" defaultRowHeight="15" x14ac:dyDescent="0.25"/>
  <cols>
    <col min="1" max="1" width="23.85546875" style="53" bestFit="1" customWidth="1"/>
    <col min="2" max="2" width="16.85546875" style="53" bestFit="1" customWidth="1"/>
    <col min="3" max="3" width="20.42578125" style="53" bestFit="1" customWidth="1"/>
    <col min="4" max="4" width="27" style="53" bestFit="1" customWidth="1"/>
    <col min="5" max="5" width="18.85546875" style="53" customWidth="1"/>
    <col min="6" max="6" width="20.140625" style="53" bestFit="1" customWidth="1"/>
    <col min="7" max="7" width="18.85546875" style="53" customWidth="1"/>
    <col min="8" max="8" width="36.85546875" style="53" customWidth="1"/>
    <col min="9" max="16384" width="9.140625" style="53"/>
  </cols>
  <sheetData>
    <row r="1" spans="1:9" ht="34.5" thickBot="1" x14ac:dyDescent="0.55000000000000004">
      <c r="A1" s="225" t="s">
        <v>235</v>
      </c>
      <c r="B1" s="225"/>
      <c r="C1" s="225"/>
      <c r="D1" s="225"/>
    </row>
    <row r="2" spans="1:9" x14ac:dyDescent="0.25">
      <c r="A2" s="37" t="s">
        <v>17</v>
      </c>
      <c r="B2" s="201" t="str">
        <f>CONCATENATE(ExpID,"-",StnNum,"-",StnDay)</f>
        <v>KF_April2021-1-1</v>
      </c>
      <c r="C2" s="201"/>
      <c r="D2" s="78"/>
    </row>
    <row r="3" spans="1:9" x14ac:dyDescent="0.25">
      <c r="A3" s="38" t="s">
        <v>169</v>
      </c>
      <c r="B3" s="203"/>
      <c r="C3" s="203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04"/>
      <c r="C5" s="204"/>
      <c r="D5" s="82"/>
    </row>
    <row r="6" spans="1:9" x14ac:dyDescent="0.25">
      <c r="A6" s="39" t="s">
        <v>137</v>
      </c>
      <c r="B6" s="206" t="s">
        <v>236</v>
      </c>
      <c r="C6" s="207"/>
      <c r="D6" s="82"/>
    </row>
    <row r="7" spans="1:9" x14ac:dyDescent="0.25">
      <c r="A7" s="226" t="s">
        <v>204</v>
      </c>
      <c r="B7" s="227"/>
      <c r="C7" s="45" t="s">
        <v>203</v>
      </c>
      <c r="D7" s="82"/>
      <c r="E7" s="94"/>
      <c r="F7" s="79"/>
      <c r="G7" s="79"/>
      <c r="H7" s="81"/>
      <c r="I7" s="80"/>
    </row>
    <row r="8" spans="1:9" ht="30" customHeight="1" thickBot="1" x14ac:dyDescent="0.3">
      <c r="A8" s="40" t="s">
        <v>16</v>
      </c>
      <c r="B8" s="222" t="s">
        <v>238</v>
      </c>
      <c r="C8" s="223"/>
      <c r="D8" s="224"/>
    </row>
    <row r="10" spans="1:9" ht="15.75" thickBot="1" x14ac:dyDescent="0.3">
      <c r="A10" s="55" t="s">
        <v>81</v>
      </c>
      <c r="D10" s="55" t="s">
        <v>125</v>
      </c>
    </row>
    <row r="11" spans="1:9" ht="15.75" thickBot="1" x14ac:dyDescent="0.3">
      <c r="A11" s="17" t="s">
        <v>143</v>
      </c>
      <c r="B11" s="99"/>
      <c r="D11" s="17" t="s">
        <v>176</v>
      </c>
      <c r="E11" s="102"/>
    </row>
    <row r="12" spans="1:9" x14ac:dyDescent="0.25">
      <c r="A12" s="18" t="s">
        <v>144</v>
      </c>
      <c r="B12" s="100"/>
      <c r="D12" s="18" t="s">
        <v>177</v>
      </c>
      <c r="E12" s="102">
        <v>47.5</v>
      </c>
    </row>
    <row r="13" spans="1:9" x14ac:dyDescent="0.25">
      <c r="A13" s="18" t="s">
        <v>145</v>
      </c>
      <c r="B13" s="100"/>
      <c r="D13" s="18" t="s">
        <v>178</v>
      </c>
      <c r="E13" s="103">
        <v>46.5</v>
      </c>
    </row>
    <row r="14" spans="1:9" ht="15.75" thickBot="1" x14ac:dyDescent="0.3">
      <c r="A14" s="20" t="s">
        <v>146</v>
      </c>
      <c r="B14" s="101"/>
      <c r="D14" s="18" t="s">
        <v>173</v>
      </c>
      <c r="E14" s="103"/>
    </row>
    <row r="15" spans="1:9" x14ac:dyDescent="0.25">
      <c r="D15" s="18" t="s">
        <v>175</v>
      </c>
      <c r="E15" s="103"/>
    </row>
    <row r="16" spans="1:9" ht="15.75" thickBot="1" x14ac:dyDescent="0.3">
      <c r="D16" s="20" t="s">
        <v>187</v>
      </c>
      <c r="E16" s="104">
        <v>7</v>
      </c>
    </row>
    <row r="17" spans="1:6" ht="15.75" thickBot="1" x14ac:dyDescent="0.3"/>
    <row r="18" spans="1:6" x14ac:dyDescent="0.25">
      <c r="A18" s="17" t="s">
        <v>207</v>
      </c>
      <c r="B18" s="105">
        <v>1</v>
      </c>
      <c r="C18" s="95"/>
      <c r="D18" s="96"/>
    </row>
    <row r="19" spans="1:6" x14ac:dyDescent="0.25">
      <c r="A19" s="18" t="s">
        <v>148</v>
      </c>
      <c r="B19" s="106"/>
      <c r="C19" s="64"/>
      <c r="D19" s="97"/>
    </row>
    <row r="20" spans="1:6" ht="15.75" thickBot="1" x14ac:dyDescent="0.3">
      <c r="A20" s="20" t="s">
        <v>147</v>
      </c>
      <c r="B20" s="98"/>
      <c r="C20" s="98"/>
      <c r="D20" s="41">
        <v>48</v>
      </c>
    </row>
    <row r="21" spans="1:6" ht="15.75" thickBot="1" x14ac:dyDescent="0.3"/>
    <row r="22" spans="1:6" ht="15.75" thickBot="1" x14ac:dyDescent="0.3">
      <c r="A22" s="42" t="s">
        <v>134</v>
      </c>
      <c r="B22" s="44" t="s">
        <v>179</v>
      </c>
      <c r="C22" s="44" t="s">
        <v>180</v>
      </c>
      <c r="D22" s="44" t="s">
        <v>181</v>
      </c>
      <c r="E22" s="229" t="s">
        <v>14</v>
      </c>
      <c r="F22" s="230"/>
    </row>
    <row r="23" spans="1:6" x14ac:dyDescent="0.25">
      <c r="A23" s="109">
        <v>1</v>
      </c>
      <c r="B23" s="110"/>
      <c r="C23" s="110"/>
      <c r="D23" s="110"/>
      <c r="E23" s="231" t="s">
        <v>229</v>
      </c>
      <c r="F23" s="231"/>
    </row>
    <row r="24" spans="1:6" x14ac:dyDescent="0.25">
      <c r="A24" s="111"/>
      <c r="B24" s="112"/>
      <c r="C24" s="112"/>
      <c r="D24" s="112"/>
      <c r="E24" s="228"/>
      <c r="F24" s="228"/>
    </row>
    <row r="25" spans="1:6" x14ac:dyDescent="0.25">
      <c r="A25" s="111"/>
      <c r="B25" s="112"/>
      <c r="C25" s="112"/>
      <c r="D25" s="112"/>
      <c r="E25" s="228"/>
      <c r="F25" s="228"/>
    </row>
    <row r="26" spans="1:6" x14ac:dyDescent="0.25">
      <c r="A26" s="111"/>
      <c r="B26" s="112"/>
      <c r="C26" s="112"/>
      <c r="D26" s="112"/>
      <c r="E26" s="228"/>
      <c r="F26" s="228"/>
    </row>
    <row r="27" spans="1:6" x14ac:dyDescent="0.25">
      <c r="A27" s="111"/>
      <c r="B27" s="112"/>
      <c r="C27" s="112"/>
      <c r="D27" s="112"/>
      <c r="E27" s="228"/>
      <c r="F27" s="228"/>
    </row>
    <row r="28" spans="1:6" x14ac:dyDescent="0.25">
      <c r="A28" s="111"/>
      <c r="B28" s="112"/>
      <c r="C28" s="112"/>
      <c r="D28" s="112"/>
      <c r="E28" s="228"/>
      <c r="F28" s="228"/>
    </row>
    <row r="29" spans="1:6" x14ac:dyDescent="0.25">
      <c r="A29" s="111"/>
      <c r="B29" s="112"/>
      <c r="C29" s="112"/>
      <c r="D29" s="112"/>
      <c r="E29" s="228"/>
      <c r="F29" s="228"/>
    </row>
    <row r="30" spans="1:6" x14ac:dyDescent="0.25">
      <c r="A30" s="111"/>
      <c r="B30" s="112"/>
      <c r="C30" s="112"/>
      <c r="D30" s="112"/>
      <c r="E30" s="228"/>
      <c r="F30" s="228"/>
    </row>
    <row r="31" spans="1:6" x14ac:dyDescent="0.25">
      <c r="A31" s="111"/>
      <c r="B31" s="112"/>
      <c r="C31" s="112"/>
      <c r="D31" s="112"/>
      <c r="E31" s="228"/>
      <c r="F31" s="228"/>
    </row>
    <row r="32" spans="1:6" x14ac:dyDescent="0.25">
      <c r="A32" s="111"/>
      <c r="B32" s="112"/>
      <c r="C32" s="112"/>
      <c r="D32" s="112"/>
      <c r="E32" s="228"/>
      <c r="F32" s="228"/>
    </row>
    <row r="33" spans="1:6" x14ac:dyDescent="0.25">
      <c r="A33" s="111"/>
      <c r="B33" s="112"/>
      <c r="C33" s="112"/>
      <c r="D33" s="112"/>
      <c r="E33" s="228"/>
      <c r="F33" s="228"/>
    </row>
    <row r="34" spans="1:6" x14ac:dyDescent="0.25">
      <c r="A34" s="111"/>
      <c r="B34" s="112"/>
      <c r="C34" s="112"/>
      <c r="D34" s="112"/>
      <c r="E34" s="228"/>
      <c r="F34" s="228"/>
    </row>
    <row r="35" spans="1:6" x14ac:dyDescent="0.25">
      <c r="A35" s="111"/>
      <c r="B35" s="112"/>
      <c r="C35" s="112"/>
      <c r="D35" s="112"/>
      <c r="E35" s="228"/>
      <c r="F35" s="228"/>
    </row>
    <row r="36" spans="1:6" x14ac:dyDescent="0.25">
      <c r="A36" s="111"/>
      <c r="B36" s="112"/>
      <c r="C36" s="112"/>
      <c r="D36" s="112"/>
      <c r="E36" s="228"/>
      <c r="F36" s="228"/>
    </row>
    <row r="37" spans="1:6" x14ac:dyDescent="0.25">
      <c r="A37" s="111"/>
      <c r="B37" s="112"/>
      <c r="C37" s="112"/>
      <c r="D37" s="112"/>
      <c r="E37" s="228"/>
      <c r="F37" s="228"/>
    </row>
    <row r="38" spans="1:6" x14ac:dyDescent="0.25">
      <c r="A38" s="111"/>
      <c r="B38" s="112"/>
      <c r="C38" s="112"/>
      <c r="D38" s="112"/>
      <c r="E38" s="228"/>
      <c r="F38" s="228"/>
    </row>
    <row r="39" spans="1:6" x14ac:dyDescent="0.25">
      <c r="A39" s="111"/>
      <c r="B39" s="112"/>
      <c r="C39" s="112"/>
      <c r="D39" s="112"/>
      <c r="E39" s="228"/>
      <c r="F39" s="228"/>
    </row>
    <row r="40" spans="1:6" x14ac:dyDescent="0.25">
      <c r="A40" s="111"/>
      <c r="B40" s="112"/>
      <c r="C40" s="112"/>
      <c r="D40" s="112"/>
      <c r="E40" s="228"/>
      <c r="F40" s="228"/>
    </row>
    <row r="41" spans="1:6" x14ac:dyDescent="0.25">
      <c r="A41" s="111"/>
      <c r="B41" s="112"/>
      <c r="C41" s="112"/>
      <c r="D41" s="112"/>
      <c r="E41" s="228"/>
      <c r="F41" s="228"/>
    </row>
    <row r="42" spans="1:6" x14ac:dyDescent="0.25">
      <c r="A42" s="111"/>
      <c r="B42" s="112"/>
      <c r="C42" s="112"/>
      <c r="D42" s="112"/>
      <c r="E42" s="228"/>
      <c r="F42" s="228"/>
    </row>
    <row r="43" spans="1:6" x14ac:dyDescent="0.25">
      <c r="A43" s="111"/>
      <c r="B43" s="112"/>
      <c r="C43" s="112"/>
      <c r="D43" s="112"/>
      <c r="E43" s="228"/>
      <c r="F43" s="228"/>
    </row>
    <row r="44" spans="1:6" x14ac:dyDescent="0.25">
      <c r="A44" s="111"/>
      <c r="B44" s="112"/>
      <c r="C44" s="112"/>
      <c r="D44" s="112"/>
      <c r="E44" s="228"/>
      <c r="F44" s="228"/>
    </row>
    <row r="45" spans="1:6" x14ac:dyDescent="0.25">
      <c r="A45" s="111"/>
      <c r="B45" s="112"/>
      <c r="C45" s="112"/>
      <c r="D45" s="112"/>
      <c r="E45" s="228"/>
      <c r="F45" s="228"/>
    </row>
    <row r="46" spans="1:6" x14ac:dyDescent="0.25">
      <c r="A46" s="111"/>
      <c r="B46" s="112"/>
      <c r="C46" s="112"/>
      <c r="D46" s="112"/>
      <c r="E46" s="228"/>
      <c r="F46" s="228"/>
    </row>
    <row r="47" spans="1:6" x14ac:dyDescent="0.25">
      <c r="A47" s="111"/>
      <c r="B47" s="112"/>
      <c r="C47" s="112"/>
      <c r="D47" s="112"/>
      <c r="E47" s="228"/>
      <c r="F47" s="228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E148F1A9-A799-4412-A88D-A98948A2A3DB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40625" defaultRowHeight="15" x14ac:dyDescent="0.25"/>
  <cols>
    <col min="1" max="1" width="23.85546875" style="53" bestFit="1" customWidth="1"/>
    <col min="2" max="2" width="16.85546875" style="53" bestFit="1" customWidth="1"/>
    <col min="3" max="3" width="20.42578125" style="53" bestFit="1" customWidth="1"/>
    <col min="4" max="4" width="27" style="53" bestFit="1" customWidth="1"/>
    <col min="5" max="5" width="18.85546875" style="53" customWidth="1"/>
    <col min="6" max="6" width="20.140625" style="53" bestFit="1" customWidth="1"/>
    <col min="7" max="7" width="18.85546875" style="53" customWidth="1"/>
    <col min="8" max="8" width="36.85546875" style="53" customWidth="1"/>
    <col min="9" max="16384" width="9.140625" style="53"/>
  </cols>
  <sheetData>
    <row r="1" spans="1:9" ht="34.5" thickBot="1" x14ac:dyDescent="0.55000000000000004">
      <c r="A1" s="225" t="s">
        <v>235</v>
      </c>
      <c r="B1" s="225"/>
      <c r="C1" s="225"/>
      <c r="D1" s="225"/>
    </row>
    <row r="2" spans="1:9" x14ac:dyDescent="0.25">
      <c r="A2" s="37" t="s">
        <v>17</v>
      </c>
      <c r="B2" s="201" t="str">
        <f>CONCATENATE(ExpID,"-",StnNum,"-",StnDay)</f>
        <v>KF_April2021-1-1</v>
      </c>
      <c r="C2" s="201"/>
      <c r="D2" s="78"/>
    </row>
    <row r="3" spans="1:9" x14ac:dyDescent="0.25">
      <c r="A3" s="38" t="s">
        <v>169</v>
      </c>
      <c r="B3" s="203"/>
      <c r="C3" s="203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04"/>
      <c r="C5" s="204"/>
      <c r="D5" s="82"/>
    </row>
    <row r="6" spans="1:9" x14ac:dyDescent="0.25">
      <c r="A6" s="39" t="s">
        <v>137</v>
      </c>
      <c r="B6" s="206" t="s">
        <v>236</v>
      </c>
      <c r="C6" s="207"/>
      <c r="D6" s="82"/>
    </row>
    <row r="7" spans="1:9" x14ac:dyDescent="0.25">
      <c r="A7" s="226" t="s">
        <v>204</v>
      </c>
      <c r="B7" s="227"/>
      <c r="C7" s="45" t="s">
        <v>202</v>
      </c>
      <c r="D7" s="82"/>
      <c r="E7" s="94"/>
      <c r="F7" s="79"/>
      <c r="G7" s="79"/>
      <c r="H7" s="81"/>
      <c r="I7" s="80"/>
    </row>
    <row r="8" spans="1:9" ht="30" customHeight="1" thickBot="1" x14ac:dyDescent="0.3">
      <c r="A8" s="40" t="s">
        <v>16</v>
      </c>
      <c r="B8" s="222" t="s">
        <v>239</v>
      </c>
      <c r="C8" s="223"/>
      <c r="D8" s="224"/>
    </row>
    <row r="10" spans="1:9" ht="15.75" thickBot="1" x14ac:dyDescent="0.3">
      <c r="A10" s="55" t="s">
        <v>81</v>
      </c>
      <c r="D10" s="55" t="s">
        <v>125</v>
      </c>
    </row>
    <row r="11" spans="1:9" ht="15.75" thickBot="1" x14ac:dyDescent="0.3">
      <c r="A11" s="17" t="s">
        <v>143</v>
      </c>
      <c r="B11" s="99"/>
      <c r="D11" s="17" t="s">
        <v>176</v>
      </c>
      <c r="E11" s="102"/>
    </row>
    <row r="12" spans="1:9" x14ac:dyDescent="0.25">
      <c r="A12" s="18" t="s">
        <v>144</v>
      </c>
      <c r="B12" s="100"/>
      <c r="D12" s="18" t="s">
        <v>177</v>
      </c>
      <c r="E12" s="102">
        <v>47.5</v>
      </c>
    </row>
    <row r="13" spans="1:9" x14ac:dyDescent="0.25">
      <c r="A13" s="18" t="s">
        <v>145</v>
      </c>
      <c r="B13" s="100"/>
      <c r="D13" s="18" t="s">
        <v>178</v>
      </c>
      <c r="E13" s="103">
        <v>46</v>
      </c>
    </row>
    <row r="14" spans="1:9" ht="15.75" thickBot="1" x14ac:dyDescent="0.3">
      <c r="A14" s="20" t="s">
        <v>146</v>
      </c>
      <c r="B14" s="101"/>
      <c r="D14" s="18" t="s">
        <v>173</v>
      </c>
      <c r="E14" s="103"/>
    </row>
    <row r="15" spans="1:9" x14ac:dyDescent="0.25">
      <c r="D15" s="18" t="s">
        <v>175</v>
      </c>
      <c r="E15" s="103"/>
    </row>
    <row r="16" spans="1:9" ht="15.75" thickBot="1" x14ac:dyDescent="0.3">
      <c r="D16" s="20" t="s">
        <v>187</v>
      </c>
      <c r="E16" s="104">
        <v>7</v>
      </c>
    </row>
    <row r="17" spans="1:6" ht="15.75" thickBot="1" x14ac:dyDescent="0.3"/>
    <row r="18" spans="1:6" x14ac:dyDescent="0.25">
      <c r="A18" s="17" t="s">
        <v>207</v>
      </c>
      <c r="B18" s="105">
        <v>47.5</v>
      </c>
      <c r="C18" s="95"/>
      <c r="D18" s="96"/>
    </row>
    <row r="19" spans="1:6" x14ac:dyDescent="0.25">
      <c r="A19" s="18" t="s">
        <v>148</v>
      </c>
      <c r="B19" s="106"/>
      <c r="C19" s="64"/>
      <c r="D19" s="97"/>
    </row>
    <row r="20" spans="1:6" ht="15.75" thickBot="1" x14ac:dyDescent="0.3">
      <c r="A20" s="20" t="s">
        <v>147</v>
      </c>
      <c r="B20" s="98"/>
      <c r="C20" s="98"/>
      <c r="D20" s="41">
        <v>47.5</v>
      </c>
    </row>
    <row r="21" spans="1:6" ht="15.75" thickBot="1" x14ac:dyDescent="0.3"/>
    <row r="22" spans="1:6" ht="15.75" thickBot="1" x14ac:dyDescent="0.3">
      <c r="A22" s="42" t="s">
        <v>134</v>
      </c>
      <c r="B22" s="44" t="s">
        <v>179</v>
      </c>
      <c r="C22" s="44" t="s">
        <v>180</v>
      </c>
      <c r="D22" s="44" t="s">
        <v>181</v>
      </c>
      <c r="E22" s="229" t="s">
        <v>14</v>
      </c>
      <c r="F22" s="230"/>
    </row>
    <row r="23" spans="1:6" x14ac:dyDescent="0.25">
      <c r="A23" s="109">
        <v>1</v>
      </c>
      <c r="B23" s="110"/>
      <c r="C23" s="110"/>
      <c r="D23" s="110"/>
      <c r="E23" s="231" t="s">
        <v>229</v>
      </c>
      <c r="F23" s="231"/>
    </row>
    <row r="24" spans="1:6" x14ac:dyDescent="0.25">
      <c r="A24" s="111"/>
      <c r="B24" s="112"/>
      <c r="C24" s="112"/>
      <c r="D24" s="112"/>
      <c r="E24" s="228"/>
      <c r="F24" s="228"/>
    </row>
    <row r="25" spans="1:6" x14ac:dyDescent="0.25">
      <c r="A25" s="111"/>
      <c r="B25" s="112"/>
      <c r="C25" s="112"/>
      <c r="D25" s="112"/>
      <c r="E25" s="228"/>
      <c r="F25" s="228"/>
    </row>
    <row r="26" spans="1:6" x14ac:dyDescent="0.25">
      <c r="A26" s="111"/>
      <c r="B26" s="112"/>
      <c r="C26" s="112"/>
      <c r="D26" s="112"/>
      <c r="E26" s="228"/>
      <c r="F26" s="228"/>
    </row>
    <row r="27" spans="1:6" x14ac:dyDescent="0.25">
      <c r="A27" s="111"/>
      <c r="B27" s="112"/>
      <c r="C27" s="112"/>
      <c r="D27" s="112"/>
      <c r="E27" s="228"/>
      <c r="F27" s="228"/>
    </row>
    <row r="28" spans="1:6" x14ac:dyDescent="0.25">
      <c r="A28" s="111"/>
      <c r="B28" s="112"/>
      <c r="C28" s="112"/>
      <c r="D28" s="112"/>
      <c r="E28" s="228"/>
      <c r="F28" s="228"/>
    </row>
    <row r="29" spans="1:6" x14ac:dyDescent="0.25">
      <c r="A29" s="111"/>
      <c r="B29" s="112"/>
      <c r="C29" s="112"/>
      <c r="D29" s="112"/>
      <c r="E29" s="228"/>
      <c r="F29" s="228"/>
    </row>
    <row r="30" spans="1:6" x14ac:dyDescent="0.25">
      <c r="A30" s="111"/>
      <c r="B30" s="112"/>
      <c r="C30" s="112"/>
      <c r="D30" s="112"/>
      <c r="E30" s="228"/>
      <c r="F30" s="228"/>
    </row>
    <row r="31" spans="1:6" x14ac:dyDescent="0.25">
      <c r="A31" s="111"/>
      <c r="B31" s="112"/>
      <c r="C31" s="112"/>
      <c r="D31" s="112"/>
      <c r="E31" s="228"/>
      <c r="F31" s="228"/>
    </row>
    <row r="32" spans="1:6" x14ac:dyDescent="0.25">
      <c r="A32" s="111"/>
      <c r="B32" s="112"/>
      <c r="C32" s="112"/>
      <c r="D32" s="112"/>
      <c r="E32" s="228"/>
      <c r="F32" s="228"/>
    </row>
    <row r="33" spans="1:6" x14ac:dyDescent="0.25">
      <c r="A33" s="111"/>
      <c r="B33" s="112"/>
      <c r="C33" s="112"/>
      <c r="D33" s="112"/>
      <c r="E33" s="228"/>
      <c r="F33" s="228"/>
    </row>
    <row r="34" spans="1:6" x14ac:dyDescent="0.25">
      <c r="A34" s="111"/>
      <c r="B34" s="112"/>
      <c r="C34" s="112"/>
      <c r="D34" s="112"/>
      <c r="E34" s="228"/>
      <c r="F34" s="228"/>
    </row>
    <row r="35" spans="1:6" x14ac:dyDescent="0.25">
      <c r="A35" s="111"/>
      <c r="B35" s="112"/>
      <c r="C35" s="112"/>
      <c r="D35" s="112"/>
      <c r="E35" s="228"/>
      <c r="F35" s="228"/>
    </row>
    <row r="36" spans="1:6" x14ac:dyDescent="0.25">
      <c r="A36" s="111"/>
      <c r="B36" s="112"/>
      <c r="C36" s="112"/>
      <c r="D36" s="112"/>
      <c r="E36" s="228"/>
      <c r="F36" s="228"/>
    </row>
    <row r="37" spans="1:6" x14ac:dyDescent="0.25">
      <c r="A37" s="111"/>
      <c r="B37" s="112"/>
      <c r="C37" s="112"/>
      <c r="D37" s="112"/>
      <c r="E37" s="228"/>
      <c r="F37" s="228"/>
    </row>
    <row r="38" spans="1:6" x14ac:dyDescent="0.25">
      <c r="A38" s="111"/>
      <c r="B38" s="112"/>
      <c r="C38" s="112"/>
      <c r="D38" s="112"/>
      <c r="E38" s="228"/>
      <c r="F38" s="228"/>
    </row>
    <row r="39" spans="1:6" x14ac:dyDescent="0.25">
      <c r="A39" s="111"/>
      <c r="B39" s="112"/>
      <c r="C39" s="112"/>
      <c r="D39" s="112"/>
      <c r="E39" s="228"/>
      <c r="F39" s="228"/>
    </row>
    <row r="40" spans="1:6" x14ac:dyDescent="0.25">
      <c r="A40" s="111"/>
      <c r="B40" s="112"/>
      <c r="C40" s="112"/>
      <c r="D40" s="112"/>
      <c r="E40" s="228"/>
      <c r="F40" s="228"/>
    </row>
    <row r="41" spans="1:6" x14ac:dyDescent="0.25">
      <c r="A41" s="111"/>
      <c r="B41" s="112"/>
      <c r="C41" s="112"/>
      <c r="D41" s="112"/>
      <c r="E41" s="228"/>
      <c r="F41" s="228"/>
    </row>
    <row r="42" spans="1:6" x14ac:dyDescent="0.25">
      <c r="A42" s="111"/>
      <c r="B42" s="112"/>
      <c r="C42" s="112"/>
      <c r="D42" s="112"/>
      <c r="E42" s="228"/>
      <c r="F42" s="228"/>
    </row>
    <row r="43" spans="1:6" x14ac:dyDescent="0.25">
      <c r="A43" s="111"/>
      <c r="B43" s="112"/>
      <c r="C43" s="112"/>
      <c r="D43" s="112"/>
      <c r="E43" s="228"/>
      <c r="F43" s="228"/>
    </row>
    <row r="44" spans="1:6" x14ac:dyDescent="0.25">
      <c r="A44" s="111"/>
      <c r="B44" s="112"/>
      <c r="C44" s="112"/>
      <c r="D44" s="112"/>
      <c r="E44" s="228"/>
      <c r="F44" s="228"/>
    </row>
    <row r="45" spans="1:6" x14ac:dyDescent="0.25">
      <c r="A45" s="111"/>
      <c r="B45" s="112"/>
      <c r="C45" s="112"/>
      <c r="D45" s="112"/>
      <c r="E45" s="228"/>
      <c r="F45" s="228"/>
    </row>
    <row r="46" spans="1:6" x14ac:dyDescent="0.25">
      <c r="A46" s="111"/>
      <c r="B46" s="112"/>
      <c r="C46" s="112"/>
      <c r="D46" s="112"/>
      <c r="E46" s="228"/>
      <c r="F46" s="228"/>
    </row>
    <row r="47" spans="1:6" x14ac:dyDescent="0.25">
      <c r="A47" s="111"/>
      <c r="B47" s="112"/>
      <c r="C47" s="112"/>
      <c r="D47" s="112"/>
      <c r="E47" s="228"/>
      <c r="F47" s="228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2384-DE3C-466D-ACE9-A8CC0E36BB55}">
  <sheetPr>
    <tabColor rgb="FF92D050"/>
    <pageSetUpPr fitToPage="1"/>
  </sheetPr>
  <dimension ref="A1:I47"/>
  <sheetViews>
    <sheetView zoomScale="80" zoomScaleNormal="80" workbookViewId="0">
      <selection activeCell="D27" sqref="D27"/>
    </sheetView>
  </sheetViews>
  <sheetFormatPr defaultColWidth="9.140625" defaultRowHeight="15" x14ac:dyDescent="0.25"/>
  <cols>
    <col min="1" max="1" width="23.85546875" style="53" bestFit="1" customWidth="1"/>
    <col min="2" max="2" width="16.85546875" style="53" bestFit="1" customWidth="1"/>
    <col min="3" max="3" width="20.42578125" style="53" bestFit="1" customWidth="1"/>
    <col min="4" max="4" width="27" style="53" bestFit="1" customWidth="1"/>
    <col min="5" max="5" width="18.85546875" style="53" customWidth="1"/>
    <col min="6" max="6" width="20.140625" style="53" bestFit="1" customWidth="1"/>
    <col min="7" max="7" width="18.85546875" style="53" customWidth="1"/>
    <col min="8" max="8" width="36.85546875" style="53" customWidth="1"/>
    <col min="9" max="16384" width="9.140625" style="53"/>
  </cols>
  <sheetData>
    <row r="1" spans="1:9" ht="34.5" thickBot="1" x14ac:dyDescent="0.55000000000000004">
      <c r="A1" s="225" t="s">
        <v>244</v>
      </c>
      <c r="B1" s="225"/>
      <c r="C1" s="225"/>
      <c r="D1" s="225"/>
    </row>
    <row r="2" spans="1:9" x14ac:dyDescent="0.25">
      <c r="A2" s="37" t="s">
        <v>17</v>
      </c>
      <c r="B2" s="201" t="str">
        <f>CONCATENATE(ExpID,"-",StnNum,"-",StnDay)</f>
        <v>KF_April2021-1-1</v>
      </c>
      <c r="C2" s="201"/>
      <c r="D2" s="78"/>
    </row>
    <row r="3" spans="1:9" x14ac:dyDescent="0.25">
      <c r="A3" s="38" t="s">
        <v>169</v>
      </c>
      <c r="B3" s="203"/>
      <c r="C3" s="203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04"/>
      <c r="C5" s="204"/>
      <c r="D5" s="82"/>
    </row>
    <row r="6" spans="1:9" x14ac:dyDescent="0.25">
      <c r="A6" s="39" t="s">
        <v>137</v>
      </c>
      <c r="B6" s="206" t="s">
        <v>236</v>
      </c>
      <c r="C6" s="207"/>
      <c r="D6" s="82"/>
    </row>
    <row r="7" spans="1:9" x14ac:dyDescent="0.25">
      <c r="A7" s="226" t="s">
        <v>204</v>
      </c>
      <c r="B7" s="227"/>
      <c r="C7" s="45" t="s">
        <v>203</v>
      </c>
      <c r="D7" s="82"/>
      <c r="E7" s="94"/>
      <c r="F7" s="79"/>
      <c r="G7" s="79"/>
      <c r="H7" s="81"/>
      <c r="I7" s="80"/>
    </row>
    <row r="8" spans="1:9" ht="30" customHeight="1" thickBot="1" x14ac:dyDescent="0.3">
      <c r="A8" s="40" t="s">
        <v>16</v>
      </c>
      <c r="B8" s="222" t="s">
        <v>245</v>
      </c>
      <c r="C8" s="223"/>
      <c r="D8" s="224"/>
    </row>
    <row r="10" spans="1:9" ht="15.75" thickBot="1" x14ac:dyDescent="0.3">
      <c r="A10" s="55" t="s">
        <v>81</v>
      </c>
      <c r="D10" s="55" t="s">
        <v>125</v>
      </c>
    </row>
    <row r="11" spans="1:9" ht="15.75" thickBot="1" x14ac:dyDescent="0.3">
      <c r="A11" s="17" t="s">
        <v>143</v>
      </c>
      <c r="B11" s="99"/>
      <c r="D11" s="17" t="s">
        <v>176</v>
      </c>
      <c r="E11" s="102"/>
    </row>
    <row r="12" spans="1:9" x14ac:dyDescent="0.25">
      <c r="A12" s="18" t="s">
        <v>144</v>
      </c>
      <c r="B12" s="100"/>
      <c r="D12" s="18" t="s">
        <v>177</v>
      </c>
      <c r="E12" s="102">
        <v>47</v>
      </c>
    </row>
    <row r="13" spans="1:9" x14ac:dyDescent="0.25">
      <c r="A13" s="18" t="s">
        <v>145</v>
      </c>
      <c r="B13" s="100"/>
      <c r="D13" s="18" t="s">
        <v>178</v>
      </c>
      <c r="E13" s="103">
        <v>46.5</v>
      </c>
    </row>
    <row r="14" spans="1:9" ht="15.75" thickBot="1" x14ac:dyDescent="0.3">
      <c r="A14" s="20" t="s">
        <v>146</v>
      </c>
      <c r="B14" s="101"/>
      <c r="D14" s="18" t="s">
        <v>173</v>
      </c>
      <c r="E14" s="103"/>
    </row>
    <row r="15" spans="1:9" x14ac:dyDescent="0.25">
      <c r="D15" s="18" t="s">
        <v>175</v>
      </c>
      <c r="E15" s="103"/>
    </row>
    <row r="16" spans="1:9" ht="15.75" thickBot="1" x14ac:dyDescent="0.3">
      <c r="D16" s="20" t="s">
        <v>187</v>
      </c>
      <c r="E16" s="104"/>
    </row>
    <row r="17" spans="1:6" ht="15.75" thickBot="1" x14ac:dyDescent="0.3"/>
    <row r="18" spans="1:6" x14ac:dyDescent="0.25">
      <c r="A18" s="17" t="s">
        <v>207</v>
      </c>
      <c r="B18" s="105">
        <v>46</v>
      </c>
      <c r="C18" s="95"/>
      <c r="D18" s="96"/>
    </row>
    <row r="19" spans="1:6" x14ac:dyDescent="0.25">
      <c r="A19" s="18" t="s">
        <v>148</v>
      </c>
      <c r="B19" s="106">
        <v>1</v>
      </c>
      <c r="C19" s="64"/>
      <c r="D19" s="97"/>
    </row>
    <row r="20" spans="1:6" ht="15.75" thickBot="1" x14ac:dyDescent="0.3">
      <c r="A20" s="20" t="s">
        <v>147</v>
      </c>
      <c r="B20" s="98"/>
      <c r="C20" s="98"/>
      <c r="D20" s="41">
        <v>46</v>
      </c>
    </row>
    <row r="21" spans="1:6" ht="15.75" thickBot="1" x14ac:dyDescent="0.3"/>
    <row r="22" spans="1:6" ht="15.75" thickBot="1" x14ac:dyDescent="0.3">
      <c r="A22" s="42" t="s">
        <v>134</v>
      </c>
      <c r="B22" s="44" t="s">
        <v>179</v>
      </c>
      <c r="C22" s="44" t="s">
        <v>180</v>
      </c>
      <c r="D22" s="44" t="s">
        <v>181</v>
      </c>
      <c r="E22" s="229" t="s">
        <v>14</v>
      </c>
      <c r="F22" s="230"/>
    </row>
    <row r="23" spans="1:6" x14ac:dyDescent="0.25">
      <c r="A23" s="109"/>
      <c r="B23" s="110"/>
      <c r="C23" s="110"/>
      <c r="D23" s="110">
        <v>15</v>
      </c>
      <c r="E23" s="231" t="s">
        <v>249</v>
      </c>
      <c r="F23" s="231"/>
    </row>
    <row r="24" spans="1:6" x14ac:dyDescent="0.25">
      <c r="A24" s="111"/>
      <c r="B24" s="112"/>
      <c r="C24" s="112"/>
      <c r="D24" s="112">
        <v>16</v>
      </c>
      <c r="E24" s="228" t="s">
        <v>250</v>
      </c>
      <c r="F24" s="228"/>
    </row>
    <row r="25" spans="1:6" x14ac:dyDescent="0.25">
      <c r="A25" s="111"/>
      <c r="B25" s="112"/>
      <c r="C25" s="112"/>
      <c r="D25" s="112">
        <v>15</v>
      </c>
      <c r="E25" s="228" t="s">
        <v>251</v>
      </c>
      <c r="F25" s="228"/>
    </row>
    <row r="26" spans="1:6" x14ac:dyDescent="0.25">
      <c r="A26" s="111"/>
      <c r="B26" s="112"/>
      <c r="C26" s="112"/>
      <c r="D26" s="112"/>
      <c r="E26" s="228"/>
      <c r="F26" s="228"/>
    </row>
    <row r="27" spans="1:6" x14ac:dyDescent="0.25">
      <c r="A27" s="111"/>
      <c r="B27" s="112"/>
      <c r="C27" s="112"/>
      <c r="D27" s="112"/>
      <c r="E27" s="228"/>
      <c r="F27" s="228"/>
    </row>
    <row r="28" spans="1:6" x14ac:dyDescent="0.25">
      <c r="A28" s="111"/>
      <c r="B28" s="112"/>
      <c r="C28" s="112"/>
      <c r="D28" s="112"/>
      <c r="E28" s="228"/>
      <c r="F28" s="228"/>
    </row>
    <row r="29" spans="1:6" x14ac:dyDescent="0.25">
      <c r="A29" s="111"/>
      <c r="B29" s="112"/>
      <c r="C29" s="112"/>
      <c r="D29" s="112"/>
      <c r="E29" s="228"/>
      <c r="F29" s="228"/>
    </row>
    <row r="30" spans="1:6" x14ac:dyDescent="0.25">
      <c r="A30" s="111"/>
      <c r="B30" s="112"/>
      <c r="C30" s="112"/>
      <c r="D30" s="112"/>
      <c r="E30" s="228"/>
      <c r="F30" s="228"/>
    </row>
    <row r="31" spans="1:6" x14ac:dyDescent="0.25">
      <c r="A31" s="111"/>
      <c r="B31" s="112"/>
      <c r="C31" s="112"/>
      <c r="D31" s="112"/>
      <c r="E31" s="228"/>
      <c r="F31" s="228"/>
    </row>
    <row r="32" spans="1:6" x14ac:dyDescent="0.25">
      <c r="A32" s="111"/>
      <c r="B32" s="112"/>
      <c r="C32" s="112"/>
      <c r="D32" s="112"/>
      <c r="E32" s="228"/>
      <c r="F32" s="228"/>
    </row>
    <row r="33" spans="1:6" x14ac:dyDescent="0.25">
      <c r="A33" s="111"/>
      <c r="B33" s="112"/>
      <c r="C33" s="112"/>
      <c r="D33" s="112"/>
      <c r="E33" s="228"/>
      <c r="F33" s="228"/>
    </row>
    <row r="34" spans="1:6" x14ac:dyDescent="0.25">
      <c r="A34" s="111"/>
      <c r="B34" s="112"/>
      <c r="C34" s="112"/>
      <c r="D34" s="112"/>
      <c r="E34" s="228"/>
      <c r="F34" s="228"/>
    </row>
    <row r="35" spans="1:6" x14ac:dyDescent="0.25">
      <c r="A35" s="111"/>
      <c r="B35" s="112"/>
      <c r="C35" s="112"/>
      <c r="D35" s="112"/>
      <c r="E35" s="228"/>
      <c r="F35" s="228"/>
    </row>
    <row r="36" spans="1:6" x14ac:dyDescent="0.25">
      <c r="A36" s="111"/>
      <c r="B36" s="112"/>
      <c r="C36" s="112"/>
      <c r="D36" s="112"/>
      <c r="E36" s="228"/>
      <c r="F36" s="228"/>
    </row>
    <row r="37" spans="1:6" x14ac:dyDescent="0.25">
      <c r="A37" s="111"/>
      <c r="B37" s="112"/>
      <c r="C37" s="112"/>
      <c r="D37" s="112"/>
      <c r="E37" s="228"/>
      <c r="F37" s="228"/>
    </row>
    <row r="38" spans="1:6" x14ac:dyDescent="0.25">
      <c r="A38" s="111"/>
      <c r="B38" s="112"/>
      <c r="C38" s="112"/>
      <c r="D38" s="112"/>
      <c r="E38" s="228"/>
      <c r="F38" s="228"/>
    </row>
    <row r="39" spans="1:6" x14ac:dyDescent="0.25">
      <c r="A39" s="111"/>
      <c r="B39" s="112"/>
      <c r="C39" s="112"/>
      <c r="D39" s="112"/>
      <c r="E39" s="228"/>
      <c r="F39" s="228"/>
    </row>
    <row r="40" spans="1:6" x14ac:dyDescent="0.25">
      <c r="A40" s="111"/>
      <c r="B40" s="112"/>
      <c r="C40" s="112"/>
      <c r="D40" s="112"/>
      <c r="E40" s="228"/>
      <c r="F40" s="228"/>
    </row>
    <row r="41" spans="1:6" x14ac:dyDescent="0.25">
      <c r="A41" s="111"/>
      <c r="B41" s="112"/>
      <c r="C41" s="112"/>
      <c r="D41" s="112"/>
      <c r="E41" s="228"/>
      <c r="F41" s="228"/>
    </row>
    <row r="42" spans="1:6" x14ac:dyDescent="0.25">
      <c r="A42" s="111"/>
      <c r="B42" s="112"/>
      <c r="C42" s="112"/>
      <c r="D42" s="112"/>
      <c r="E42" s="228"/>
      <c r="F42" s="228"/>
    </row>
    <row r="43" spans="1:6" x14ac:dyDescent="0.25">
      <c r="A43" s="111"/>
      <c r="B43" s="112"/>
      <c r="C43" s="112"/>
      <c r="D43" s="112"/>
      <c r="E43" s="228"/>
      <c r="F43" s="228"/>
    </row>
    <row r="44" spans="1:6" x14ac:dyDescent="0.25">
      <c r="A44" s="111"/>
      <c r="B44" s="112"/>
      <c r="C44" s="112"/>
      <c r="D44" s="112"/>
      <c r="E44" s="228"/>
      <c r="F44" s="228"/>
    </row>
    <row r="45" spans="1:6" x14ac:dyDescent="0.25">
      <c r="A45" s="111"/>
      <c r="B45" s="112"/>
      <c r="C45" s="112"/>
      <c r="D45" s="112"/>
      <c r="E45" s="228"/>
      <c r="F45" s="228"/>
    </row>
    <row r="46" spans="1:6" x14ac:dyDescent="0.25">
      <c r="A46" s="111"/>
      <c r="B46" s="112"/>
      <c r="C46" s="112"/>
      <c r="D46" s="112"/>
      <c r="E46" s="228"/>
      <c r="F46" s="228"/>
    </row>
    <row r="47" spans="1:6" x14ac:dyDescent="0.25">
      <c r="A47" s="111"/>
      <c r="B47" s="112"/>
      <c r="C47" s="112"/>
      <c r="D47" s="112"/>
      <c r="E47" s="228"/>
      <c r="F47" s="228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6FAE5871-7BE4-4B77-90D9-6487474B4F64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027F-111E-4B7F-A4B4-EC55E43FF75A}">
  <sheetPr>
    <tabColor rgb="FF92D050"/>
    <pageSetUpPr fitToPage="1"/>
  </sheetPr>
  <dimension ref="A1:I47"/>
  <sheetViews>
    <sheetView zoomScale="80" zoomScaleNormal="80" workbookViewId="0">
      <selection activeCell="B19" sqref="B19"/>
    </sheetView>
  </sheetViews>
  <sheetFormatPr defaultColWidth="9.140625" defaultRowHeight="15" x14ac:dyDescent="0.25"/>
  <cols>
    <col min="1" max="1" width="23.85546875" style="53" bestFit="1" customWidth="1"/>
    <col min="2" max="2" width="16.85546875" style="53" bestFit="1" customWidth="1"/>
    <col min="3" max="3" width="20.42578125" style="53" bestFit="1" customWidth="1"/>
    <col min="4" max="4" width="27" style="53" bestFit="1" customWidth="1"/>
    <col min="5" max="5" width="18.85546875" style="53" customWidth="1"/>
    <col min="6" max="6" width="20.140625" style="53" bestFit="1" customWidth="1"/>
    <col min="7" max="7" width="18.85546875" style="53" customWidth="1"/>
    <col min="8" max="8" width="36.85546875" style="53" customWidth="1"/>
    <col min="9" max="16384" width="9.140625" style="53"/>
  </cols>
  <sheetData>
    <row r="1" spans="1:9" ht="34.5" thickBot="1" x14ac:dyDescent="0.55000000000000004">
      <c r="A1" s="225" t="s">
        <v>253</v>
      </c>
      <c r="B1" s="225"/>
      <c r="C1" s="225"/>
      <c r="D1" s="225"/>
    </row>
    <row r="2" spans="1:9" x14ac:dyDescent="0.25">
      <c r="A2" s="37" t="s">
        <v>17</v>
      </c>
      <c r="B2" s="201" t="str">
        <f>CONCATENATE(ExpID,"-",StnNum,"-",StnDay)</f>
        <v>KF_April2021-1-1</v>
      </c>
      <c r="C2" s="201"/>
      <c r="D2" s="78"/>
    </row>
    <row r="3" spans="1:9" x14ac:dyDescent="0.25">
      <c r="A3" s="38" t="s">
        <v>169</v>
      </c>
      <c r="B3" s="203"/>
      <c r="C3" s="203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04"/>
      <c r="C5" s="204"/>
      <c r="D5" s="82"/>
    </row>
    <row r="6" spans="1:9" x14ac:dyDescent="0.25">
      <c r="A6" s="39" t="s">
        <v>137</v>
      </c>
      <c r="B6" s="206" t="s">
        <v>236</v>
      </c>
      <c r="C6" s="207"/>
      <c r="D6" s="82"/>
    </row>
    <row r="7" spans="1:9" x14ac:dyDescent="0.25">
      <c r="A7" s="226" t="s">
        <v>204</v>
      </c>
      <c r="B7" s="227"/>
      <c r="C7" s="45" t="s">
        <v>203</v>
      </c>
      <c r="D7" s="82"/>
      <c r="E7" s="94"/>
      <c r="F7" s="79"/>
      <c r="G7" s="79"/>
      <c r="H7" s="81"/>
      <c r="I7" s="80"/>
    </row>
    <row r="8" spans="1:9" ht="30" customHeight="1" thickBot="1" x14ac:dyDescent="0.3">
      <c r="A8" s="40" t="s">
        <v>16</v>
      </c>
      <c r="B8" s="222" t="s">
        <v>245</v>
      </c>
      <c r="C8" s="223"/>
      <c r="D8" s="224"/>
    </row>
    <row r="10" spans="1:9" ht="15.75" thickBot="1" x14ac:dyDescent="0.3">
      <c r="A10" s="55" t="s">
        <v>81</v>
      </c>
      <c r="D10" s="55" t="s">
        <v>125</v>
      </c>
    </row>
    <row r="11" spans="1:9" ht="15.75" thickBot="1" x14ac:dyDescent="0.3">
      <c r="A11" s="17" t="s">
        <v>143</v>
      </c>
      <c r="B11" s="99"/>
      <c r="D11" s="17" t="s">
        <v>176</v>
      </c>
      <c r="E11" s="102"/>
    </row>
    <row r="12" spans="1:9" x14ac:dyDescent="0.25">
      <c r="A12" s="18" t="s">
        <v>144</v>
      </c>
      <c r="B12" s="100"/>
      <c r="D12" s="18" t="s">
        <v>177</v>
      </c>
      <c r="E12" s="102">
        <v>46</v>
      </c>
    </row>
    <row r="13" spans="1:9" x14ac:dyDescent="0.25">
      <c r="A13" s="18" t="s">
        <v>145</v>
      </c>
      <c r="B13" s="100"/>
      <c r="D13" s="18" t="s">
        <v>178</v>
      </c>
      <c r="E13" s="103">
        <v>45</v>
      </c>
    </row>
    <row r="14" spans="1:9" ht="15.75" thickBot="1" x14ac:dyDescent="0.3">
      <c r="A14" s="20" t="s">
        <v>146</v>
      </c>
      <c r="B14" s="101"/>
      <c r="D14" s="18" t="s">
        <v>173</v>
      </c>
      <c r="E14" s="103"/>
    </row>
    <row r="15" spans="1:9" x14ac:dyDescent="0.25">
      <c r="D15" s="18" t="s">
        <v>175</v>
      </c>
      <c r="E15" s="103"/>
    </row>
    <row r="16" spans="1:9" ht="15.75" thickBot="1" x14ac:dyDescent="0.3">
      <c r="D16" s="20" t="s">
        <v>187</v>
      </c>
      <c r="E16" s="104"/>
    </row>
    <row r="17" spans="1:6" ht="15.75" thickBot="1" x14ac:dyDescent="0.3"/>
    <row r="18" spans="1:6" x14ac:dyDescent="0.25">
      <c r="A18" s="17" t="s">
        <v>207</v>
      </c>
      <c r="B18" s="105">
        <v>47</v>
      </c>
      <c r="C18" s="95"/>
      <c r="D18" s="96"/>
    </row>
    <row r="19" spans="1:6" x14ac:dyDescent="0.25">
      <c r="A19" s="18" t="s">
        <v>148</v>
      </c>
      <c r="B19" s="106">
        <v>1</v>
      </c>
      <c r="C19" s="64"/>
      <c r="D19" s="97"/>
    </row>
    <row r="20" spans="1:6" ht="15.75" thickBot="1" x14ac:dyDescent="0.3">
      <c r="A20" s="20" t="s">
        <v>147</v>
      </c>
      <c r="B20" s="98"/>
      <c r="C20" s="98"/>
      <c r="D20" s="41">
        <v>47</v>
      </c>
    </row>
    <row r="21" spans="1:6" ht="15.75" thickBot="1" x14ac:dyDescent="0.3"/>
    <row r="22" spans="1:6" ht="15.75" thickBot="1" x14ac:dyDescent="0.3">
      <c r="A22" s="42" t="s">
        <v>134</v>
      </c>
      <c r="B22" s="44" t="s">
        <v>179</v>
      </c>
      <c r="C22" s="44" t="s">
        <v>180</v>
      </c>
      <c r="D22" s="44" t="s">
        <v>181</v>
      </c>
      <c r="E22" s="229" t="s">
        <v>14</v>
      </c>
      <c r="F22" s="230"/>
    </row>
    <row r="23" spans="1:6" x14ac:dyDescent="0.25">
      <c r="A23" s="109"/>
      <c r="B23" s="110"/>
      <c r="C23" s="110"/>
      <c r="D23" s="110">
        <v>15</v>
      </c>
      <c r="E23" s="231" t="s">
        <v>254</v>
      </c>
      <c r="F23" s="231"/>
    </row>
    <row r="24" spans="1:6" x14ac:dyDescent="0.25">
      <c r="A24" s="111"/>
      <c r="B24" s="112"/>
      <c r="C24" s="112"/>
      <c r="D24" s="112">
        <v>17</v>
      </c>
      <c r="E24" s="228" t="s">
        <v>255</v>
      </c>
      <c r="F24" s="228"/>
    </row>
    <row r="25" spans="1:6" x14ac:dyDescent="0.25">
      <c r="A25" s="111"/>
      <c r="B25" s="112"/>
      <c r="C25" s="112"/>
      <c r="D25" s="112">
        <v>15</v>
      </c>
      <c r="E25" s="228" t="s">
        <v>257</v>
      </c>
      <c r="F25" s="228"/>
    </row>
    <row r="26" spans="1:6" x14ac:dyDescent="0.25">
      <c r="A26" s="111"/>
      <c r="B26" s="112"/>
      <c r="C26" s="112"/>
      <c r="D26" s="112"/>
      <c r="E26" s="228"/>
      <c r="F26" s="228"/>
    </row>
    <row r="27" spans="1:6" x14ac:dyDescent="0.25">
      <c r="A27" s="111"/>
      <c r="B27" s="112"/>
      <c r="C27" s="112"/>
      <c r="D27" s="112"/>
      <c r="E27" s="228"/>
      <c r="F27" s="228"/>
    </row>
    <row r="28" spans="1:6" x14ac:dyDescent="0.25">
      <c r="A28" s="111"/>
      <c r="B28" s="112"/>
      <c r="C28" s="112"/>
      <c r="D28" s="112"/>
      <c r="E28" s="228"/>
      <c r="F28" s="228"/>
    </row>
    <row r="29" spans="1:6" x14ac:dyDescent="0.25">
      <c r="A29" s="111"/>
      <c r="B29" s="112"/>
      <c r="C29" s="112"/>
      <c r="D29" s="112"/>
      <c r="E29" s="228"/>
      <c r="F29" s="228"/>
    </row>
    <row r="30" spans="1:6" x14ac:dyDescent="0.25">
      <c r="A30" s="111"/>
      <c r="B30" s="112"/>
      <c r="C30" s="112"/>
      <c r="D30" s="112"/>
      <c r="E30" s="228"/>
      <c r="F30" s="228"/>
    </row>
    <row r="31" spans="1:6" x14ac:dyDescent="0.25">
      <c r="A31" s="111"/>
      <c r="B31" s="112"/>
      <c r="C31" s="112"/>
      <c r="D31" s="112"/>
      <c r="E31" s="228"/>
      <c r="F31" s="228"/>
    </row>
    <row r="32" spans="1:6" x14ac:dyDescent="0.25">
      <c r="A32" s="111"/>
      <c r="B32" s="112"/>
      <c r="C32" s="112"/>
      <c r="D32" s="112"/>
      <c r="E32" s="228"/>
      <c r="F32" s="228"/>
    </row>
    <row r="33" spans="1:6" x14ac:dyDescent="0.25">
      <c r="A33" s="111"/>
      <c r="B33" s="112"/>
      <c r="C33" s="112"/>
      <c r="D33" s="112"/>
      <c r="E33" s="228"/>
      <c r="F33" s="228"/>
    </row>
    <row r="34" spans="1:6" x14ac:dyDescent="0.25">
      <c r="A34" s="111"/>
      <c r="B34" s="112"/>
      <c r="C34" s="112"/>
      <c r="D34" s="112"/>
      <c r="E34" s="228"/>
      <c r="F34" s="228"/>
    </row>
    <row r="35" spans="1:6" x14ac:dyDescent="0.25">
      <c r="A35" s="111"/>
      <c r="B35" s="112"/>
      <c r="C35" s="112"/>
      <c r="D35" s="112"/>
      <c r="E35" s="228"/>
      <c r="F35" s="228"/>
    </row>
    <row r="36" spans="1:6" x14ac:dyDescent="0.25">
      <c r="A36" s="111"/>
      <c r="B36" s="112"/>
      <c r="C36" s="112"/>
      <c r="D36" s="112"/>
      <c r="E36" s="228"/>
      <c r="F36" s="228"/>
    </row>
    <row r="37" spans="1:6" x14ac:dyDescent="0.25">
      <c r="A37" s="111"/>
      <c r="B37" s="112"/>
      <c r="C37" s="112"/>
      <c r="D37" s="112"/>
      <c r="E37" s="228"/>
      <c r="F37" s="228"/>
    </row>
    <row r="38" spans="1:6" x14ac:dyDescent="0.25">
      <c r="A38" s="111"/>
      <c r="B38" s="112"/>
      <c r="C38" s="112"/>
      <c r="D38" s="112"/>
      <c r="E38" s="228"/>
      <c r="F38" s="228"/>
    </row>
    <row r="39" spans="1:6" x14ac:dyDescent="0.25">
      <c r="A39" s="111"/>
      <c r="B39" s="112"/>
      <c r="C39" s="112"/>
      <c r="D39" s="112"/>
      <c r="E39" s="228"/>
      <c r="F39" s="228"/>
    </row>
    <row r="40" spans="1:6" x14ac:dyDescent="0.25">
      <c r="A40" s="111"/>
      <c r="B40" s="112"/>
      <c r="C40" s="112"/>
      <c r="D40" s="112"/>
      <c r="E40" s="228"/>
      <c r="F40" s="228"/>
    </row>
    <row r="41" spans="1:6" x14ac:dyDescent="0.25">
      <c r="A41" s="111"/>
      <c r="B41" s="112"/>
      <c r="C41" s="112"/>
      <c r="D41" s="112"/>
      <c r="E41" s="228"/>
      <c r="F41" s="228"/>
    </row>
    <row r="42" spans="1:6" x14ac:dyDescent="0.25">
      <c r="A42" s="111"/>
      <c r="B42" s="112"/>
      <c r="C42" s="112"/>
      <c r="D42" s="112"/>
      <c r="E42" s="228"/>
      <c r="F42" s="228"/>
    </row>
    <row r="43" spans="1:6" x14ac:dyDescent="0.25">
      <c r="A43" s="111"/>
      <c r="B43" s="112"/>
      <c r="C43" s="112"/>
      <c r="D43" s="112"/>
      <c r="E43" s="228"/>
      <c r="F43" s="228"/>
    </row>
    <row r="44" spans="1:6" x14ac:dyDescent="0.25">
      <c r="A44" s="111"/>
      <c r="B44" s="112"/>
      <c r="C44" s="112"/>
      <c r="D44" s="112"/>
      <c r="E44" s="228"/>
      <c r="F44" s="228"/>
    </row>
    <row r="45" spans="1:6" x14ac:dyDescent="0.25">
      <c r="A45" s="111"/>
      <c r="B45" s="112"/>
      <c r="C45" s="112"/>
      <c r="D45" s="112"/>
      <c r="E45" s="228"/>
      <c r="F45" s="228"/>
    </row>
    <row r="46" spans="1:6" x14ac:dyDescent="0.25">
      <c r="A46" s="111"/>
      <c r="B46" s="112"/>
      <c r="C46" s="112"/>
      <c r="D46" s="112"/>
      <c r="E46" s="228"/>
      <c r="F46" s="228"/>
    </row>
    <row r="47" spans="1:6" x14ac:dyDescent="0.25">
      <c r="A47" s="111"/>
      <c r="B47" s="112"/>
      <c r="C47" s="112"/>
      <c r="D47" s="112"/>
      <c r="E47" s="228"/>
      <c r="F47" s="228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A7951A3-D610-41E2-B8D6-62413BE3BD1C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208D-42BE-4CF2-AE14-9E5032815171}">
  <sheetPr>
    <tabColor rgb="FF92D050"/>
    <pageSetUpPr fitToPage="1"/>
  </sheetPr>
  <dimension ref="A1:I47"/>
  <sheetViews>
    <sheetView zoomScale="80" zoomScaleNormal="80" workbookViewId="0">
      <selection activeCell="D31" sqref="D31"/>
    </sheetView>
  </sheetViews>
  <sheetFormatPr defaultColWidth="9.140625" defaultRowHeight="15" x14ac:dyDescent="0.25"/>
  <cols>
    <col min="1" max="1" width="23.85546875" style="53" bestFit="1" customWidth="1"/>
    <col min="2" max="2" width="16.85546875" style="53" bestFit="1" customWidth="1"/>
    <col min="3" max="3" width="20.42578125" style="53" bestFit="1" customWidth="1"/>
    <col min="4" max="4" width="27" style="53" bestFit="1" customWidth="1"/>
    <col min="5" max="5" width="18.85546875" style="53" customWidth="1"/>
    <col min="6" max="6" width="20.140625" style="53" bestFit="1" customWidth="1"/>
    <col min="7" max="7" width="18.85546875" style="53" customWidth="1"/>
    <col min="8" max="8" width="36.85546875" style="53" customWidth="1"/>
    <col min="9" max="16384" width="9.140625" style="53"/>
  </cols>
  <sheetData>
    <row r="1" spans="1:9" ht="34.5" thickBot="1" x14ac:dyDescent="0.55000000000000004">
      <c r="A1" s="225" t="s">
        <v>264</v>
      </c>
      <c r="B1" s="225"/>
      <c r="C1" s="225"/>
      <c r="D1" s="225"/>
    </row>
    <row r="2" spans="1:9" x14ac:dyDescent="0.25">
      <c r="A2" s="37" t="s">
        <v>17</v>
      </c>
      <c r="B2" s="201" t="str">
        <f>CONCATENATE(ExpID,"-",StnNum,"-",StnDay)</f>
        <v>KF_April2021-1-1</v>
      </c>
      <c r="C2" s="201"/>
      <c r="D2" s="78"/>
    </row>
    <row r="3" spans="1:9" x14ac:dyDescent="0.25">
      <c r="A3" s="38" t="s">
        <v>169</v>
      </c>
      <c r="B3" s="203"/>
      <c r="C3" s="203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04"/>
      <c r="C5" s="204"/>
      <c r="D5" s="82"/>
    </row>
    <row r="6" spans="1:9" x14ac:dyDescent="0.25">
      <c r="A6" s="39" t="s">
        <v>137</v>
      </c>
      <c r="B6" s="206" t="s">
        <v>236</v>
      </c>
      <c r="C6" s="207"/>
      <c r="D6" s="82"/>
    </row>
    <row r="7" spans="1:9" x14ac:dyDescent="0.25">
      <c r="A7" s="226" t="s">
        <v>204</v>
      </c>
      <c r="B7" s="227"/>
      <c r="C7" s="45" t="s">
        <v>203</v>
      </c>
      <c r="D7" s="82"/>
      <c r="E7" s="94"/>
      <c r="F7" s="79"/>
      <c r="G7" s="79"/>
      <c r="H7" s="81"/>
      <c r="I7" s="80"/>
    </row>
    <row r="8" spans="1:9" ht="30" customHeight="1" thickBot="1" x14ac:dyDescent="0.3">
      <c r="A8" s="40" t="s">
        <v>16</v>
      </c>
      <c r="B8" s="222" t="s">
        <v>245</v>
      </c>
      <c r="C8" s="223"/>
      <c r="D8" s="224"/>
    </row>
    <row r="10" spans="1:9" ht="15.75" thickBot="1" x14ac:dyDescent="0.3">
      <c r="A10" s="55" t="s">
        <v>81</v>
      </c>
      <c r="D10" s="55" t="s">
        <v>125</v>
      </c>
    </row>
    <row r="11" spans="1:9" ht="15.75" thickBot="1" x14ac:dyDescent="0.3">
      <c r="A11" s="17" t="s">
        <v>143</v>
      </c>
      <c r="B11" s="99"/>
      <c r="D11" s="17" t="s">
        <v>176</v>
      </c>
      <c r="E11" s="102"/>
    </row>
    <row r="12" spans="1:9" x14ac:dyDescent="0.25">
      <c r="A12" s="18" t="s">
        <v>144</v>
      </c>
      <c r="B12" s="100"/>
      <c r="D12" s="18" t="s">
        <v>177</v>
      </c>
      <c r="E12" s="102">
        <v>46.5</v>
      </c>
    </row>
    <row r="13" spans="1:9" x14ac:dyDescent="0.25">
      <c r="A13" s="18" t="s">
        <v>145</v>
      </c>
      <c r="B13" s="100"/>
      <c r="D13" s="18" t="s">
        <v>178</v>
      </c>
      <c r="E13" s="103">
        <v>45.5</v>
      </c>
    </row>
    <row r="14" spans="1:9" ht="15.75" thickBot="1" x14ac:dyDescent="0.3">
      <c r="A14" s="20" t="s">
        <v>146</v>
      </c>
      <c r="B14" s="101"/>
      <c r="D14" s="18" t="s">
        <v>173</v>
      </c>
      <c r="E14" s="103"/>
    </row>
    <row r="15" spans="1:9" x14ac:dyDescent="0.25">
      <c r="D15" s="18" t="s">
        <v>175</v>
      </c>
      <c r="E15" s="103"/>
    </row>
    <row r="16" spans="1:9" ht="15.75" thickBot="1" x14ac:dyDescent="0.3">
      <c r="D16" s="20" t="s">
        <v>187</v>
      </c>
      <c r="E16" s="104"/>
    </row>
    <row r="17" spans="1:6" ht="15.75" thickBot="1" x14ac:dyDescent="0.3"/>
    <row r="18" spans="1:6" x14ac:dyDescent="0.25">
      <c r="A18" s="17" t="s">
        <v>207</v>
      </c>
      <c r="B18" s="105">
        <v>47</v>
      </c>
      <c r="C18" s="95"/>
      <c r="D18" s="96"/>
    </row>
    <row r="19" spans="1:6" x14ac:dyDescent="0.25">
      <c r="A19" s="18" t="s">
        <v>148</v>
      </c>
      <c r="B19" s="106">
        <v>1</v>
      </c>
      <c r="C19" s="64"/>
      <c r="D19" s="97"/>
    </row>
    <row r="20" spans="1:6" ht="15.75" thickBot="1" x14ac:dyDescent="0.3">
      <c r="A20" s="20" t="s">
        <v>147</v>
      </c>
      <c r="B20" s="98"/>
      <c r="C20" s="98"/>
      <c r="D20" s="41">
        <v>47</v>
      </c>
    </row>
    <row r="21" spans="1:6" ht="15.75" thickBot="1" x14ac:dyDescent="0.3"/>
    <row r="22" spans="1:6" ht="15.75" thickBot="1" x14ac:dyDescent="0.3">
      <c r="A22" s="42" t="s">
        <v>134</v>
      </c>
      <c r="B22" s="44" t="s">
        <v>179</v>
      </c>
      <c r="C22" s="44" t="s">
        <v>180</v>
      </c>
      <c r="D22" s="44" t="s">
        <v>181</v>
      </c>
      <c r="E22" s="229" t="s">
        <v>14</v>
      </c>
      <c r="F22" s="230"/>
    </row>
    <row r="23" spans="1:6" x14ac:dyDescent="0.25">
      <c r="A23" s="109"/>
      <c r="B23" s="110"/>
      <c r="C23" s="110"/>
      <c r="D23" s="110">
        <v>15</v>
      </c>
      <c r="E23" s="231" t="s">
        <v>258</v>
      </c>
      <c r="F23" s="231"/>
    </row>
    <row r="24" spans="1:6" x14ac:dyDescent="0.25">
      <c r="A24" s="111"/>
      <c r="B24" s="112"/>
      <c r="C24" s="112"/>
      <c r="D24" s="112">
        <v>17</v>
      </c>
      <c r="E24" s="228" t="s">
        <v>259</v>
      </c>
      <c r="F24" s="228"/>
    </row>
    <row r="25" spans="1:6" x14ac:dyDescent="0.25">
      <c r="A25" s="111"/>
      <c r="B25" s="112"/>
      <c r="C25" s="112"/>
      <c r="D25" s="112">
        <v>15</v>
      </c>
      <c r="E25" s="228" t="s">
        <v>256</v>
      </c>
      <c r="F25" s="228"/>
    </row>
    <row r="26" spans="1:6" x14ac:dyDescent="0.25">
      <c r="A26" s="111"/>
      <c r="B26" s="112"/>
      <c r="C26" s="112"/>
      <c r="D26" s="112"/>
      <c r="E26" s="228"/>
      <c r="F26" s="228"/>
    </row>
    <row r="27" spans="1:6" x14ac:dyDescent="0.25">
      <c r="A27" s="111"/>
      <c r="B27" s="112"/>
      <c r="C27" s="112"/>
      <c r="D27" s="112"/>
      <c r="E27" s="228"/>
      <c r="F27" s="228"/>
    </row>
    <row r="28" spans="1:6" x14ac:dyDescent="0.25">
      <c r="A28" s="111"/>
      <c r="B28" s="112"/>
      <c r="C28" s="112"/>
      <c r="D28" s="112"/>
      <c r="E28" s="228"/>
      <c r="F28" s="228"/>
    </row>
    <row r="29" spans="1:6" x14ac:dyDescent="0.25">
      <c r="A29" s="111"/>
      <c r="B29" s="112"/>
      <c r="C29" s="112"/>
      <c r="D29" s="112"/>
      <c r="E29" s="228"/>
      <c r="F29" s="228"/>
    </row>
    <row r="30" spans="1:6" x14ac:dyDescent="0.25">
      <c r="A30" s="111"/>
      <c r="B30" s="112"/>
      <c r="C30" s="112"/>
      <c r="D30" s="112"/>
      <c r="E30" s="228"/>
      <c r="F30" s="228"/>
    </row>
    <row r="31" spans="1:6" x14ac:dyDescent="0.25">
      <c r="A31" s="111"/>
      <c r="B31" s="112"/>
      <c r="C31" s="112"/>
      <c r="D31" s="112"/>
      <c r="E31" s="228"/>
      <c r="F31" s="228"/>
    </row>
    <row r="32" spans="1:6" x14ac:dyDescent="0.25">
      <c r="A32" s="111"/>
      <c r="B32" s="112"/>
      <c r="C32" s="112"/>
      <c r="D32" s="112"/>
      <c r="E32" s="228"/>
      <c r="F32" s="228"/>
    </row>
    <row r="33" spans="1:6" x14ac:dyDescent="0.25">
      <c r="A33" s="111"/>
      <c r="B33" s="112"/>
      <c r="C33" s="112"/>
      <c r="D33" s="112"/>
      <c r="E33" s="228"/>
      <c r="F33" s="228"/>
    </row>
    <row r="34" spans="1:6" x14ac:dyDescent="0.25">
      <c r="A34" s="111"/>
      <c r="B34" s="112"/>
      <c r="C34" s="112"/>
      <c r="D34" s="112"/>
      <c r="E34" s="228"/>
      <c r="F34" s="228"/>
    </row>
    <row r="35" spans="1:6" x14ac:dyDescent="0.25">
      <c r="A35" s="111"/>
      <c r="B35" s="112"/>
      <c r="C35" s="112"/>
      <c r="D35" s="112"/>
      <c r="E35" s="228"/>
      <c r="F35" s="228"/>
    </row>
    <row r="36" spans="1:6" x14ac:dyDescent="0.25">
      <c r="A36" s="111"/>
      <c r="B36" s="112"/>
      <c r="C36" s="112"/>
      <c r="D36" s="112"/>
      <c r="E36" s="228"/>
      <c r="F36" s="228"/>
    </row>
    <row r="37" spans="1:6" x14ac:dyDescent="0.25">
      <c r="A37" s="111"/>
      <c r="B37" s="112"/>
      <c r="C37" s="112"/>
      <c r="D37" s="112"/>
      <c r="E37" s="228"/>
      <c r="F37" s="228"/>
    </row>
    <row r="38" spans="1:6" x14ac:dyDescent="0.25">
      <c r="A38" s="111"/>
      <c r="B38" s="112"/>
      <c r="C38" s="112"/>
      <c r="D38" s="112"/>
      <c r="E38" s="228"/>
      <c r="F38" s="228"/>
    </row>
    <row r="39" spans="1:6" x14ac:dyDescent="0.25">
      <c r="A39" s="111"/>
      <c r="B39" s="112"/>
      <c r="C39" s="112"/>
      <c r="D39" s="112"/>
      <c r="E39" s="228"/>
      <c r="F39" s="228"/>
    </row>
    <row r="40" spans="1:6" x14ac:dyDescent="0.25">
      <c r="A40" s="111"/>
      <c r="B40" s="112"/>
      <c r="C40" s="112"/>
      <c r="D40" s="112"/>
      <c r="E40" s="228"/>
      <c r="F40" s="228"/>
    </row>
    <row r="41" spans="1:6" x14ac:dyDescent="0.25">
      <c r="A41" s="111"/>
      <c r="B41" s="112"/>
      <c r="C41" s="112"/>
      <c r="D41" s="112"/>
      <c r="E41" s="228"/>
      <c r="F41" s="228"/>
    </row>
    <row r="42" spans="1:6" x14ac:dyDescent="0.25">
      <c r="A42" s="111"/>
      <c r="B42" s="112"/>
      <c r="C42" s="112"/>
      <c r="D42" s="112"/>
      <c r="E42" s="228"/>
      <c r="F42" s="228"/>
    </row>
    <row r="43" spans="1:6" x14ac:dyDescent="0.25">
      <c r="A43" s="111"/>
      <c r="B43" s="112"/>
      <c r="C43" s="112"/>
      <c r="D43" s="112"/>
      <c r="E43" s="228"/>
      <c r="F43" s="228"/>
    </row>
    <row r="44" spans="1:6" x14ac:dyDescent="0.25">
      <c r="A44" s="111"/>
      <c r="B44" s="112"/>
      <c r="C44" s="112"/>
      <c r="D44" s="112"/>
      <c r="E44" s="228"/>
      <c r="F44" s="228"/>
    </row>
    <row r="45" spans="1:6" x14ac:dyDescent="0.25">
      <c r="A45" s="111"/>
      <c r="B45" s="112"/>
      <c r="C45" s="112"/>
      <c r="D45" s="112"/>
      <c r="E45" s="228"/>
      <c r="F45" s="228"/>
    </row>
    <row r="46" spans="1:6" x14ac:dyDescent="0.25">
      <c r="A46" s="111"/>
      <c r="B46" s="112"/>
      <c r="C46" s="112"/>
      <c r="D46" s="112"/>
      <c r="E46" s="228"/>
      <c r="F46" s="228"/>
    </row>
    <row r="47" spans="1:6" x14ac:dyDescent="0.25">
      <c r="A47" s="111"/>
      <c r="B47" s="112"/>
      <c r="C47" s="112"/>
      <c r="D47" s="112"/>
      <c r="E47" s="228"/>
      <c r="F47" s="228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EAA3CE3B-08AB-4A67-863C-BA9C838EA16E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5FDC-7F4C-48C0-A5B3-BE64D902BB00}">
  <sheetPr>
    <tabColor rgb="FF92D050"/>
    <pageSetUpPr fitToPage="1"/>
  </sheetPr>
  <dimension ref="A1:I47"/>
  <sheetViews>
    <sheetView zoomScale="80" zoomScaleNormal="80" workbookViewId="0">
      <selection activeCell="E31" sqref="E31:F31"/>
    </sheetView>
  </sheetViews>
  <sheetFormatPr defaultColWidth="9.140625" defaultRowHeight="15" x14ac:dyDescent="0.25"/>
  <cols>
    <col min="1" max="1" width="23.85546875" style="53" bestFit="1" customWidth="1"/>
    <col min="2" max="2" width="16.85546875" style="53" bestFit="1" customWidth="1"/>
    <col min="3" max="3" width="20.42578125" style="53" bestFit="1" customWidth="1"/>
    <col min="4" max="4" width="27" style="53" bestFit="1" customWidth="1"/>
    <col min="5" max="5" width="18.85546875" style="53" customWidth="1"/>
    <col min="6" max="6" width="20.140625" style="53" bestFit="1" customWidth="1"/>
    <col min="7" max="7" width="18.85546875" style="53" customWidth="1"/>
    <col min="8" max="8" width="36.85546875" style="53" customWidth="1"/>
    <col min="9" max="16384" width="9.140625" style="53"/>
  </cols>
  <sheetData>
    <row r="1" spans="1:9" ht="34.5" thickBot="1" x14ac:dyDescent="0.55000000000000004">
      <c r="A1" s="225" t="s">
        <v>263</v>
      </c>
      <c r="B1" s="225"/>
      <c r="C1" s="225"/>
      <c r="D1" s="225"/>
    </row>
    <row r="2" spans="1:9" x14ac:dyDescent="0.25">
      <c r="A2" s="37" t="s">
        <v>17</v>
      </c>
      <c r="B2" s="201" t="str">
        <f>CONCATENATE(ExpID,"-",StnNum,"-",StnDay)</f>
        <v>KF_April2021-1-1</v>
      </c>
      <c r="C2" s="201"/>
      <c r="D2" s="78"/>
    </row>
    <row r="3" spans="1:9" x14ac:dyDescent="0.25">
      <c r="A3" s="38" t="s">
        <v>169</v>
      </c>
      <c r="B3" s="203"/>
      <c r="C3" s="203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04"/>
      <c r="C5" s="204"/>
      <c r="D5" s="82"/>
    </row>
    <row r="6" spans="1:9" x14ac:dyDescent="0.25">
      <c r="A6" s="39" t="s">
        <v>137</v>
      </c>
      <c r="B6" s="206" t="s">
        <v>236</v>
      </c>
      <c r="C6" s="207"/>
      <c r="D6" s="82"/>
    </row>
    <row r="7" spans="1:9" x14ac:dyDescent="0.25">
      <c r="A7" s="226" t="s">
        <v>204</v>
      </c>
      <c r="B7" s="227"/>
      <c r="C7" s="45" t="s">
        <v>203</v>
      </c>
      <c r="D7" s="82"/>
      <c r="E7" s="94"/>
      <c r="F7" s="79"/>
      <c r="G7" s="79"/>
      <c r="H7" s="81"/>
      <c r="I7" s="80"/>
    </row>
    <row r="8" spans="1:9" ht="30" customHeight="1" thickBot="1" x14ac:dyDescent="0.3">
      <c r="A8" s="40" t="s">
        <v>16</v>
      </c>
      <c r="B8" s="222" t="s">
        <v>245</v>
      </c>
      <c r="C8" s="223"/>
      <c r="D8" s="224"/>
    </row>
    <row r="10" spans="1:9" ht="15.75" thickBot="1" x14ac:dyDescent="0.3">
      <c r="A10" s="55" t="s">
        <v>81</v>
      </c>
      <c r="D10" s="55" t="s">
        <v>125</v>
      </c>
    </row>
    <row r="11" spans="1:9" ht="15.75" thickBot="1" x14ac:dyDescent="0.3">
      <c r="A11" s="17" t="s">
        <v>143</v>
      </c>
      <c r="B11" s="99"/>
      <c r="D11" s="17" t="s">
        <v>176</v>
      </c>
      <c r="E11" s="102"/>
    </row>
    <row r="12" spans="1:9" x14ac:dyDescent="0.25">
      <c r="A12" s="18" t="s">
        <v>144</v>
      </c>
      <c r="B12" s="100"/>
      <c r="D12" s="18" t="s">
        <v>177</v>
      </c>
      <c r="E12" s="102"/>
      <c r="F12" s="53" t="s">
        <v>260</v>
      </c>
    </row>
    <row r="13" spans="1:9" x14ac:dyDescent="0.25">
      <c r="A13" s="18" t="s">
        <v>145</v>
      </c>
      <c r="B13" s="100"/>
      <c r="D13" s="18" t="s">
        <v>178</v>
      </c>
      <c r="E13" s="103"/>
    </row>
    <row r="14" spans="1:9" ht="15.75" thickBot="1" x14ac:dyDescent="0.3">
      <c r="A14" s="20" t="s">
        <v>146</v>
      </c>
      <c r="B14" s="101"/>
      <c r="D14" s="18" t="s">
        <v>173</v>
      </c>
      <c r="E14" s="103"/>
    </row>
    <row r="15" spans="1:9" x14ac:dyDescent="0.25">
      <c r="D15" s="18" t="s">
        <v>175</v>
      </c>
      <c r="E15" s="103"/>
    </row>
    <row r="16" spans="1:9" ht="15.75" thickBot="1" x14ac:dyDescent="0.3">
      <c r="D16" s="20" t="s">
        <v>187</v>
      </c>
      <c r="E16" s="104"/>
    </row>
    <row r="17" spans="1:6" ht="15.75" thickBot="1" x14ac:dyDescent="0.3"/>
    <row r="18" spans="1:6" x14ac:dyDescent="0.25">
      <c r="A18" s="17" t="s">
        <v>207</v>
      </c>
      <c r="B18" s="105">
        <v>45</v>
      </c>
      <c r="C18" s="95"/>
      <c r="D18" s="96"/>
    </row>
    <row r="19" spans="1:6" x14ac:dyDescent="0.25">
      <c r="A19" s="18" t="s">
        <v>148</v>
      </c>
      <c r="B19" s="106">
        <v>1</v>
      </c>
      <c r="C19" s="64"/>
      <c r="D19" s="97"/>
    </row>
    <row r="20" spans="1:6" ht="15.75" thickBot="1" x14ac:dyDescent="0.3">
      <c r="A20" s="20" t="s">
        <v>147</v>
      </c>
      <c r="B20" s="98"/>
      <c r="C20" s="98"/>
      <c r="D20" s="41">
        <v>45</v>
      </c>
    </row>
    <row r="21" spans="1:6" ht="15.75" thickBot="1" x14ac:dyDescent="0.3"/>
    <row r="22" spans="1:6" ht="15.75" thickBot="1" x14ac:dyDescent="0.3">
      <c r="A22" s="42" t="s">
        <v>134</v>
      </c>
      <c r="B22" s="44" t="s">
        <v>179</v>
      </c>
      <c r="C22" s="44" t="s">
        <v>180</v>
      </c>
      <c r="D22" s="44" t="s">
        <v>181</v>
      </c>
      <c r="E22" s="229" t="s">
        <v>14</v>
      </c>
      <c r="F22" s="230"/>
    </row>
    <row r="23" spans="1:6" x14ac:dyDescent="0.25">
      <c r="A23" s="109" t="s">
        <v>261</v>
      </c>
      <c r="B23" s="110"/>
      <c r="C23" s="110"/>
      <c r="D23" s="110">
        <v>15</v>
      </c>
      <c r="E23" s="231" t="s">
        <v>246</v>
      </c>
      <c r="F23" s="231"/>
    </row>
    <row r="24" spans="1:6" x14ac:dyDescent="0.25">
      <c r="A24" s="111"/>
      <c r="B24" s="112"/>
      <c r="C24" s="112"/>
      <c r="D24" s="112">
        <v>15</v>
      </c>
      <c r="E24" s="228" t="s">
        <v>247</v>
      </c>
      <c r="F24" s="228"/>
    </row>
    <row r="25" spans="1:6" x14ac:dyDescent="0.25">
      <c r="A25" s="111"/>
      <c r="B25" s="112"/>
      <c r="C25" s="112"/>
      <c r="D25" s="112">
        <v>15</v>
      </c>
      <c r="E25" s="228" t="s">
        <v>248</v>
      </c>
      <c r="F25" s="228"/>
    </row>
    <row r="26" spans="1:6" x14ac:dyDescent="0.25">
      <c r="A26" s="111" t="s">
        <v>262</v>
      </c>
      <c r="B26" s="112"/>
      <c r="C26" s="112"/>
      <c r="D26" s="110">
        <v>15</v>
      </c>
      <c r="E26" s="231" t="s">
        <v>246</v>
      </c>
      <c r="F26" s="231"/>
    </row>
    <row r="27" spans="1:6" x14ac:dyDescent="0.25">
      <c r="A27" s="111"/>
      <c r="B27" s="112"/>
      <c r="C27" s="112"/>
      <c r="D27" s="112">
        <v>15</v>
      </c>
      <c r="E27" s="228" t="s">
        <v>247</v>
      </c>
      <c r="F27" s="228"/>
    </row>
    <row r="28" spans="1:6" x14ac:dyDescent="0.25">
      <c r="A28" s="111"/>
      <c r="B28" s="112"/>
      <c r="C28" s="112"/>
      <c r="D28" s="112">
        <v>15</v>
      </c>
      <c r="E28" s="228" t="s">
        <v>248</v>
      </c>
      <c r="F28" s="228"/>
    </row>
    <row r="29" spans="1:6" x14ac:dyDescent="0.25">
      <c r="A29" s="111"/>
      <c r="B29" s="112"/>
      <c r="C29" s="112"/>
      <c r="D29" s="112"/>
      <c r="E29" s="228"/>
      <c r="F29" s="228"/>
    </row>
    <row r="30" spans="1:6" x14ac:dyDescent="0.25">
      <c r="A30" s="111"/>
      <c r="B30" s="112"/>
      <c r="C30" s="112"/>
      <c r="D30" s="112"/>
      <c r="E30" s="228"/>
      <c r="F30" s="228"/>
    </row>
    <row r="31" spans="1:6" x14ac:dyDescent="0.25">
      <c r="A31" s="111"/>
      <c r="B31" s="112"/>
      <c r="C31" s="112"/>
      <c r="D31" s="112"/>
      <c r="E31" s="228"/>
      <c r="F31" s="228"/>
    </row>
    <row r="32" spans="1:6" x14ac:dyDescent="0.25">
      <c r="A32" s="111"/>
      <c r="B32" s="112"/>
      <c r="C32" s="112"/>
      <c r="D32" s="112"/>
      <c r="E32" s="228"/>
      <c r="F32" s="228"/>
    </row>
    <row r="33" spans="1:6" x14ac:dyDescent="0.25">
      <c r="A33" s="111"/>
      <c r="B33" s="112"/>
      <c r="C33" s="112"/>
      <c r="D33" s="112"/>
      <c r="E33" s="228"/>
      <c r="F33" s="228"/>
    </row>
    <row r="34" spans="1:6" x14ac:dyDescent="0.25">
      <c r="A34" s="111"/>
      <c r="B34" s="112"/>
      <c r="C34" s="112"/>
      <c r="D34" s="112"/>
      <c r="E34" s="228"/>
      <c r="F34" s="228"/>
    </row>
    <row r="35" spans="1:6" x14ac:dyDescent="0.25">
      <c r="A35" s="111"/>
      <c r="B35" s="112"/>
      <c r="C35" s="112"/>
      <c r="D35" s="112"/>
      <c r="E35" s="228"/>
      <c r="F35" s="228"/>
    </row>
    <row r="36" spans="1:6" x14ac:dyDescent="0.25">
      <c r="A36" s="111"/>
      <c r="B36" s="112"/>
      <c r="C36" s="112"/>
      <c r="D36" s="112"/>
      <c r="E36" s="228"/>
      <c r="F36" s="228"/>
    </row>
    <row r="37" spans="1:6" x14ac:dyDescent="0.25">
      <c r="A37" s="111"/>
      <c r="B37" s="112"/>
      <c r="C37" s="112"/>
      <c r="D37" s="112"/>
      <c r="E37" s="228"/>
      <c r="F37" s="228"/>
    </row>
    <row r="38" spans="1:6" x14ac:dyDescent="0.25">
      <c r="A38" s="111"/>
      <c r="B38" s="112"/>
      <c r="C38" s="112"/>
      <c r="D38" s="112"/>
      <c r="E38" s="228"/>
      <c r="F38" s="228"/>
    </row>
    <row r="39" spans="1:6" x14ac:dyDescent="0.25">
      <c r="A39" s="111"/>
      <c r="B39" s="112"/>
      <c r="C39" s="112"/>
      <c r="D39" s="112"/>
      <c r="E39" s="228"/>
      <c r="F39" s="228"/>
    </row>
    <row r="40" spans="1:6" x14ac:dyDescent="0.25">
      <c r="A40" s="111"/>
      <c r="B40" s="112"/>
      <c r="C40" s="112"/>
      <c r="D40" s="112"/>
      <c r="E40" s="228"/>
      <c r="F40" s="228"/>
    </row>
    <row r="41" spans="1:6" x14ac:dyDescent="0.25">
      <c r="A41" s="111"/>
      <c r="B41" s="112"/>
      <c r="C41" s="112"/>
      <c r="D41" s="112"/>
      <c r="E41" s="228"/>
      <c r="F41" s="228"/>
    </row>
    <row r="42" spans="1:6" x14ac:dyDescent="0.25">
      <c r="A42" s="111"/>
      <c r="B42" s="112"/>
      <c r="C42" s="112"/>
      <c r="D42" s="112"/>
      <c r="E42" s="228"/>
      <c r="F42" s="228"/>
    </row>
    <row r="43" spans="1:6" x14ac:dyDescent="0.25">
      <c r="A43" s="111"/>
      <c r="B43" s="112"/>
      <c r="C43" s="112"/>
      <c r="D43" s="112"/>
      <c r="E43" s="228"/>
      <c r="F43" s="228"/>
    </row>
    <row r="44" spans="1:6" x14ac:dyDescent="0.25">
      <c r="A44" s="111"/>
      <c r="B44" s="112"/>
      <c r="C44" s="112"/>
      <c r="D44" s="112"/>
      <c r="E44" s="228"/>
      <c r="F44" s="228"/>
    </row>
    <row r="45" spans="1:6" x14ac:dyDescent="0.25">
      <c r="A45" s="111"/>
      <c r="B45" s="112"/>
      <c r="C45" s="112"/>
      <c r="D45" s="112"/>
      <c r="E45" s="228"/>
      <c r="F45" s="228"/>
    </row>
    <row r="46" spans="1:6" x14ac:dyDescent="0.25">
      <c r="A46" s="111"/>
      <c r="B46" s="112"/>
      <c r="C46" s="112"/>
      <c r="D46" s="112"/>
      <c r="E46" s="228"/>
      <c r="F46" s="228"/>
    </row>
    <row r="47" spans="1:6" x14ac:dyDescent="0.25">
      <c r="A47" s="111"/>
      <c r="B47" s="112"/>
      <c r="C47" s="112"/>
      <c r="D47" s="112"/>
      <c r="E47" s="228"/>
      <c r="F47" s="228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44688CD7-2E12-4E6B-B84E-59A4B11C51C9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F18" sqref="F18"/>
    </sheetView>
  </sheetViews>
  <sheetFormatPr defaultColWidth="9.140625" defaultRowHeight="15" x14ac:dyDescent="0.25"/>
  <cols>
    <col min="1" max="1" width="24.42578125" style="53" bestFit="1" customWidth="1"/>
    <col min="2" max="3" width="15.85546875" style="53" customWidth="1"/>
    <col min="4" max="5" width="13.85546875" style="53" bestFit="1" customWidth="1"/>
    <col min="6" max="7" width="15.85546875" style="53" customWidth="1"/>
    <col min="8" max="8" width="13.85546875" style="53" bestFit="1" customWidth="1"/>
    <col min="9" max="9" width="36.42578125" style="53" customWidth="1"/>
    <col min="10" max="10" width="9.140625" style="53"/>
    <col min="11" max="11" width="19.140625" style="53" bestFit="1" customWidth="1"/>
    <col min="12" max="12" width="15.85546875" style="53" customWidth="1"/>
    <col min="13" max="16" width="12.85546875" style="53" customWidth="1"/>
    <col min="17" max="17" width="9.140625" style="53"/>
    <col min="18" max="19" width="15.85546875" style="53" customWidth="1"/>
    <col min="20" max="16384" width="9.140625" style="53"/>
  </cols>
  <sheetData>
    <row r="1" spans="1:19" ht="31.5" x14ac:dyDescent="0.5">
      <c r="A1" s="217" t="s">
        <v>22</v>
      </c>
      <c r="B1" s="217"/>
      <c r="C1" s="217"/>
      <c r="D1" s="217"/>
    </row>
    <row r="2" spans="1:19" x14ac:dyDescent="0.25">
      <c r="A2" s="4" t="s">
        <v>17</v>
      </c>
      <c r="B2" s="221" t="str">
        <f>CONCATENATE(ExpID,"-",StnNum,"-",StnDay)</f>
        <v>KF_April2021-1-1</v>
      </c>
      <c r="C2" s="221"/>
      <c r="D2" s="118"/>
    </row>
    <row r="3" spans="1:19" x14ac:dyDescent="0.25">
      <c r="A3" s="4" t="s">
        <v>169</v>
      </c>
      <c r="B3" s="203"/>
      <c r="C3" s="203"/>
      <c r="D3" s="119"/>
    </row>
    <row r="4" spans="1:19" x14ac:dyDescent="0.25">
      <c r="A4" s="4" t="s">
        <v>4</v>
      </c>
      <c r="B4" s="202">
        <v>44307</v>
      </c>
      <c r="C4" s="202"/>
      <c r="D4" s="119"/>
    </row>
    <row r="5" spans="1:19" x14ac:dyDescent="0.25">
      <c r="A5" s="6" t="s">
        <v>110</v>
      </c>
      <c r="B5" s="204"/>
      <c r="C5" s="204"/>
      <c r="D5" s="119"/>
    </row>
    <row r="6" spans="1:19" x14ac:dyDescent="0.25">
      <c r="A6" s="6" t="s">
        <v>137</v>
      </c>
      <c r="B6" s="205" t="s">
        <v>223</v>
      </c>
      <c r="C6" s="205"/>
      <c r="D6" s="119"/>
      <c r="E6" s="79"/>
    </row>
    <row r="7" spans="1:19" ht="30" customHeight="1" x14ac:dyDescent="0.25">
      <c r="A7" s="7" t="s">
        <v>16</v>
      </c>
      <c r="B7" s="218"/>
      <c r="C7" s="219"/>
      <c r="D7" s="220"/>
    </row>
    <row r="9" spans="1:19" x14ac:dyDescent="0.25">
      <c r="A9" s="55" t="s">
        <v>81</v>
      </c>
      <c r="K9" s="55" t="s">
        <v>87</v>
      </c>
    </row>
    <row r="10" spans="1:19" x14ac:dyDescent="0.25">
      <c r="A10" s="9" t="s">
        <v>77</v>
      </c>
      <c r="B10" s="122"/>
      <c r="K10" s="9" t="s">
        <v>205</v>
      </c>
      <c r="L10" s="123"/>
    </row>
    <row r="11" spans="1:19" x14ac:dyDescent="0.25">
      <c r="A11" s="9" t="s">
        <v>78</v>
      </c>
      <c r="B11" s="122"/>
      <c r="K11" s="9" t="s">
        <v>192</v>
      </c>
      <c r="L11" s="124"/>
    </row>
    <row r="12" spans="1:19" x14ac:dyDescent="0.25">
      <c r="A12" s="9" t="s">
        <v>79</v>
      </c>
      <c r="B12" s="122"/>
    </row>
    <row r="13" spans="1:19" x14ac:dyDescent="0.25">
      <c r="A13" s="9" t="s">
        <v>80</v>
      </c>
      <c r="B13" s="122"/>
    </row>
    <row r="15" spans="1:19" ht="15.75" x14ac:dyDescent="0.25">
      <c r="A15" s="55" t="s">
        <v>82</v>
      </c>
      <c r="B15" s="120" t="s">
        <v>206</v>
      </c>
      <c r="K15" s="55" t="s">
        <v>87</v>
      </c>
      <c r="R15" s="55" t="s">
        <v>152</v>
      </c>
    </row>
    <row r="16" spans="1:19" s="92" customFormat="1" ht="45" x14ac:dyDescent="0.25">
      <c r="A16" s="12" t="s">
        <v>83</v>
      </c>
      <c r="B16" s="12" t="s">
        <v>182</v>
      </c>
      <c r="C16" s="12" t="s">
        <v>183</v>
      </c>
      <c r="D16" s="12" t="s">
        <v>149</v>
      </c>
      <c r="E16" s="12" t="s">
        <v>150</v>
      </c>
      <c r="F16" s="12" t="s">
        <v>84</v>
      </c>
      <c r="G16" s="12" t="s">
        <v>85</v>
      </c>
      <c r="H16" s="12" t="s">
        <v>86</v>
      </c>
      <c r="I16" s="12" t="s">
        <v>14</v>
      </c>
      <c r="K16" s="25" t="s">
        <v>208</v>
      </c>
      <c r="L16" s="25" t="s">
        <v>209</v>
      </c>
      <c r="M16" s="25" t="s">
        <v>215</v>
      </c>
      <c r="N16" s="25" t="s">
        <v>214</v>
      </c>
      <c r="O16" s="25" t="s">
        <v>216</v>
      </c>
      <c r="P16" s="25" t="s">
        <v>151</v>
      </c>
      <c r="Q16" s="121"/>
      <c r="R16" s="25" t="s">
        <v>210</v>
      </c>
      <c r="S16" s="25" t="s">
        <v>211</v>
      </c>
    </row>
    <row r="17" spans="1:20" x14ac:dyDescent="0.25">
      <c r="A17" s="111">
        <v>1</v>
      </c>
      <c r="B17" s="89">
        <v>8</v>
      </c>
      <c r="C17" s="89">
        <v>7.5</v>
      </c>
      <c r="D17" s="49" t="s">
        <v>101</v>
      </c>
      <c r="E17" s="49"/>
      <c r="F17" s="167">
        <v>0.1</v>
      </c>
      <c r="G17" s="167">
        <v>1</v>
      </c>
      <c r="H17" s="49" t="s">
        <v>92</v>
      </c>
      <c r="I17" s="49" t="s">
        <v>224</v>
      </c>
      <c r="K17" s="50"/>
      <c r="L17" s="50"/>
      <c r="M17" s="168"/>
      <c r="N17" s="49"/>
      <c r="O17" s="46">
        <f>IF($L$10&gt;0,((M17-$L$11)/$L$10)*1000,0)</f>
        <v>0</v>
      </c>
      <c r="P17" s="49"/>
      <c r="R17" s="50"/>
      <c r="S17" s="116"/>
      <c r="T17" s="92"/>
    </row>
    <row r="18" spans="1:20" x14ac:dyDescent="0.25">
      <c r="A18" s="111">
        <v>2</v>
      </c>
      <c r="B18" s="89">
        <v>7.5</v>
      </c>
      <c r="C18" s="89">
        <v>7</v>
      </c>
      <c r="D18" s="49" t="s">
        <v>107</v>
      </c>
      <c r="E18" s="49"/>
      <c r="F18" s="167"/>
      <c r="G18" s="167"/>
      <c r="H18" s="49" t="s">
        <v>94</v>
      </c>
      <c r="I18" s="49" t="s">
        <v>225</v>
      </c>
      <c r="K18" s="50"/>
      <c r="L18" s="50"/>
      <c r="M18" s="168"/>
      <c r="N18" s="49"/>
      <c r="O18" s="46">
        <f t="shared" ref="O18:O56" si="0">IF($L$10&gt;0,((M18-$L$11)/$L$10)*1000,0)</f>
        <v>0</v>
      </c>
      <c r="P18" s="49"/>
      <c r="R18" s="50"/>
      <c r="S18" s="116"/>
      <c r="T18" s="92"/>
    </row>
    <row r="19" spans="1:20" x14ac:dyDescent="0.25">
      <c r="A19" s="111">
        <v>3</v>
      </c>
      <c r="B19" s="89">
        <v>7</v>
      </c>
      <c r="C19" s="89">
        <v>4</v>
      </c>
      <c r="D19" s="49" t="s">
        <v>102</v>
      </c>
      <c r="E19" s="49" t="s">
        <v>103</v>
      </c>
      <c r="F19" s="167">
        <v>0.5</v>
      </c>
      <c r="G19" s="167">
        <v>2</v>
      </c>
      <c r="H19" s="49" t="s">
        <v>93</v>
      </c>
      <c r="I19" s="49"/>
      <c r="K19" s="50"/>
      <c r="L19" s="50"/>
      <c r="M19" s="168"/>
      <c r="N19" s="49"/>
      <c r="O19" s="46">
        <f t="shared" si="0"/>
        <v>0</v>
      </c>
      <c r="P19" s="49"/>
      <c r="R19" s="50"/>
      <c r="S19" s="116"/>
      <c r="T19" s="92"/>
    </row>
    <row r="20" spans="1:20" x14ac:dyDescent="0.25">
      <c r="A20" s="111">
        <v>4</v>
      </c>
      <c r="B20" s="89">
        <v>4</v>
      </c>
      <c r="C20" s="89">
        <v>0</v>
      </c>
      <c r="D20" s="49" t="s">
        <v>107</v>
      </c>
      <c r="E20" s="49"/>
      <c r="F20" s="167"/>
      <c r="G20" s="167"/>
      <c r="H20" s="49" t="s">
        <v>95</v>
      </c>
      <c r="I20" s="49" t="s">
        <v>226</v>
      </c>
      <c r="K20" s="50"/>
      <c r="L20" s="50"/>
      <c r="M20" s="168"/>
      <c r="N20" s="49"/>
      <c r="O20" s="46">
        <f t="shared" si="0"/>
        <v>0</v>
      </c>
      <c r="P20" s="49"/>
      <c r="R20" s="50"/>
      <c r="S20" s="116"/>
      <c r="T20" s="92"/>
    </row>
    <row r="21" spans="1:20" x14ac:dyDescent="0.25">
      <c r="A21" s="111"/>
      <c r="B21" s="89"/>
      <c r="C21" s="89"/>
      <c r="D21" s="49"/>
      <c r="E21" s="49"/>
      <c r="F21" s="167"/>
      <c r="G21" s="167"/>
      <c r="H21" s="49"/>
      <c r="I21" s="49"/>
      <c r="K21" s="50"/>
      <c r="L21" s="50"/>
      <c r="M21" s="168"/>
      <c r="N21" s="49"/>
      <c r="O21" s="46">
        <f t="shared" si="0"/>
        <v>0</v>
      </c>
      <c r="P21" s="49"/>
      <c r="R21" s="50"/>
      <c r="S21" s="116"/>
      <c r="T21" s="92"/>
    </row>
    <row r="22" spans="1:20" x14ac:dyDescent="0.25">
      <c r="A22" s="111"/>
      <c r="B22" s="89"/>
      <c r="C22" s="89"/>
      <c r="D22" s="49"/>
      <c r="E22" s="49"/>
      <c r="F22" s="167"/>
      <c r="G22" s="167"/>
      <c r="H22" s="49"/>
      <c r="I22" s="49"/>
      <c r="K22" s="50"/>
      <c r="L22" s="50"/>
      <c r="M22" s="168"/>
      <c r="N22" s="49"/>
      <c r="O22" s="46">
        <f t="shared" si="0"/>
        <v>0</v>
      </c>
      <c r="P22" s="49"/>
      <c r="R22" s="50"/>
      <c r="S22" s="116"/>
      <c r="T22" s="92"/>
    </row>
    <row r="23" spans="1:20" x14ac:dyDescent="0.25">
      <c r="A23" s="111"/>
      <c r="B23" s="89"/>
      <c r="C23" s="89"/>
      <c r="D23" s="49"/>
      <c r="E23" s="49"/>
      <c r="F23" s="167"/>
      <c r="G23" s="167"/>
      <c r="H23" s="49"/>
      <c r="I23" s="49"/>
      <c r="K23" s="50"/>
      <c r="L23" s="50"/>
      <c r="M23" s="168"/>
      <c r="N23" s="49"/>
      <c r="O23" s="46">
        <f t="shared" si="0"/>
        <v>0</v>
      </c>
      <c r="P23" s="49"/>
      <c r="R23" s="50"/>
      <c r="S23" s="116"/>
      <c r="T23" s="92"/>
    </row>
    <row r="24" spans="1:20" x14ac:dyDescent="0.25">
      <c r="A24" s="111"/>
      <c r="B24" s="89"/>
      <c r="C24" s="89"/>
      <c r="D24" s="49"/>
      <c r="E24" s="49"/>
      <c r="F24" s="167"/>
      <c r="G24" s="167"/>
      <c r="H24" s="49"/>
      <c r="I24" s="49"/>
      <c r="K24" s="50"/>
      <c r="L24" s="50"/>
      <c r="M24" s="168"/>
      <c r="N24" s="49"/>
      <c r="O24" s="46">
        <f t="shared" si="0"/>
        <v>0</v>
      </c>
      <c r="P24" s="49"/>
      <c r="R24" s="50"/>
      <c r="S24" s="116"/>
      <c r="T24" s="92"/>
    </row>
    <row r="25" spans="1:20" x14ac:dyDescent="0.25">
      <c r="A25" s="111"/>
      <c r="B25" s="89"/>
      <c r="C25" s="89"/>
      <c r="D25" s="49"/>
      <c r="E25" s="49"/>
      <c r="F25" s="167"/>
      <c r="G25" s="167"/>
      <c r="H25" s="49"/>
      <c r="I25" s="49"/>
      <c r="K25" s="50"/>
      <c r="L25" s="50"/>
      <c r="M25" s="168"/>
      <c r="N25" s="49"/>
      <c r="O25" s="46">
        <f t="shared" si="0"/>
        <v>0</v>
      </c>
      <c r="P25" s="49"/>
      <c r="R25" s="50"/>
      <c r="S25" s="116"/>
      <c r="T25" s="92"/>
    </row>
    <row r="26" spans="1:20" x14ac:dyDescent="0.25">
      <c r="A26" s="111"/>
      <c r="B26" s="89"/>
      <c r="C26" s="89"/>
      <c r="D26" s="49"/>
      <c r="E26" s="49"/>
      <c r="F26" s="167"/>
      <c r="G26" s="167"/>
      <c r="H26" s="49"/>
      <c r="I26" s="49"/>
      <c r="K26" s="50"/>
      <c r="L26" s="50"/>
      <c r="M26" s="168"/>
      <c r="N26" s="49"/>
      <c r="O26" s="46">
        <f t="shared" si="0"/>
        <v>0</v>
      </c>
      <c r="P26" s="49"/>
      <c r="R26" s="50"/>
      <c r="S26" s="116"/>
      <c r="T26" s="92"/>
    </row>
    <row r="27" spans="1:20" x14ac:dyDescent="0.25">
      <c r="A27" s="111"/>
      <c r="B27" s="50"/>
      <c r="C27" s="50"/>
      <c r="D27" s="49"/>
      <c r="E27" s="49"/>
      <c r="F27" s="167"/>
      <c r="G27" s="167"/>
      <c r="H27" s="49"/>
      <c r="I27" s="49"/>
      <c r="K27" s="50"/>
      <c r="L27" s="50"/>
      <c r="M27" s="168"/>
      <c r="N27" s="49"/>
      <c r="O27" s="46">
        <f t="shared" si="0"/>
        <v>0</v>
      </c>
      <c r="P27" s="49"/>
      <c r="R27" s="50"/>
      <c r="S27" s="116"/>
      <c r="T27" s="92"/>
    </row>
    <row r="28" spans="1:20" x14ac:dyDescent="0.25">
      <c r="A28" s="111"/>
      <c r="B28" s="50"/>
      <c r="C28" s="50"/>
      <c r="D28" s="49"/>
      <c r="E28" s="49"/>
      <c r="F28" s="167"/>
      <c r="G28" s="167"/>
      <c r="H28" s="49"/>
      <c r="I28" s="49"/>
      <c r="K28" s="50"/>
      <c r="L28" s="50"/>
      <c r="M28" s="168"/>
      <c r="N28" s="49"/>
      <c r="O28" s="46">
        <f t="shared" si="0"/>
        <v>0</v>
      </c>
      <c r="P28" s="49"/>
      <c r="R28" s="50"/>
      <c r="S28" s="116"/>
      <c r="T28" s="92"/>
    </row>
    <row r="29" spans="1:20" x14ac:dyDescent="0.25">
      <c r="A29" s="111"/>
      <c r="B29" s="50"/>
      <c r="C29" s="50"/>
      <c r="D29" s="49"/>
      <c r="E29" s="49"/>
      <c r="F29" s="167"/>
      <c r="G29" s="167"/>
      <c r="H29" s="49"/>
      <c r="I29" s="49"/>
      <c r="K29" s="50"/>
      <c r="L29" s="50"/>
      <c r="M29" s="168"/>
      <c r="N29" s="49"/>
      <c r="O29" s="46">
        <f t="shared" si="0"/>
        <v>0</v>
      </c>
      <c r="P29" s="49"/>
      <c r="R29" s="50"/>
      <c r="S29" s="116"/>
      <c r="T29" s="92"/>
    </row>
    <row r="30" spans="1:20" x14ac:dyDescent="0.25">
      <c r="A30" s="111"/>
      <c r="B30" s="50"/>
      <c r="C30" s="50"/>
      <c r="D30" s="49"/>
      <c r="E30" s="49"/>
      <c r="F30" s="167"/>
      <c r="G30" s="167"/>
      <c r="H30" s="49"/>
      <c r="I30" s="49"/>
      <c r="K30" s="50"/>
      <c r="L30" s="50"/>
      <c r="M30" s="168"/>
      <c r="N30" s="49"/>
      <c r="O30" s="46">
        <f t="shared" si="0"/>
        <v>0</v>
      </c>
      <c r="P30" s="49"/>
      <c r="R30" s="50"/>
      <c r="S30" s="116"/>
      <c r="T30" s="92"/>
    </row>
    <row r="31" spans="1:20" x14ac:dyDescent="0.25">
      <c r="A31" s="111"/>
      <c r="B31" s="50"/>
      <c r="C31" s="50"/>
      <c r="D31" s="49"/>
      <c r="E31" s="49"/>
      <c r="F31" s="167"/>
      <c r="G31" s="167"/>
      <c r="H31" s="49"/>
      <c r="I31" s="49"/>
      <c r="K31" s="50"/>
      <c r="L31" s="50"/>
      <c r="M31" s="168"/>
      <c r="N31" s="49"/>
      <c r="O31" s="46">
        <f t="shared" si="0"/>
        <v>0</v>
      </c>
      <c r="P31" s="49"/>
      <c r="R31" s="50"/>
      <c r="S31" s="116"/>
      <c r="T31" s="92"/>
    </row>
    <row r="32" spans="1:20" x14ac:dyDescent="0.25">
      <c r="A32" s="111"/>
      <c r="B32" s="50"/>
      <c r="C32" s="50"/>
      <c r="D32" s="49"/>
      <c r="E32" s="49"/>
      <c r="F32" s="167"/>
      <c r="G32" s="167"/>
      <c r="H32" s="49"/>
      <c r="I32" s="49"/>
      <c r="K32" s="50"/>
      <c r="L32" s="50"/>
      <c r="M32" s="168"/>
      <c r="N32" s="49"/>
      <c r="O32" s="46">
        <f t="shared" si="0"/>
        <v>0</v>
      </c>
      <c r="P32" s="49"/>
      <c r="R32" s="50"/>
      <c r="S32" s="116"/>
      <c r="T32" s="92"/>
    </row>
    <row r="33" spans="1:20" x14ac:dyDescent="0.25">
      <c r="A33" s="111"/>
      <c r="B33" s="50"/>
      <c r="C33" s="50"/>
      <c r="D33" s="49"/>
      <c r="E33" s="49"/>
      <c r="F33" s="167"/>
      <c r="G33" s="167"/>
      <c r="H33" s="49"/>
      <c r="I33" s="49"/>
      <c r="K33" s="50"/>
      <c r="L33" s="50"/>
      <c r="M33" s="168"/>
      <c r="N33" s="49"/>
      <c r="O33" s="46">
        <f t="shared" si="0"/>
        <v>0</v>
      </c>
      <c r="P33" s="49"/>
      <c r="R33" s="50"/>
      <c r="S33" s="116"/>
      <c r="T33" s="92"/>
    </row>
    <row r="34" spans="1:20" x14ac:dyDescent="0.25">
      <c r="A34" s="111"/>
      <c r="B34" s="50"/>
      <c r="C34" s="50"/>
      <c r="D34" s="49"/>
      <c r="E34" s="49"/>
      <c r="F34" s="167"/>
      <c r="G34" s="167"/>
      <c r="H34" s="49"/>
      <c r="I34" s="49"/>
      <c r="K34" s="50"/>
      <c r="L34" s="50"/>
      <c r="M34" s="168"/>
      <c r="N34" s="49"/>
      <c r="O34" s="46">
        <f t="shared" si="0"/>
        <v>0</v>
      </c>
      <c r="P34" s="49"/>
      <c r="R34" s="50"/>
      <c r="S34" s="116"/>
      <c r="T34" s="92"/>
    </row>
    <row r="35" spans="1:20" x14ac:dyDescent="0.25">
      <c r="A35" s="111"/>
      <c r="B35" s="50"/>
      <c r="C35" s="50"/>
      <c r="D35" s="49"/>
      <c r="E35" s="49"/>
      <c r="F35" s="167"/>
      <c r="G35" s="167"/>
      <c r="H35" s="49"/>
      <c r="I35" s="49"/>
      <c r="K35" s="50"/>
      <c r="L35" s="50"/>
      <c r="M35" s="168"/>
      <c r="N35" s="49"/>
      <c r="O35" s="46">
        <f t="shared" si="0"/>
        <v>0</v>
      </c>
      <c r="P35" s="49"/>
      <c r="R35" s="50"/>
      <c r="S35" s="116"/>
      <c r="T35" s="92"/>
    </row>
    <row r="36" spans="1:20" x14ac:dyDescent="0.25">
      <c r="A36" s="111"/>
      <c r="B36" s="50"/>
      <c r="C36" s="50"/>
      <c r="D36" s="49"/>
      <c r="E36" s="49"/>
      <c r="F36" s="167"/>
      <c r="G36" s="167"/>
      <c r="H36" s="49"/>
      <c r="I36" s="49"/>
      <c r="K36" s="50"/>
      <c r="L36" s="50"/>
      <c r="M36" s="168"/>
      <c r="N36" s="49"/>
      <c r="O36" s="46">
        <f t="shared" si="0"/>
        <v>0</v>
      </c>
      <c r="P36" s="49"/>
      <c r="R36" s="50"/>
      <c r="S36" s="116"/>
      <c r="T36" s="92"/>
    </row>
    <row r="37" spans="1:20" x14ac:dyDescent="0.25">
      <c r="A37" s="111"/>
      <c r="B37" s="50"/>
      <c r="C37" s="50"/>
      <c r="D37" s="49"/>
      <c r="E37" s="49"/>
      <c r="F37" s="167"/>
      <c r="G37" s="167"/>
      <c r="H37" s="49"/>
      <c r="I37" s="49"/>
      <c r="K37" s="50"/>
      <c r="L37" s="50"/>
      <c r="M37" s="168"/>
      <c r="N37" s="49"/>
      <c r="O37" s="46">
        <f t="shared" si="0"/>
        <v>0</v>
      </c>
      <c r="P37" s="49"/>
      <c r="R37" s="50"/>
      <c r="S37" s="116"/>
      <c r="T37" s="92"/>
    </row>
    <row r="38" spans="1:20" x14ac:dyDescent="0.25">
      <c r="A38" s="111"/>
      <c r="B38" s="50"/>
      <c r="C38" s="50"/>
      <c r="D38" s="49"/>
      <c r="E38" s="49"/>
      <c r="F38" s="167"/>
      <c r="G38" s="167"/>
      <c r="H38" s="49"/>
      <c r="I38" s="49"/>
      <c r="K38" s="50"/>
      <c r="L38" s="50"/>
      <c r="M38" s="168"/>
      <c r="N38" s="49"/>
      <c r="O38" s="46">
        <f t="shared" si="0"/>
        <v>0</v>
      </c>
      <c r="P38" s="49"/>
      <c r="R38" s="50"/>
      <c r="S38" s="116"/>
      <c r="T38" s="92"/>
    </row>
    <row r="39" spans="1:20" x14ac:dyDescent="0.25">
      <c r="A39" s="111"/>
      <c r="B39" s="50"/>
      <c r="C39" s="50"/>
      <c r="D39" s="49"/>
      <c r="E39" s="49"/>
      <c r="F39" s="167"/>
      <c r="G39" s="167"/>
      <c r="H39" s="49"/>
      <c r="I39" s="49"/>
      <c r="K39" s="50"/>
      <c r="L39" s="50"/>
      <c r="M39" s="168"/>
      <c r="N39" s="49"/>
      <c r="O39" s="46">
        <f t="shared" si="0"/>
        <v>0</v>
      </c>
      <c r="P39" s="49"/>
      <c r="R39" s="50"/>
      <c r="S39" s="116"/>
    </row>
    <row r="40" spans="1:20" x14ac:dyDescent="0.25">
      <c r="A40" s="111"/>
      <c r="B40" s="50"/>
      <c r="C40" s="50"/>
      <c r="D40" s="49"/>
      <c r="E40" s="49"/>
      <c r="F40" s="167"/>
      <c r="G40" s="167"/>
      <c r="H40" s="49"/>
      <c r="I40" s="49"/>
      <c r="K40" s="50"/>
      <c r="L40" s="50"/>
      <c r="M40" s="168"/>
      <c r="N40" s="49"/>
      <c r="O40" s="46">
        <f t="shared" si="0"/>
        <v>0</v>
      </c>
      <c r="P40" s="49"/>
      <c r="R40" s="50"/>
      <c r="S40" s="116"/>
    </row>
    <row r="41" spans="1:20" x14ac:dyDescent="0.25">
      <c r="A41" s="111"/>
      <c r="B41" s="50"/>
      <c r="C41" s="50"/>
      <c r="D41" s="49"/>
      <c r="E41" s="49"/>
      <c r="F41" s="167"/>
      <c r="G41" s="167"/>
      <c r="H41" s="49"/>
      <c r="I41" s="49"/>
      <c r="K41" s="50"/>
      <c r="L41" s="50"/>
      <c r="M41" s="168"/>
      <c r="N41" s="49"/>
      <c r="O41" s="46">
        <f t="shared" si="0"/>
        <v>0</v>
      </c>
      <c r="P41" s="49"/>
      <c r="R41" s="50"/>
      <c r="S41" s="116"/>
    </row>
    <row r="42" spans="1:20" x14ac:dyDescent="0.25">
      <c r="A42" s="111"/>
      <c r="B42" s="50"/>
      <c r="C42" s="50"/>
      <c r="D42" s="49"/>
      <c r="E42" s="49"/>
      <c r="F42" s="167"/>
      <c r="G42" s="167"/>
      <c r="H42" s="49"/>
      <c r="I42" s="49"/>
      <c r="K42" s="50"/>
      <c r="L42" s="50"/>
      <c r="M42" s="168"/>
      <c r="N42" s="49"/>
      <c r="O42" s="46">
        <f t="shared" si="0"/>
        <v>0</v>
      </c>
      <c r="P42" s="49"/>
      <c r="R42" s="50"/>
      <c r="S42" s="116"/>
    </row>
    <row r="43" spans="1:20" x14ac:dyDescent="0.25">
      <c r="A43" s="111"/>
      <c r="B43" s="50"/>
      <c r="C43" s="50"/>
      <c r="D43" s="49"/>
      <c r="E43" s="49"/>
      <c r="F43" s="167"/>
      <c r="G43" s="167"/>
      <c r="H43" s="49"/>
      <c r="I43" s="49"/>
      <c r="K43" s="50"/>
      <c r="L43" s="50"/>
      <c r="M43" s="168"/>
      <c r="N43" s="49"/>
      <c r="O43" s="46">
        <f t="shared" si="0"/>
        <v>0</v>
      </c>
      <c r="P43" s="49"/>
      <c r="R43" s="50"/>
      <c r="S43" s="116"/>
    </row>
    <row r="44" spans="1:20" x14ac:dyDescent="0.25">
      <c r="A44" s="111"/>
      <c r="B44" s="50"/>
      <c r="C44" s="50"/>
      <c r="D44" s="49"/>
      <c r="E44" s="49"/>
      <c r="F44" s="167"/>
      <c r="G44" s="167"/>
      <c r="H44" s="49"/>
      <c r="I44" s="49"/>
      <c r="K44" s="50"/>
      <c r="L44" s="50"/>
      <c r="M44" s="168"/>
      <c r="N44" s="49"/>
      <c r="O44" s="46">
        <f t="shared" si="0"/>
        <v>0</v>
      </c>
      <c r="P44" s="49"/>
      <c r="R44" s="50"/>
      <c r="S44" s="116"/>
    </row>
    <row r="45" spans="1:20" x14ac:dyDescent="0.25">
      <c r="A45" s="111"/>
      <c r="B45" s="50"/>
      <c r="C45" s="50"/>
      <c r="D45" s="49"/>
      <c r="E45" s="49"/>
      <c r="F45" s="167"/>
      <c r="G45" s="167"/>
      <c r="H45" s="49"/>
      <c r="I45" s="49"/>
      <c r="K45" s="50"/>
      <c r="L45" s="50"/>
      <c r="M45" s="168"/>
      <c r="N45" s="49"/>
      <c r="O45" s="46">
        <f t="shared" si="0"/>
        <v>0</v>
      </c>
      <c r="P45" s="49"/>
      <c r="R45" s="50"/>
      <c r="S45" s="116"/>
    </row>
    <row r="46" spans="1:20" x14ac:dyDescent="0.25">
      <c r="A46" s="111"/>
      <c r="B46" s="50"/>
      <c r="C46" s="50"/>
      <c r="D46" s="49"/>
      <c r="E46" s="49"/>
      <c r="F46" s="167"/>
      <c r="G46" s="167"/>
      <c r="H46" s="49"/>
      <c r="I46" s="49"/>
      <c r="K46" s="50"/>
      <c r="L46" s="50"/>
      <c r="M46" s="168"/>
      <c r="N46" s="49"/>
      <c r="O46" s="46">
        <f t="shared" si="0"/>
        <v>0</v>
      </c>
      <c r="P46" s="49"/>
      <c r="R46" s="50"/>
      <c r="S46" s="116"/>
    </row>
    <row r="47" spans="1:20" x14ac:dyDescent="0.25">
      <c r="A47" s="111"/>
      <c r="B47" s="50"/>
      <c r="C47" s="50"/>
      <c r="D47" s="49"/>
      <c r="E47" s="49"/>
      <c r="F47" s="167"/>
      <c r="G47" s="167"/>
      <c r="H47" s="49"/>
      <c r="I47" s="49"/>
      <c r="K47" s="50"/>
      <c r="L47" s="50"/>
      <c r="M47" s="168"/>
      <c r="N47" s="49"/>
      <c r="O47" s="46">
        <f t="shared" si="0"/>
        <v>0</v>
      </c>
      <c r="P47" s="49"/>
      <c r="R47" s="50"/>
      <c r="S47" s="116"/>
    </row>
    <row r="48" spans="1:20" x14ac:dyDescent="0.25">
      <c r="A48" s="111"/>
      <c r="B48" s="50"/>
      <c r="C48" s="50"/>
      <c r="D48" s="49"/>
      <c r="E48" s="49"/>
      <c r="F48" s="167"/>
      <c r="G48" s="167"/>
      <c r="H48" s="49"/>
      <c r="I48" s="49"/>
      <c r="K48" s="50"/>
      <c r="L48" s="50"/>
      <c r="M48" s="168"/>
      <c r="N48" s="49"/>
      <c r="O48" s="46">
        <f t="shared" si="0"/>
        <v>0</v>
      </c>
      <c r="P48" s="49"/>
      <c r="R48" s="50"/>
      <c r="S48" s="116"/>
    </row>
    <row r="49" spans="1:19" x14ac:dyDescent="0.25">
      <c r="A49" s="111"/>
      <c r="B49" s="50"/>
      <c r="C49" s="50"/>
      <c r="D49" s="49"/>
      <c r="E49" s="49"/>
      <c r="F49" s="167"/>
      <c r="G49" s="167"/>
      <c r="H49" s="49"/>
      <c r="I49" s="49"/>
      <c r="K49" s="50"/>
      <c r="L49" s="50"/>
      <c r="M49" s="168"/>
      <c r="N49" s="49"/>
      <c r="O49" s="46">
        <f t="shared" si="0"/>
        <v>0</v>
      </c>
      <c r="P49" s="49"/>
      <c r="R49" s="50"/>
      <c r="S49" s="116"/>
    </row>
    <row r="50" spans="1:19" x14ac:dyDescent="0.25">
      <c r="A50" s="111"/>
      <c r="B50" s="50"/>
      <c r="C50" s="50"/>
      <c r="D50" s="49"/>
      <c r="E50" s="49"/>
      <c r="F50" s="167"/>
      <c r="G50" s="167"/>
      <c r="H50" s="49"/>
      <c r="I50" s="49"/>
      <c r="K50" s="50"/>
      <c r="L50" s="50"/>
      <c r="M50" s="168"/>
      <c r="N50" s="49"/>
      <c r="O50" s="46">
        <f t="shared" si="0"/>
        <v>0</v>
      </c>
      <c r="P50" s="49"/>
      <c r="R50" s="50"/>
      <c r="S50" s="116"/>
    </row>
    <row r="51" spans="1:19" x14ac:dyDescent="0.25">
      <c r="A51" s="111"/>
      <c r="B51" s="50"/>
      <c r="C51" s="50"/>
      <c r="D51" s="49"/>
      <c r="E51" s="49"/>
      <c r="F51" s="167"/>
      <c r="G51" s="167"/>
      <c r="H51" s="49"/>
      <c r="I51" s="49"/>
      <c r="K51" s="50"/>
      <c r="L51" s="50"/>
      <c r="M51" s="168"/>
      <c r="N51" s="49"/>
      <c r="O51" s="46">
        <f t="shared" si="0"/>
        <v>0</v>
      </c>
      <c r="P51" s="49"/>
      <c r="R51" s="50"/>
      <c r="S51" s="116"/>
    </row>
    <row r="52" spans="1:19" x14ac:dyDescent="0.25">
      <c r="A52" s="111"/>
      <c r="B52" s="50"/>
      <c r="C52" s="50"/>
      <c r="D52" s="49"/>
      <c r="E52" s="49"/>
      <c r="F52" s="167"/>
      <c r="G52" s="167"/>
      <c r="H52" s="49"/>
      <c r="I52" s="49"/>
      <c r="K52" s="50"/>
      <c r="L52" s="50"/>
      <c r="M52" s="168"/>
      <c r="N52" s="49"/>
      <c r="O52" s="46">
        <f t="shared" si="0"/>
        <v>0</v>
      </c>
      <c r="P52" s="49"/>
      <c r="R52" s="50"/>
      <c r="S52" s="116"/>
    </row>
    <row r="53" spans="1:19" x14ac:dyDescent="0.25">
      <c r="A53" s="111"/>
      <c r="B53" s="50"/>
      <c r="C53" s="50"/>
      <c r="D53" s="49"/>
      <c r="E53" s="49"/>
      <c r="F53" s="167"/>
      <c r="G53" s="167"/>
      <c r="H53" s="49"/>
      <c r="I53" s="49"/>
      <c r="K53" s="50"/>
      <c r="L53" s="50"/>
      <c r="M53" s="168"/>
      <c r="N53" s="49"/>
      <c r="O53" s="46">
        <f t="shared" si="0"/>
        <v>0</v>
      </c>
      <c r="P53" s="49"/>
      <c r="R53" s="50"/>
      <c r="S53" s="116"/>
    </row>
    <row r="54" spans="1:19" x14ac:dyDescent="0.25">
      <c r="A54" s="111"/>
      <c r="B54" s="50"/>
      <c r="C54" s="50"/>
      <c r="D54" s="49"/>
      <c r="E54" s="49"/>
      <c r="F54" s="167"/>
      <c r="G54" s="167"/>
      <c r="H54" s="49"/>
      <c r="I54" s="49"/>
      <c r="K54" s="50"/>
      <c r="L54" s="50"/>
      <c r="M54" s="168"/>
      <c r="N54" s="49"/>
      <c r="O54" s="46">
        <f t="shared" si="0"/>
        <v>0</v>
      </c>
      <c r="P54" s="49"/>
      <c r="R54" s="50"/>
      <c r="S54" s="116"/>
    </row>
    <row r="55" spans="1:19" x14ac:dyDescent="0.25">
      <c r="A55" s="111"/>
      <c r="B55" s="50"/>
      <c r="C55" s="50"/>
      <c r="D55" s="49"/>
      <c r="E55" s="49"/>
      <c r="F55" s="167"/>
      <c r="G55" s="167"/>
      <c r="H55" s="49"/>
      <c r="I55" s="49"/>
      <c r="K55" s="50"/>
      <c r="L55" s="50"/>
      <c r="M55" s="168"/>
      <c r="N55" s="49"/>
      <c r="O55" s="46">
        <f t="shared" si="0"/>
        <v>0</v>
      </c>
      <c r="P55" s="49"/>
      <c r="R55" s="50"/>
      <c r="S55" s="116"/>
    </row>
    <row r="56" spans="1:19" x14ac:dyDescent="0.25">
      <c r="A56" s="111"/>
      <c r="B56" s="50"/>
      <c r="C56" s="50"/>
      <c r="D56" s="49"/>
      <c r="E56" s="49"/>
      <c r="F56" s="167"/>
      <c r="G56" s="167"/>
      <c r="H56" s="49"/>
      <c r="I56" s="49"/>
      <c r="K56" s="50"/>
      <c r="L56" s="50"/>
      <c r="M56" s="168"/>
      <c r="N56" s="49"/>
      <c r="O56" s="46">
        <f t="shared" si="0"/>
        <v>0</v>
      </c>
      <c r="P56" s="49"/>
      <c r="R56" s="50"/>
      <c r="S56" s="116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L43"/>
  <sheetViews>
    <sheetView zoomScale="80" zoomScaleNormal="80" workbookViewId="0">
      <selection activeCell="B5" sqref="B5"/>
    </sheetView>
  </sheetViews>
  <sheetFormatPr defaultColWidth="9.140625" defaultRowHeight="15" x14ac:dyDescent="0.25"/>
  <cols>
    <col min="1" max="4" width="21.85546875" style="53" customWidth="1"/>
    <col min="5" max="5" width="9.140625" style="53"/>
    <col min="6" max="6" width="10" style="53" bestFit="1" customWidth="1"/>
    <col min="7" max="7" width="9.140625" style="53"/>
    <col min="8" max="8" width="9.140625" style="126"/>
    <col min="9" max="9" width="16" style="53" bestFit="1" customWidth="1"/>
    <col min="10" max="10" width="15.140625" style="53" bestFit="1" customWidth="1"/>
    <col min="11" max="11" width="12.42578125" style="53" bestFit="1" customWidth="1"/>
    <col min="12" max="12" width="7.42578125" style="53" bestFit="1" customWidth="1"/>
    <col min="13" max="16384" width="9.140625" style="53"/>
  </cols>
  <sheetData>
    <row r="1" spans="1:12" ht="32.25" thickBot="1" x14ac:dyDescent="0.55000000000000004">
      <c r="A1" s="232" t="s">
        <v>154</v>
      </c>
      <c r="B1" s="232"/>
      <c r="C1" s="125"/>
      <c r="D1" s="125"/>
    </row>
    <row r="2" spans="1:12" x14ac:dyDescent="0.25">
      <c r="A2" s="37" t="s">
        <v>17</v>
      </c>
      <c r="B2" s="134" t="str">
        <f>CONCATENATE(ExpID,"-",StnNum,"-",StnDay)</f>
        <v>KF_April2021-1-1</v>
      </c>
      <c r="C2" s="135"/>
      <c r="D2" s="78"/>
    </row>
    <row r="3" spans="1:12" x14ac:dyDescent="0.25">
      <c r="A3" s="38" t="s">
        <v>169</v>
      </c>
      <c r="B3" s="113"/>
      <c r="C3" s="80"/>
      <c r="D3" s="82"/>
    </row>
    <row r="4" spans="1:12" x14ac:dyDescent="0.25">
      <c r="A4" s="38" t="s">
        <v>4</v>
      </c>
      <c r="B4" s="5">
        <f>ObsDate</f>
        <v>44307</v>
      </c>
      <c r="C4" s="80"/>
      <c r="D4" s="82"/>
    </row>
    <row r="5" spans="1:12" x14ac:dyDescent="0.25">
      <c r="A5" s="39" t="s">
        <v>110</v>
      </c>
      <c r="B5" s="8"/>
      <c r="C5" s="80"/>
      <c r="D5" s="82"/>
    </row>
    <row r="6" spans="1:12" x14ac:dyDescent="0.25">
      <c r="A6" s="39" t="s">
        <v>137</v>
      </c>
      <c r="B6" s="8"/>
      <c r="C6" s="80"/>
      <c r="D6" s="82"/>
      <c r="E6" s="79"/>
      <c r="F6" s="79"/>
      <c r="G6" s="81"/>
      <c r="H6" s="127"/>
    </row>
    <row r="7" spans="1:12" ht="30" customHeight="1" x14ac:dyDescent="0.25">
      <c r="A7" s="136" t="s">
        <v>155</v>
      </c>
      <c r="B7" s="233"/>
      <c r="C7" s="234"/>
      <c r="D7" s="235"/>
      <c r="E7" s="79"/>
      <c r="F7" s="79"/>
      <c r="G7" s="81"/>
      <c r="H7" s="127"/>
    </row>
    <row r="8" spans="1:12" ht="30" customHeight="1" x14ac:dyDescent="0.25">
      <c r="A8" s="137" t="s">
        <v>16</v>
      </c>
      <c r="B8" s="236"/>
      <c r="C8" s="237"/>
      <c r="D8" s="238"/>
    </row>
    <row r="9" spans="1:12" ht="29.25" customHeight="1" x14ac:dyDescent="0.25">
      <c r="A9" s="137" t="s">
        <v>156</v>
      </c>
      <c r="B9" s="239"/>
      <c r="C9" s="240"/>
      <c r="D9" s="241"/>
    </row>
    <row r="10" spans="1:12" ht="30" customHeight="1" thickBot="1" x14ac:dyDescent="0.3">
      <c r="A10" s="40" t="s">
        <v>212</v>
      </c>
      <c r="B10" s="242"/>
      <c r="C10" s="243"/>
      <c r="D10" s="244"/>
    </row>
    <row r="11" spans="1:12" ht="15.75" thickBot="1" x14ac:dyDescent="0.3"/>
    <row r="12" spans="1:12" ht="15.75" thickBot="1" x14ac:dyDescent="0.3">
      <c r="A12" s="42" t="s">
        <v>157</v>
      </c>
      <c r="B12" s="44" t="s">
        <v>158</v>
      </c>
      <c r="C12" s="44" t="s">
        <v>159</v>
      </c>
      <c r="D12" s="44" t="s">
        <v>160</v>
      </c>
      <c r="E12" s="44" t="s">
        <v>161</v>
      </c>
      <c r="F12" s="131" t="s">
        <v>162</v>
      </c>
      <c r="G12" s="132"/>
      <c r="H12" s="133" t="s">
        <v>110</v>
      </c>
      <c r="I12" s="44" t="s">
        <v>163</v>
      </c>
      <c r="J12" s="44" t="s">
        <v>164</v>
      </c>
      <c r="K12" s="44" t="s">
        <v>165</v>
      </c>
      <c r="L12" s="43" t="s">
        <v>166</v>
      </c>
    </row>
    <row r="13" spans="1:12" x14ac:dyDescent="0.25">
      <c r="A13" s="129"/>
      <c r="B13" s="129"/>
      <c r="C13" s="129"/>
      <c r="D13" s="129"/>
      <c r="E13" s="129"/>
      <c r="F13" s="129"/>
      <c r="G13" s="129"/>
      <c r="H13" s="130"/>
      <c r="I13" s="129"/>
      <c r="J13" s="129"/>
      <c r="K13" s="129"/>
      <c r="L13" s="129"/>
    </row>
    <row r="14" spans="1:12" x14ac:dyDescent="0.25">
      <c r="A14" s="46"/>
      <c r="B14" s="46"/>
      <c r="C14" s="46"/>
      <c r="D14" s="46"/>
      <c r="E14" s="46"/>
      <c r="F14" s="46"/>
      <c r="G14" s="46"/>
      <c r="H14" s="128"/>
      <c r="I14" s="46"/>
      <c r="J14" s="46"/>
      <c r="K14" s="46"/>
      <c r="L14" s="46"/>
    </row>
    <row r="15" spans="1:12" x14ac:dyDescent="0.25">
      <c r="A15" s="46"/>
      <c r="B15" s="46"/>
      <c r="C15" s="46"/>
      <c r="D15" s="46"/>
      <c r="E15" s="46"/>
      <c r="F15" s="46"/>
      <c r="G15" s="46"/>
      <c r="H15" s="128"/>
      <c r="I15" s="46"/>
      <c r="J15" s="46"/>
      <c r="K15" s="46"/>
      <c r="L15" s="46"/>
    </row>
    <row r="16" spans="1:12" x14ac:dyDescent="0.25">
      <c r="A16" s="46"/>
      <c r="B16" s="46"/>
      <c r="C16" s="46"/>
      <c r="D16" s="46"/>
      <c r="E16" s="46"/>
      <c r="F16" s="46"/>
      <c r="G16" s="46"/>
      <c r="H16" s="128"/>
      <c r="I16" s="46"/>
      <c r="J16" s="46"/>
      <c r="K16" s="46"/>
      <c r="L16" s="46"/>
    </row>
    <row r="17" spans="1:12" x14ac:dyDescent="0.25">
      <c r="A17" s="46"/>
      <c r="B17" s="46"/>
      <c r="C17" s="46"/>
      <c r="D17" s="46"/>
      <c r="E17" s="46"/>
      <c r="F17" s="46"/>
      <c r="G17" s="46"/>
      <c r="H17" s="128"/>
      <c r="I17" s="46"/>
      <c r="J17" s="46"/>
      <c r="K17" s="46"/>
      <c r="L17" s="46"/>
    </row>
    <row r="18" spans="1:12" x14ac:dyDescent="0.25">
      <c r="A18" s="46"/>
      <c r="B18" s="46"/>
      <c r="C18" s="46"/>
      <c r="D18" s="46"/>
      <c r="E18" s="46"/>
      <c r="F18" s="46"/>
      <c r="G18" s="46"/>
      <c r="H18" s="128"/>
      <c r="I18" s="46"/>
      <c r="J18" s="46"/>
      <c r="K18" s="46"/>
      <c r="L18" s="46"/>
    </row>
    <row r="19" spans="1:12" x14ac:dyDescent="0.25">
      <c r="A19" s="46"/>
      <c r="B19" s="46"/>
      <c r="C19" s="46"/>
      <c r="D19" s="46"/>
      <c r="E19" s="46"/>
      <c r="F19" s="46"/>
      <c r="G19" s="46"/>
      <c r="H19" s="128"/>
      <c r="I19" s="46"/>
      <c r="J19" s="46"/>
      <c r="K19" s="46"/>
      <c r="L19" s="46"/>
    </row>
    <row r="20" spans="1:12" x14ac:dyDescent="0.25">
      <c r="A20" s="46"/>
      <c r="B20" s="46"/>
      <c r="C20" s="46"/>
      <c r="D20" s="46"/>
      <c r="E20" s="46"/>
      <c r="F20" s="46"/>
      <c r="G20" s="46"/>
      <c r="H20" s="128"/>
      <c r="I20" s="46"/>
      <c r="J20" s="46"/>
      <c r="K20" s="46"/>
      <c r="L20" s="46"/>
    </row>
    <row r="21" spans="1:12" x14ac:dyDescent="0.25">
      <c r="A21" s="46"/>
      <c r="B21" s="46"/>
      <c r="C21" s="46"/>
      <c r="D21" s="46"/>
      <c r="E21" s="46"/>
      <c r="F21" s="46"/>
      <c r="G21" s="46"/>
      <c r="H21" s="128"/>
      <c r="I21" s="46"/>
      <c r="J21" s="46"/>
      <c r="K21" s="46"/>
      <c r="L21" s="46"/>
    </row>
    <row r="22" spans="1:12" x14ac:dyDescent="0.25">
      <c r="A22" s="46"/>
      <c r="B22" s="46"/>
      <c r="C22" s="46"/>
      <c r="D22" s="46"/>
      <c r="E22" s="46"/>
      <c r="F22" s="46"/>
      <c r="G22" s="46"/>
      <c r="H22" s="128"/>
      <c r="I22" s="46"/>
      <c r="J22" s="46"/>
      <c r="K22" s="46"/>
      <c r="L22" s="46"/>
    </row>
    <row r="23" spans="1:12" x14ac:dyDescent="0.25">
      <c r="A23" s="46"/>
      <c r="B23" s="46"/>
      <c r="C23" s="46"/>
      <c r="D23" s="46"/>
      <c r="E23" s="46"/>
      <c r="F23" s="46"/>
      <c r="G23" s="46"/>
      <c r="H23" s="128"/>
      <c r="I23" s="46"/>
      <c r="J23" s="46"/>
      <c r="K23" s="46"/>
      <c r="L23" s="46"/>
    </row>
    <row r="24" spans="1:12" x14ac:dyDescent="0.25">
      <c r="A24" s="46"/>
      <c r="B24" s="46"/>
      <c r="C24" s="46"/>
      <c r="D24" s="46"/>
      <c r="E24" s="46"/>
      <c r="F24" s="46"/>
      <c r="G24" s="46"/>
      <c r="H24" s="128"/>
      <c r="I24" s="46"/>
      <c r="J24" s="46"/>
      <c r="K24" s="46"/>
      <c r="L24" s="46"/>
    </row>
    <row r="25" spans="1:12" x14ac:dyDescent="0.25">
      <c r="A25" s="46"/>
      <c r="B25" s="46"/>
      <c r="C25" s="46"/>
      <c r="D25" s="46"/>
      <c r="E25" s="46"/>
      <c r="F25" s="46"/>
      <c r="G25" s="46"/>
      <c r="H25" s="128"/>
      <c r="I25" s="46"/>
      <c r="J25" s="46"/>
      <c r="K25" s="46"/>
      <c r="L25" s="46"/>
    </row>
    <row r="26" spans="1:12" x14ac:dyDescent="0.25">
      <c r="A26" s="46"/>
      <c r="B26" s="46"/>
      <c r="C26" s="46"/>
      <c r="D26" s="46"/>
      <c r="E26" s="46"/>
      <c r="F26" s="46"/>
      <c r="G26" s="46"/>
      <c r="H26" s="128"/>
      <c r="I26" s="46"/>
      <c r="J26" s="46"/>
      <c r="K26" s="46"/>
      <c r="L26" s="46"/>
    </row>
    <row r="27" spans="1:12" x14ac:dyDescent="0.25">
      <c r="A27" s="46"/>
      <c r="B27" s="46"/>
      <c r="C27" s="46"/>
      <c r="D27" s="46"/>
      <c r="E27" s="46"/>
      <c r="F27" s="46"/>
      <c r="G27" s="46"/>
      <c r="H27" s="128"/>
      <c r="I27" s="46"/>
      <c r="J27" s="46"/>
      <c r="K27" s="46"/>
      <c r="L27" s="46"/>
    </row>
    <row r="28" spans="1:12" x14ac:dyDescent="0.25">
      <c r="A28" s="46"/>
      <c r="B28" s="46"/>
      <c r="C28" s="46"/>
      <c r="D28" s="46"/>
      <c r="E28" s="46"/>
      <c r="F28" s="46"/>
      <c r="G28" s="46"/>
      <c r="H28" s="128"/>
      <c r="I28" s="46"/>
      <c r="J28" s="46"/>
      <c r="K28" s="46"/>
      <c r="L28" s="46"/>
    </row>
    <row r="29" spans="1:12" x14ac:dyDescent="0.25">
      <c r="A29" s="46"/>
      <c r="B29" s="46"/>
      <c r="C29" s="46"/>
      <c r="D29" s="46"/>
      <c r="E29" s="46"/>
      <c r="F29" s="46"/>
      <c r="G29" s="46"/>
      <c r="H29" s="128"/>
      <c r="I29" s="46"/>
      <c r="J29" s="46"/>
      <c r="K29" s="46"/>
      <c r="L29" s="46"/>
    </row>
    <row r="30" spans="1:12" x14ac:dyDescent="0.25">
      <c r="A30" s="46"/>
      <c r="B30" s="46"/>
      <c r="C30" s="46"/>
      <c r="D30" s="46"/>
      <c r="E30" s="46"/>
      <c r="F30" s="46"/>
      <c r="G30" s="46"/>
      <c r="H30" s="128"/>
      <c r="I30" s="46"/>
      <c r="J30" s="46"/>
      <c r="K30" s="46"/>
      <c r="L30" s="46"/>
    </row>
    <row r="31" spans="1:12" x14ac:dyDescent="0.25">
      <c r="A31" s="46"/>
      <c r="B31" s="46"/>
      <c r="C31" s="46"/>
      <c r="D31" s="46"/>
      <c r="E31" s="46"/>
      <c r="F31" s="46"/>
      <c r="G31" s="46"/>
      <c r="H31" s="128"/>
      <c r="I31" s="46"/>
      <c r="J31" s="46"/>
      <c r="K31" s="46"/>
      <c r="L31" s="46"/>
    </row>
    <row r="32" spans="1:12" x14ac:dyDescent="0.25">
      <c r="A32" s="46"/>
      <c r="B32" s="46"/>
      <c r="C32" s="46"/>
      <c r="D32" s="46"/>
      <c r="E32" s="46"/>
      <c r="F32" s="46"/>
      <c r="G32" s="46"/>
      <c r="H32" s="128"/>
      <c r="I32" s="46"/>
      <c r="J32" s="46"/>
      <c r="K32" s="46"/>
      <c r="L32" s="46"/>
    </row>
    <row r="33" spans="1:12" x14ac:dyDescent="0.25">
      <c r="A33" s="46"/>
      <c r="B33" s="46"/>
      <c r="C33" s="46"/>
      <c r="D33" s="46"/>
      <c r="E33" s="46"/>
      <c r="F33" s="46"/>
      <c r="G33" s="46"/>
      <c r="H33" s="128"/>
      <c r="I33" s="46"/>
      <c r="J33" s="46"/>
      <c r="K33" s="46"/>
      <c r="L33" s="46"/>
    </row>
    <row r="34" spans="1:12" x14ac:dyDescent="0.25">
      <c r="A34" s="46"/>
      <c r="B34" s="46"/>
      <c r="C34" s="46"/>
      <c r="D34" s="46"/>
      <c r="E34" s="46"/>
      <c r="F34" s="46"/>
      <c r="G34" s="46"/>
      <c r="H34" s="128"/>
      <c r="I34" s="46"/>
      <c r="J34" s="46"/>
      <c r="K34" s="46"/>
      <c r="L34" s="46"/>
    </row>
    <row r="35" spans="1:12" x14ac:dyDescent="0.25">
      <c r="A35" s="46"/>
      <c r="B35" s="46"/>
      <c r="C35" s="46"/>
      <c r="D35" s="46"/>
      <c r="E35" s="46"/>
      <c r="F35" s="46"/>
      <c r="G35" s="46"/>
      <c r="H35" s="128"/>
      <c r="I35" s="46"/>
      <c r="J35" s="46"/>
      <c r="K35" s="46"/>
      <c r="L35" s="46"/>
    </row>
    <row r="36" spans="1:12" x14ac:dyDescent="0.25">
      <c r="A36" s="46"/>
      <c r="B36" s="46"/>
      <c r="C36" s="46"/>
      <c r="D36" s="46"/>
      <c r="E36" s="46"/>
      <c r="F36" s="46"/>
      <c r="G36" s="46"/>
      <c r="H36" s="128"/>
      <c r="I36" s="46"/>
      <c r="J36" s="46"/>
      <c r="K36" s="46"/>
      <c r="L36" s="46"/>
    </row>
    <row r="37" spans="1:12" x14ac:dyDescent="0.25">
      <c r="A37" s="46"/>
      <c r="B37" s="46"/>
      <c r="C37" s="46"/>
      <c r="D37" s="46"/>
      <c r="E37" s="46"/>
      <c r="F37" s="46"/>
      <c r="G37" s="46"/>
      <c r="H37" s="128"/>
      <c r="I37" s="46"/>
      <c r="J37" s="46"/>
      <c r="K37" s="46"/>
      <c r="L37" s="46"/>
    </row>
    <row r="38" spans="1:12" x14ac:dyDescent="0.25">
      <c r="A38" s="46"/>
      <c r="B38" s="46"/>
      <c r="C38" s="46"/>
      <c r="D38" s="46"/>
      <c r="E38" s="46"/>
      <c r="F38" s="46"/>
      <c r="G38" s="46"/>
      <c r="H38" s="128"/>
      <c r="I38" s="46"/>
      <c r="J38" s="46"/>
      <c r="K38" s="46"/>
      <c r="L38" s="46"/>
    </row>
    <row r="39" spans="1:12" x14ac:dyDescent="0.25">
      <c r="A39" s="46"/>
      <c r="B39" s="46"/>
      <c r="C39" s="46"/>
      <c r="D39" s="46"/>
      <c r="E39" s="46"/>
      <c r="F39" s="46"/>
      <c r="G39" s="46"/>
      <c r="H39" s="128"/>
      <c r="I39" s="46"/>
      <c r="J39" s="46"/>
      <c r="K39" s="46"/>
      <c r="L39" s="46"/>
    </row>
    <row r="40" spans="1:12" x14ac:dyDescent="0.25">
      <c r="A40" s="46"/>
      <c r="B40" s="46"/>
      <c r="C40" s="46"/>
      <c r="D40" s="46"/>
      <c r="E40" s="46"/>
      <c r="F40" s="46"/>
      <c r="G40" s="46"/>
      <c r="H40" s="128"/>
      <c r="I40" s="46"/>
      <c r="J40" s="46"/>
      <c r="K40" s="46"/>
      <c r="L40" s="46"/>
    </row>
    <row r="41" spans="1:12" x14ac:dyDescent="0.25">
      <c r="A41" s="46"/>
      <c r="B41" s="46"/>
      <c r="C41" s="46"/>
      <c r="D41" s="46"/>
      <c r="E41" s="46"/>
      <c r="F41" s="46"/>
      <c r="G41" s="46"/>
      <c r="H41" s="128"/>
      <c r="I41" s="46"/>
      <c r="J41" s="46"/>
      <c r="K41" s="46"/>
      <c r="L41" s="46"/>
    </row>
    <row r="42" spans="1:12" x14ac:dyDescent="0.25">
      <c r="A42" s="46"/>
      <c r="B42" s="46"/>
      <c r="C42" s="46"/>
      <c r="D42" s="46"/>
      <c r="E42" s="46"/>
      <c r="F42" s="46"/>
      <c r="G42" s="46"/>
      <c r="H42" s="128"/>
      <c r="I42" s="46"/>
      <c r="J42" s="46"/>
      <c r="K42" s="46"/>
      <c r="L42" s="46"/>
    </row>
    <row r="43" spans="1:12" x14ac:dyDescent="0.25">
      <c r="A43" s="46"/>
      <c r="B43" s="46"/>
      <c r="C43" s="46"/>
      <c r="D43" s="46"/>
      <c r="E43" s="46"/>
      <c r="F43" s="46"/>
      <c r="G43" s="46"/>
      <c r="H43" s="128"/>
      <c r="I43" s="46"/>
      <c r="J43" s="46"/>
      <c r="K43" s="46"/>
      <c r="L43" s="46"/>
    </row>
  </sheetData>
  <mergeCells count="5">
    <mergeCell ref="A1:B1"/>
    <mergeCell ref="B7:D7"/>
    <mergeCell ref="B8:D8"/>
    <mergeCell ref="B9:D9"/>
    <mergeCell ref="B10:D10"/>
  </mergeCells>
  <dataValidations count="11">
    <dataValidation allowBlank="1" showInputMessage="1" showErrorMessage="1" promptTitle="Sensor ID" prompt="Enter the sensor serial number, either as SAM#### or SAMIP####." sqref="A13" xr:uid="{00000000-0002-0000-0700-000000000000}"/>
    <dataValidation allowBlank="1" showInputMessage="1" showErrorMessage="1" promptTitle="Observation type" prompt="Enter measurement type for this sensor, most often Incident, Transmitted, or Reflected." sqref="B13" xr:uid="{00000000-0002-0000-0700-000001000000}"/>
    <dataValidation allowBlank="1" showInputMessage="1" showErrorMessage="1" promptTitle="Raw Spectra" prompt="Enter the name of the exported mlb file containing the raw spectra from this sensor." sqref="C13" xr:uid="{00000000-0002-0000-0700-000002000000}"/>
    <dataValidation allowBlank="1" showInputMessage="1" showErrorMessage="1" promptTitle="Inclination" prompt="(Optional) If available, enter the name of the exported mlb file containing the inclination data from this sensor." sqref="D13" xr:uid="{00000000-0002-0000-0700-000003000000}"/>
    <dataValidation allowBlank="1" showInputMessage="1" showErrorMessage="1" promptTitle="Pressure" prompt="(Optional) If available, enter the name of the exported mlb file containing the pressure data from this sensor." sqref="E13" xr:uid="{00000000-0002-0000-0700-000004000000}"/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F13" xr:uid="{00000000-0002-0000-0700-000005000000}"/>
    <dataValidation allowBlank="1" showInputMessage="1" showErrorMessage="1" promptTitle="Time" prompt="Enter the time when the weather observation was made." sqref="H13" xr:uid="{00000000-0002-0000-0700-000006000000}"/>
    <dataValidation allowBlank="1" showInputMessage="1" showErrorMessage="1" promptTitle="Cloud conditions" prompt="Describe the cloud cover--fraction, type, thick/thin, etc." sqref="I13" xr:uid="{00000000-0002-0000-0700-000007000000}"/>
    <dataValidation allowBlank="1" showInputMessage="1" showErrorMessage="1" promptTitle="Light comments" prompt="Describe the light conditions--direct sun, sun visible through clouds, sun not visible through clouds, sun behind mountain, etc." sqref="J13" xr:uid="{00000000-0002-0000-0700-000008000000}"/>
    <dataValidation allowBlank="1" showInputMessage="1" showErrorMessage="1" promptTitle="Precipitation" prompt="If there was precipitation, describe it here." sqref="K13" xr:uid="{00000000-0002-0000-0700-000009000000}"/>
    <dataValidation allowBlank="1" showInputMessage="1" showErrorMessage="1" promptTitle="Surface" prompt="Any relevant comments about the surface conditions or changes to the surface." sqref="L13" xr:uid="{00000000-0002-0000-0700-00000A000000}"/>
  </dataValidations>
  <pageMargins left="0.7" right="0.7" top="0.75" bottom="0.75" header="0.3" footer="0.3"/>
  <pageSetup paperSize="9" scale="69" fitToHeight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I43"/>
  <sheetViews>
    <sheetView zoomScale="80" zoomScaleNormal="80" workbookViewId="0">
      <selection activeCell="B5" sqref="B5"/>
    </sheetView>
  </sheetViews>
  <sheetFormatPr defaultColWidth="9.140625" defaultRowHeight="15" x14ac:dyDescent="0.25"/>
  <cols>
    <col min="1" max="4" width="21.85546875" style="53" customWidth="1"/>
    <col min="5" max="5" width="9.140625" style="126"/>
    <col min="6" max="6" width="16" style="53" bestFit="1" customWidth="1"/>
    <col min="7" max="7" width="15.140625" style="53" bestFit="1" customWidth="1"/>
    <col min="8" max="8" width="12.42578125" style="53" bestFit="1" customWidth="1"/>
    <col min="9" max="9" width="12.140625" style="53" customWidth="1"/>
    <col min="10" max="16384" width="9.140625" style="53"/>
  </cols>
  <sheetData>
    <row r="1" spans="1:9" ht="32.25" thickBot="1" x14ac:dyDescent="0.55000000000000004">
      <c r="A1" s="232" t="s">
        <v>168</v>
      </c>
      <c r="B1" s="232"/>
      <c r="C1" s="138"/>
      <c r="D1" s="138"/>
    </row>
    <row r="2" spans="1:9" x14ac:dyDescent="0.25">
      <c r="A2" s="37" t="s">
        <v>17</v>
      </c>
      <c r="B2" s="134" t="str">
        <f>CONCATENATE(ExpID,"-",StnNum,"-",StnDay)</f>
        <v>KF_April2021-1-1</v>
      </c>
      <c r="C2" s="135"/>
      <c r="D2" s="78"/>
    </row>
    <row r="3" spans="1:9" x14ac:dyDescent="0.25">
      <c r="A3" s="38" t="s">
        <v>169</v>
      </c>
      <c r="B3" s="113"/>
      <c r="C3" s="80"/>
      <c r="D3" s="82"/>
    </row>
    <row r="4" spans="1:9" x14ac:dyDescent="0.25">
      <c r="A4" s="38" t="s">
        <v>4</v>
      </c>
      <c r="B4" s="5">
        <f>ObsDate</f>
        <v>44307</v>
      </c>
      <c r="C4" s="80"/>
      <c r="D4" s="82"/>
    </row>
    <row r="5" spans="1:9" x14ac:dyDescent="0.25">
      <c r="A5" s="39" t="s">
        <v>110</v>
      </c>
      <c r="B5" s="8"/>
      <c r="C5" s="80"/>
      <c r="D5" s="82"/>
    </row>
    <row r="6" spans="1:9" x14ac:dyDescent="0.25">
      <c r="A6" s="39" t="s">
        <v>137</v>
      </c>
      <c r="B6" s="8"/>
      <c r="C6" s="80"/>
      <c r="D6" s="82"/>
      <c r="E6" s="139"/>
      <c r="F6" s="79"/>
      <c r="G6" s="81"/>
      <c r="H6" s="80"/>
    </row>
    <row r="7" spans="1:9" ht="30" customHeight="1" x14ac:dyDescent="0.25">
      <c r="A7" s="136" t="s">
        <v>155</v>
      </c>
      <c r="B7" s="233"/>
      <c r="C7" s="234"/>
      <c r="D7" s="235"/>
      <c r="E7" s="139"/>
      <c r="F7" s="79"/>
    </row>
    <row r="8" spans="1:9" ht="30" customHeight="1" x14ac:dyDescent="0.25">
      <c r="A8" s="137" t="s">
        <v>16</v>
      </c>
      <c r="B8" s="239"/>
      <c r="C8" s="240"/>
      <c r="D8" s="241"/>
    </row>
    <row r="9" spans="1:9" ht="30" customHeight="1" x14ac:dyDescent="0.25">
      <c r="A9" s="137" t="s">
        <v>156</v>
      </c>
      <c r="B9" s="239"/>
      <c r="C9" s="240"/>
      <c r="D9" s="241"/>
    </row>
    <row r="10" spans="1:9" ht="28.5" customHeight="1" thickBot="1" x14ac:dyDescent="0.3">
      <c r="A10" s="40" t="s">
        <v>212</v>
      </c>
      <c r="B10" s="242"/>
      <c r="C10" s="243"/>
      <c r="D10" s="244"/>
    </row>
    <row r="11" spans="1:9" ht="15.75" thickBot="1" x14ac:dyDescent="0.3"/>
    <row r="12" spans="1:9" ht="15.75" thickBot="1" x14ac:dyDescent="0.3">
      <c r="A12" s="42" t="s">
        <v>157</v>
      </c>
      <c r="B12" s="44" t="s">
        <v>167</v>
      </c>
      <c r="C12" s="131" t="s">
        <v>162</v>
      </c>
      <c r="D12" s="132"/>
      <c r="E12" s="133" t="s">
        <v>110</v>
      </c>
      <c r="F12" s="44" t="s">
        <v>163</v>
      </c>
      <c r="G12" s="44" t="s">
        <v>164</v>
      </c>
      <c r="H12" s="44" t="s">
        <v>165</v>
      </c>
      <c r="I12" s="43" t="s">
        <v>166</v>
      </c>
    </row>
    <row r="13" spans="1:9" x14ac:dyDescent="0.25">
      <c r="A13" s="129"/>
      <c r="B13" s="129"/>
      <c r="C13" s="129"/>
      <c r="D13" s="129"/>
      <c r="E13" s="130"/>
      <c r="F13" s="129"/>
      <c r="G13" s="129"/>
      <c r="H13" s="129"/>
      <c r="I13" s="129"/>
    </row>
    <row r="14" spans="1:9" x14ac:dyDescent="0.25">
      <c r="A14" s="46"/>
      <c r="B14" s="46"/>
      <c r="C14" s="46"/>
      <c r="D14" s="46"/>
      <c r="E14" s="128"/>
      <c r="F14" s="46"/>
      <c r="G14" s="46"/>
      <c r="H14" s="46"/>
      <c r="I14" s="46"/>
    </row>
    <row r="15" spans="1:9" x14ac:dyDescent="0.25">
      <c r="A15" s="46"/>
      <c r="B15" s="46"/>
      <c r="C15" s="46"/>
      <c r="D15" s="46"/>
      <c r="E15" s="128"/>
      <c r="F15" s="46"/>
      <c r="G15" s="46"/>
      <c r="H15" s="46"/>
      <c r="I15" s="46"/>
    </row>
    <row r="16" spans="1:9" x14ac:dyDescent="0.25">
      <c r="A16" s="46"/>
      <c r="B16" s="46"/>
      <c r="C16" s="46"/>
      <c r="D16" s="46"/>
      <c r="E16" s="128"/>
      <c r="F16" s="46"/>
      <c r="G16" s="46"/>
      <c r="H16" s="46"/>
      <c r="I16" s="46"/>
    </row>
    <row r="17" spans="1:9" x14ac:dyDescent="0.25">
      <c r="A17" s="46"/>
      <c r="B17" s="46"/>
      <c r="C17" s="46"/>
      <c r="D17" s="46"/>
      <c r="E17" s="128"/>
      <c r="F17" s="46"/>
      <c r="G17" s="46"/>
      <c r="H17" s="46"/>
      <c r="I17" s="46"/>
    </row>
    <row r="18" spans="1:9" x14ac:dyDescent="0.25">
      <c r="A18" s="46"/>
      <c r="B18" s="46"/>
      <c r="C18" s="46"/>
      <c r="D18" s="46"/>
      <c r="E18" s="128"/>
      <c r="F18" s="46"/>
      <c r="G18" s="46"/>
      <c r="H18" s="46"/>
      <c r="I18" s="46"/>
    </row>
    <row r="19" spans="1:9" x14ac:dyDescent="0.25">
      <c r="A19" s="46"/>
      <c r="B19" s="46"/>
      <c r="C19" s="46"/>
      <c r="D19" s="46"/>
      <c r="E19" s="128"/>
      <c r="F19" s="46"/>
      <c r="G19" s="46"/>
      <c r="H19" s="46"/>
      <c r="I19" s="46"/>
    </row>
    <row r="20" spans="1:9" x14ac:dyDescent="0.25">
      <c r="A20" s="46"/>
      <c r="B20" s="46"/>
      <c r="C20" s="46"/>
      <c r="D20" s="46"/>
      <c r="E20" s="128"/>
      <c r="F20" s="46"/>
      <c r="G20" s="46"/>
      <c r="H20" s="46"/>
      <c r="I20" s="46"/>
    </row>
    <row r="21" spans="1:9" x14ac:dyDescent="0.25">
      <c r="A21" s="46"/>
      <c r="B21" s="46"/>
      <c r="C21" s="46"/>
      <c r="D21" s="46"/>
      <c r="E21" s="128"/>
      <c r="F21" s="46"/>
      <c r="G21" s="46"/>
      <c r="H21" s="46"/>
      <c r="I21" s="46"/>
    </row>
    <row r="22" spans="1:9" x14ac:dyDescent="0.25">
      <c r="A22" s="46"/>
      <c r="B22" s="46"/>
      <c r="C22" s="46"/>
      <c r="D22" s="46"/>
      <c r="E22" s="128"/>
      <c r="F22" s="46"/>
      <c r="G22" s="46"/>
      <c r="H22" s="46"/>
      <c r="I22" s="46"/>
    </row>
    <row r="23" spans="1:9" x14ac:dyDescent="0.25">
      <c r="A23" s="46"/>
      <c r="B23" s="46"/>
      <c r="C23" s="46"/>
      <c r="D23" s="46"/>
      <c r="E23" s="128"/>
      <c r="F23" s="46"/>
      <c r="G23" s="46"/>
      <c r="H23" s="46"/>
      <c r="I23" s="46"/>
    </row>
    <row r="24" spans="1:9" x14ac:dyDescent="0.25">
      <c r="A24" s="46"/>
      <c r="B24" s="46"/>
      <c r="C24" s="46"/>
      <c r="D24" s="46"/>
      <c r="E24" s="128"/>
      <c r="F24" s="46"/>
      <c r="G24" s="46"/>
      <c r="H24" s="46"/>
      <c r="I24" s="46"/>
    </row>
    <row r="25" spans="1:9" x14ac:dyDescent="0.25">
      <c r="A25" s="46"/>
      <c r="B25" s="46"/>
      <c r="C25" s="46"/>
      <c r="D25" s="46"/>
      <c r="E25" s="128"/>
      <c r="F25" s="46"/>
      <c r="G25" s="46"/>
      <c r="H25" s="46"/>
      <c r="I25" s="46"/>
    </row>
    <row r="26" spans="1:9" x14ac:dyDescent="0.25">
      <c r="A26" s="46"/>
      <c r="B26" s="46"/>
      <c r="C26" s="46"/>
      <c r="D26" s="46"/>
      <c r="E26" s="128"/>
      <c r="F26" s="46"/>
      <c r="G26" s="46"/>
      <c r="H26" s="46"/>
      <c r="I26" s="46"/>
    </row>
    <row r="27" spans="1:9" x14ac:dyDescent="0.25">
      <c r="A27" s="46"/>
      <c r="B27" s="46"/>
      <c r="C27" s="46"/>
      <c r="D27" s="46"/>
      <c r="E27" s="128"/>
      <c r="F27" s="46"/>
      <c r="G27" s="46"/>
      <c r="H27" s="46"/>
      <c r="I27" s="46"/>
    </row>
    <row r="28" spans="1:9" x14ac:dyDescent="0.25">
      <c r="A28" s="46"/>
      <c r="B28" s="46"/>
      <c r="C28" s="46"/>
      <c r="D28" s="46"/>
      <c r="E28" s="128"/>
      <c r="F28" s="46"/>
      <c r="G28" s="46"/>
      <c r="H28" s="46"/>
      <c r="I28" s="46"/>
    </row>
    <row r="29" spans="1:9" x14ac:dyDescent="0.25">
      <c r="A29" s="46"/>
      <c r="B29" s="46"/>
      <c r="C29" s="46"/>
      <c r="D29" s="46"/>
      <c r="E29" s="128"/>
      <c r="F29" s="46"/>
      <c r="G29" s="46"/>
      <c r="H29" s="46"/>
      <c r="I29" s="46"/>
    </row>
    <row r="30" spans="1:9" x14ac:dyDescent="0.25">
      <c r="A30" s="46"/>
      <c r="B30" s="46"/>
      <c r="C30" s="46"/>
      <c r="D30" s="46"/>
      <c r="E30" s="128"/>
      <c r="F30" s="46"/>
      <c r="G30" s="46"/>
      <c r="H30" s="46"/>
      <c r="I30" s="46"/>
    </row>
    <row r="31" spans="1:9" x14ac:dyDescent="0.25">
      <c r="A31" s="46"/>
      <c r="B31" s="46"/>
      <c r="C31" s="46"/>
      <c r="D31" s="46"/>
      <c r="E31" s="128"/>
      <c r="F31" s="46"/>
      <c r="G31" s="46"/>
      <c r="H31" s="46"/>
      <c r="I31" s="46"/>
    </row>
    <row r="32" spans="1:9" x14ac:dyDescent="0.25">
      <c r="A32" s="46"/>
      <c r="B32" s="46"/>
      <c r="C32" s="46"/>
      <c r="D32" s="46"/>
      <c r="E32" s="128"/>
      <c r="F32" s="46"/>
      <c r="G32" s="46"/>
      <c r="H32" s="46"/>
      <c r="I32" s="46"/>
    </row>
    <row r="33" spans="1:9" x14ac:dyDescent="0.25">
      <c r="A33" s="46"/>
      <c r="B33" s="46"/>
      <c r="C33" s="46"/>
      <c r="D33" s="46"/>
      <c r="E33" s="128"/>
      <c r="F33" s="46"/>
      <c r="G33" s="46"/>
      <c r="H33" s="46"/>
      <c r="I33" s="46"/>
    </row>
    <row r="34" spans="1:9" x14ac:dyDescent="0.25">
      <c r="A34" s="46"/>
      <c r="B34" s="46"/>
      <c r="C34" s="46"/>
      <c r="D34" s="46"/>
      <c r="E34" s="128"/>
      <c r="F34" s="46"/>
      <c r="G34" s="46"/>
      <c r="H34" s="46"/>
      <c r="I34" s="46"/>
    </row>
    <row r="35" spans="1:9" x14ac:dyDescent="0.25">
      <c r="A35" s="46"/>
      <c r="B35" s="46"/>
      <c r="C35" s="46"/>
      <c r="D35" s="46"/>
      <c r="E35" s="128"/>
      <c r="F35" s="46"/>
      <c r="G35" s="46"/>
      <c r="H35" s="46"/>
      <c r="I35" s="46"/>
    </row>
    <row r="36" spans="1:9" x14ac:dyDescent="0.25">
      <c r="A36" s="46"/>
      <c r="B36" s="46"/>
      <c r="C36" s="46"/>
      <c r="D36" s="46"/>
      <c r="E36" s="128"/>
      <c r="F36" s="46"/>
      <c r="G36" s="46"/>
      <c r="H36" s="46"/>
      <c r="I36" s="46"/>
    </row>
    <row r="37" spans="1:9" x14ac:dyDescent="0.25">
      <c r="A37" s="46"/>
      <c r="B37" s="46"/>
      <c r="C37" s="46"/>
      <c r="D37" s="46"/>
      <c r="E37" s="128"/>
      <c r="F37" s="46"/>
      <c r="G37" s="46"/>
      <c r="H37" s="46"/>
      <c r="I37" s="46"/>
    </row>
    <row r="38" spans="1:9" x14ac:dyDescent="0.25">
      <c r="A38" s="46"/>
      <c r="B38" s="46"/>
      <c r="C38" s="46"/>
      <c r="D38" s="46"/>
      <c r="E38" s="128"/>
      <c r="F38" s="46"/>
      <c r="G38" s="46"/>
      <c r="H38" s="46"/>
      <c r="I38" s="46"/>
    </row>
    <row r="39" spans="1:9" x14ac:dyDescent="0.25">
      <c r="A39" s="46"/>
      <c r="B39" s="46"/>
      <c r="C39" s="46"/>
      <c r="D39" s="46"/>
      <c r="E39" s="128"/>
      <c r="F39" s="46"/>
      <c r="G39" s="46"/>
      <c r="H39" s="46"/>
      <c r="I39" s="46"/>
    </row>
    <row r="40" spans="1:9" x14ac:dyDescent="0.25">
      <c r="A40" s="46"/>
      <c r="B40" s="46"/>
      <c r="C40" s="46"/>
      <c r="D40" s="46"/>
      <c r="E40" s="128"/>
      <c r="F40" s="46"/>
      <c r="G40" s="46"/>
      <c r="H40" s="46"/>
      <c r="I40" s="46"/>
    </row>
    <row r="41" spans="1:9" x14ac:dyDescent="0.25">
      <c r="A41" s="46"/>
      <c r="B41" s="46"/>
      <c r="C41" s="46"/>
      <c r="D41" s="46"/>
      <c r="E41" s="128"/>
      <c r="F41" s="46"/>
      <c r="G41" s="46"/>
      <c r="H41" s="46"/>
      <c r="I41" s="46"/>
    </row>
    <row r="42" spans="1:9" x14ac:dyDescent="0.25">
      <c r="A42" s="46"/>
      <c r="B42" s="46"/>
      <c r="C42" s="46"/>
      <c r="D42" s="46"/>
      <c r="E42" s="128"/>
      <c r="F42" s="46"/>
      <c r="G42" s="46"/>
      <c r="H42" s="46"/>
      <c r="I42" s="46"/>
    </row>
    <row r="43" spans="1:9" x14ac:dyDescent="0.25">
      <c r="A43" s="46"/>
      <c r="B43" s="46"/>
      <c r="C43" s="46"/>
      <c r="D43" s="46"/>
      <c r="E43" s="128"/>
      <c r="F43" s="46"/>
      <c r="G43" s="46"/>
      <c r="H43" s="46"/>
      <c r="I43" s="46"/>
    </row>
  </sheetData>
  <mergeCells count="5">
    <mergeCell ref="A1:B1"/>
    <mergeCell ref="B7:D7"/>
    <mergeCell ref="B8:D8"/>
    <mergeCell ref="B9:D9"/>
    <mergeCell ref="B10:D10"/>
  </mergeCells>
  <dataValidations count="8"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C13" xr:uid="{00000000-0002-0000-0800-000000000000}"/>
    <dataValidation allowBlank="1" showInputMessage="1" showErrorMessage="1" promptTitle="Original data" prompt="Enter the name of the file containing the original spectral data." sqref="B13" xr:uid="{00000000-0002-0000-0800-000001000000}"/>
    <dataValidation allowBlank="1" showInputMessage="1" showErrorMessage="1" promptTitle="Sensor ID" prompt="Enter the serial number of the ASD sensor that was used." sqref="A13" xr:uid="{00000000-0002-0000-0800-000002000000}"/>
    <dataValidation allowBlank="1" showInputMessage="1" showErrorMessage="1" promptTitle="Surface" prompt="Any relevant comments about the surface conditions or changes to the surface." sqref="I13" xr:uid="{00000000-0002-0000-0800-000003000000}"/>
    <dataValidation allowBlank="1" showInputMessage="1" showErrorMessage="1" promptTitle="Precipitation" prompt="If there was precipitation, describe it here." sqref="H13" xr:uid="{00000000-0002-0000-0800-000004000000}"/>
    <dataValidation allowBlank="1" showInputMessage="1" showErrorMessage="1" promptTitle="Light comments" prompt="Describe the light conditions--direct sun, sun visible through clouds, sun not visible through clouds, sun behind mountain, etc." sqref="G13" xr:uid="{00000000-0002-0000-0800-000005000000}"/>
    <dataValidation allowBlank="1" showInputMessage="1" showErrorMessage="1" promptTitle="Cloud conditions" prompt="Describe the cloud cover--fraction, type, thick/thin, etc." sqref="F13" xr:uid="{00000000-0002-0000-0800-000006000000}"/>
    <dataValidation allowBlank="1" showInputMessage="1" showErrorMessage="1" promptTitle="Time" prompt="Enter the time when the weather observation was made." sqref="E13" xr:uid="{00000000-0002-0000-0800-000007000000}"/>
  </dataValidations>
  <pageMargins left="0.7" right="0.7" top="0.75" bottom="0.75" header="0.3" footer="0.3"/>
  <pageSetup paperSize="9" scale="81" fitToHeight="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N45"/>
  <sheetViews>
    <sheetView zoomScale="80" zoomScaleNormal="80" workbookViewId="0">
      <selection activeCell="H26" sqref="H26"/>
    </sheetView>
  </sheetViews>
  <sheetFormatPr defaultColWidth="9.140625" defaultRowHeight="15" x14ac:dyDescent="0.25"/>
  <cols>
    <col min="1" max="1" width="20.85546875" style="53" customWidth="1"/>
    <col min="2" max="13" width="15.85546875" style="53" customWidth="1"/>
    <col min="14" max="14" width="31.42578125" style="53" customWidth="1"/>
    <col min="15" max="17" width="15.85546875" style="53" customWidth="1"/>
    <col min="18" max="18" width="9.85546875" style="53" customWidth="1"/>
    <col min="19" max="16384" width="9.140625" style="53"/>
  </cols>
  <sheetData>
    <row r="1" spans="1:14" ht="32.25" thickBot="1" x14ac:dyDescent="0.55000000000000004">
      <c r="A1" s="185" t="s">
        <v>75</v>
      </c>
      <c r="B1" s="185"/>
      <c r="C1" s="185"/>
      <c r="D1" s="125"/>
    </row>
    <row r="2" spans="1:14" x14ac:dyDescent="0.25">
      <c r="A2" s="37" t="s">
        <v>17</v>
      </c>
      <c r="B2" s="248" t="str">
        <f>CONCATENATE(ExpID,"-",StnNum,"-",StnDay)</f>
        <v>KF_April2021-1-1</v>
      </c>
      <c r="C2" s="248"/>
      <c r="D2" s="78"/>
    </row>
    <row r="3" spans="1:14" x14ac:dyDescent="0.25">
      <c r="A3" s="38" t="s">
        <v>169</v>
      </c>
      <c r="B3" s="249"/>
      <c r="C3" s="249"/>
      <c r="D3" s="82"/>
    </row>
    <row r="4" spans="1:14" x14ac:dyDescent="0.25">
      <c r="A4" s="38" t="s">
        <v>4</v>
      </c>
      <c r="B4" s="202">
        <f>ObsDate</f>
        <v>44307</v>
      </c>
      <c r="C4" s="202"/>
      <c r="D4" s="82"/>
    </row>
    <row r="5" spans="1:14" x14ac:dyDescent="0.25">
      <c r="A5" s="39" t="s">
        <v>110</v>
      </c>
      <c r="B5" s="250"/>
      <c r="C5" s="250"/>
      <c r="D5" s="82"/>
    </row>
    <row r="6" spans="1:14" x14ac:dyDescent="0.25">
      <c r="A6" s="39" t="s">
        <v>137</v>
      </c>
      <c r="B6" s="251"/>
      <c r="C6" s="251"/>
      <c r="D6" s="82"/>
      <c r="E6" s="79"/>
      <c r="F6" s="79"/>
      <c r="G6" s="81"/>
      <c r="H6" s="80"/>
    </row>
    <row r="7" spans="1:14" ht="30" customHeight="1" thickBot="1" x14ac:dyDescent="0.3">
      <c r="A7" s="40" t="s">
        <v>16</v>
      </c>
      <c r="B7" s="245"/>
      <c r="C7" s="246"/>
      <c r="D7" s="247"/>
    </row>
    <row r="9" spans="1:14" ht="15.75" thickBot="1" x14ac:dyDescent="0.3"/>
    <row r="10" spans="1:14" s="84" customFormat="1" ht="27" thickBot="1" x14ac:dyDescent="0.3">
      <c r="A10" s="30" t="s">
        <v>111</v>
      </c>
      <c r="B10" s="31" t="s">
        <v>119</v>
      </c>
      <c r="C10" s="31" t="s">
        <v>120</v>
      </c>
      <c r="D10" s="31" t="s">
        <v>112</v>
      </c>
      <c r="E10" s="31" t="s">
        <v>123</v>
      </c>
      <c r="F10" s="31" t="s">
        <v>113</v>
      </c>
      <c r="G10" s="31" t="s">
        <v>114</v>
      </c>
      <c r="H10" s="31" t="s">
        <v>115</v>
      </c>
      <c r="I10" s="31" t="s">
        <v>116</v>
      </c>
      <c r="J10" s="31" t="s">
        <v>117</v>
      </c>
      <c r="K10" s="31" t="s">
        <v>121</v>
      </c>
      <c r="L10" s="31" t="s">
        <v>118</v>
      </c>
      <c r="M10" s="31" t="s">
        <v>122</v>
      </c>
      <c r="N10" s="149" t="s">
        <v>14</v>
      </c>
    </row>
    <row r="11" spans="1:14" x14ac:dyDescent="0.25">
      <c r="A11" s="146"/>
      <c r="B11" s="129"/>
      <c r="C11" s="129"/>
      <c r="D11" s="129"/>
      <c r="E11" s="129"/>
      <c r="F11" s="147"/>
      <c r="G11" s="148"/>
      <c r="H11" s="148"/>
      <c r="I11" s="148"/>
      <c r="J11" s="129" t="s">
        <v>153</v>
      </c>
      <c r="K11" s="129" t="s">
        <v>153</v>
      </c>
      <c r="L11" s="129" t="s">
        <v>153</v>
      </c>
      <c r="M11" s="129" t="s">
        <v>153</v>
      </c>
      <c r="N11" s="129"/>
    </row>
    <row r="12" spans="1:14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4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</row>
    <row r="14" spans="1:14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</row>
    <row r="15" spans="1:14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6" spans="1:14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spans="1:14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14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</row>
    <row r="21" spans="1:14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</row>
    <row r="22" spans="1:14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</row>
    <row r="24" spans="1:14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</row>
    <row r="25" spans="1:14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  <row r="28" spans="1:14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spans="1:14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spans="1:14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spans="1:14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spans="1:14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1:14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4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1:14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spans="1:14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spans="1:14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</row>
    <row r="38" spans="1:14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spans="1:14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spans="1:14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</row>
    <row r="41" spans="1:14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</row>
    <row r="42" spans="1:14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</row>
    <row r="43" spans="1:14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</row>
    <row r="44" spans="1:14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spans="1:14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58" fitToHeight="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H7"/>
  <sheetViews>
    <sheetView zoomScale="80" zoomScaleNormal="80" workbookViewId="0">
      <selection activeCell="B7" sqref="B7:D7"/>
    </sheetView>
  </sheetViews>
  <sheetFormatPr defaultColWidth="9.140625" defaultRowHeight="15" x14ac:dyDescent="0.25"/>
  <cols>
    <col min="1" max="1" width="21.85546875" style="53" customWidth="1"/>
    <col min="2" max="4" width="15.85546875" style="53" customWidth="1"/>
    <col min="5" max="16384" width="9.140625" style="53"/>
  </cols>
  <sheetData>
    <row r="1" spans="1:8" ht="32.25" thickBot="1" x14ac:dyDescent="0.55000000000000004">
      <c r="A1" s="185" t="s">
        <v>76</v>
      </c>
      <c r="B1" s="185"/>
      <c r="C1" s="185"/>
      <c r="D1" s="125"/>
    </row>
    <row r="2" spans="1:8" x14ac:dyDescent="0.25">
      <c r="A2" s="37" t="s">
        <v>17</v>
      </c>
      <c r="B2" s="248" t="str">
        <f>CONCATENATE(ExpID,"-",StnNum,"-",StnDay)</f>
        <v>KF_April2021-1-1</v>
      </c>
      <c r="C2" s="248"/>
      <c r="D2" s="78"/>
    </row>
    <row r="3" spans="1:8" x14ac:dyDescent="0.25">
      <c r="A3" s="38" t="s">
        <v>169</v>
      </c>
      <c r="B3" s="249"/>
      <c r="C3" s="249"/>
      <c r="D3" s="82"/>
    </row>
    <row r="4" spans="1:8" x14ac:dyDescent="0.25">
      <c r="A4" s="38" t="s">
        <v>4</v>
      </c>
      <c r="B4" s="202">
        <f>ObsDate</f>
        <v>44307</v>
      </c>
      <c r="C4" s="202"/>
      <c r="D4" s="82"/>
    </row>
    <row r="5" spans="1:8" x14ac:dyDescent="0.25">
      <c r="A5" s="39" t="s">
        <v>110</v>
      </c>
      <c r="B5" s="250"/>
      <c r="C5" s="250"/>
      <c r="D5" s="82"/>
    </row>
    <row r="6" spans="1:8" x14ac:dyDescent="0.25">
      <c r="A6" s="39" t="s">
        <v>137</v>
      </c>
      <c r="B6" s="251"/>
      <c r="C6" s="251"/>
      <c r="D6" s="82"/>
      <c r="E6" s="79"/>
      <c r="F6" s="79"/>
      <c r="G6" s="81"/>
      <c r="H6" s="80"/>
    </row>
    <row r="7" spans="1:8" ht="30" customHeight="1" thickBot="1" x14ac:dyDescent="0.3">
      <c r="A7" s="40" t="s">
        <v>16</v>
      </c>
      <c r="B7" s="242" t="s">
        <v>241</v>
      </c>
      <c r="C7" s="243"/>
      <c r="D7" s="244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opLeftCell="B1" zoomScale="80" zoomScaleNormal="80" workbookViewId="0">
      <selection activeCell="H7" sqref="H7"/>
    </sheetView>
  </sheetViews>
  <sheetFormatPr defaultColWidth="9.140625" defaultRowHeight="15" x14ac:dyDescent="0.25"/>
  <cols>
    <col min="1" max="1" width="21.85546875" style="53" customWidth="1"/>
    <col min="2" max="3" width="15.85546875" style="53" customWidth="1"/>
    <col min="4" max="5" width="18.85546875" style="53" customWidth="1"/>
    <col min="6" max="6" width="19.42578125" style="53" bestFit="1" customWidth="1"/>
    <col min="7" max="7" width="19.85546875" style="53" bestFit="1" customWidth="1"/>
    <col min="8" max="8" width="19.42578125" style="53" bestFit="1" customWidth="1"/>
    <col min="9" max="9" width="36.85546875" style="140" customWidth="1"/>
    <col min="10" max="16384" width="9.140625" style="53"/>
  </cols>
  <sheetData>
    <row r="1" spans="1:9" ht="34.5" thickBot="1" x14ac:dyDescent="0.55000000000000004">
      <c r="A1" s="225" t="s">
        <v>136</v>
      </c>
      <c r="B1" s="225"/>
      <c r="C1" s="225"/>
      <c r="D1" s="125"/>
    </row>
    <row r="2" spans="1:9" x14ac:dyDescent="0.25">
      <c r="A2" s="37" t="s">
        <v>17</v>
      </c>
      <c r="B2" s="248" t="str">
        <f>CONCATENATE(ExpID,"-",StnNum,"-",StnDay)</f>
        <v>KF_April2021-1-1</v>
      </c>
      <c r="C2" s="248"/>
      <c r="D2" s="78"/>
    </row>
    <row r="3" spans="1:9" x14ac:dyDescent="0.25">
      <c r="A3" s="38" t="s">
        <v>169</v>
      </c>
      <c r="B3" s="249"/>
      <c r="C3" s="249"/>
      <c r="D3" s="82"/>
    </row>
    <row r="4" spans="1:9" x14ac:dyDescent="0.25">
      <c r="A4" s="38" t="s">
        <v>4</v>
      </c>
      <c r="B4" s="202">
        <f>ObsDate</f>
        <v>44307</v>
      </c>
      <c r="C4" s="202"/>
      <c r="D4" s="82"/>
    </row>
    <row r="5" spans="1:9" x14ac:dyDescent="0.25">
      <c r="A5" s="39" t="s">
        <v>110</v>
      </c>
      <c r="B5" s="250"/>
      <c r="C5" s="250"/>
      <c r="D5" s="82"/>
    </row>
    <row r="6" spans="1:9" x14ac:dyDescent="0.25">
      <c r="A6" s="39" t="s">
        <v>137</v>
      </c>
      <c r="B6" s="252" t="s">
        <v>227</v>
      </c>
      <c r="C6" s="253"/>
      <c r="D6" s="82"/>
      <c r="E6" s="79"/>
      <c r="F6" s="79"/>
      <c r="G6" s="81"/>
      <c r="H6" s="80"/>
    </row>
    <row r="7" spans="1:9" ht="30" customHeight="1" thickBot="1" x14ac:dyDescent="0.3">
      <c r="A7" s="40" t="s">
        <v>16</v>
      </c>
      <c r="B7" s="242" t="s">
        <v>240</v>
      </c>
      <c r="C7" s="243"/>
      <c r="D7" s="244"/>
      <c r="F7" s="53" t="s">
        <v>283</v>
      </c>
      <c r="G7" s="53">
        <v>-19.5</v>
      </c>
      <c r="I7" s="53"/>
    </row>
    <row r="8" spans="1:9" x14ac:dyDescent="0.25">
      <c r="F8" s="53" t="s">
        <v>284</v>
      </c>
      <c r="G8" s="53">
        <v>0.83199999999999996</v>
      </c>
      <c r="I8" s="53"/>
    </row>
    <row r="9" spans="1:9" ht="15.75" thickBot="1" x14ac:dyDescent="0.3">
      <c r="A9" s="55" t="s">
        <v>125</v>
      </c>
    </row>
    <row r="10" spans="1:9" x14ac:dyDescent="0.25">
      <c r="A10" s="150" t="s">
        <v>187</v>
      </c>
      <c r="B10" s="151">
        <v>7</v>
      </c>
      <c r="F10" s="157" t="s">
        <v>134</v>
      </c>
      <c r="G10" s="158" t="s">
        <v>185</v>
      </c>
      <c r="H10" s="158" t="s">
        <v>186</v>
      </c>
      <c r="I10" s="159" t="s">
        <v>14</v>
      </c>
    </row>
    <row r="11" spans="1:9" x14ac:dyDescent="0.25">
      <c r="A11" s="152" t="s">
        <v>175</v>
      </c>
      <c r="B11" s="153">
        <v>48</v>
      </c>
      <c r="F11" s="160">
        <v>1</v>
      </c>
      <c r="G11" s="143"/>
      <c r="H11" s="47">
        <v>47</v>
      </c>
      <c r="I11" s="161"/>
    </row>
    <row r="12" spans="1:9" x14ac:dyDescent="0.25">
      <c r="A12" s="152" t="s">
        <v>188</v>
      </c>
      <c r="B12" s="153">
        <v>47</v>
      </c>
      <c r="F12" s="160"/>
      <c r="G12" s="47"/>
      <c r="H12" s="144"/>
      <c r="I12" s="162"/>
    </row>
    <row r="13" spans="1:9" x14ac:dyDescent="0.25">
      <c r="A13" s="152" t="s">
        <v>173</v>
      </c>
      <c r="B13" s="153"/>
      <c r="F13" s="160"/>
      <c r="G13" s="47"/>
      <c r="H13" s="47"/>
      <c r="I13" s="162"/>
    </row>
    <row r="14" spans="1:9" ht="15.75" thickBot="1" x14ac:dyDescent="0.3">
      <c r="A14" s="154" t="s">
        <v>189</v>
      </c>
      <c r="B14" s="155"/>
      <c r="F14" s="160"/>
      <c r="G14" s="47"/>
      <c r="H14" s="47"/>
      <c r="I14" s="162"/>
    </row>
    <row r="15" spans="1:9" x14ac:dyDescent="0.25">
      <c r="F15" s="160"/>
      <c r="G15" s="47"/>
      <c r="H15" s="47"/>
      <c r="I15" s="162"/>
    </row>
    <row r="16" spans="1:9" ht="15.75" thickBot="1" x14ac:dyDescent="0.3">
      <c r="A16" s="55" t="s">
        <v>128</v>
      </c>
      <c r="F16" s="160"/>
      <c r="G16" s="47"/>
      <c r="H16" s="47"/>
      <c r="I16" s="162"/>
    </row>
    <row r="17" spans="1:12" x14ac:dyDescent="0.25">
      <c r="A17" s="150" t="s">
        <v>190</v>
      </c>
      <c r="B17" s="151"/>
      <c r="F17" s="160"/>
      <c r="G17" s="47"/>
      <c r="H17" s="47"/>
      <c r="I17" s="162"/>
    </row>
    <row r="18" spans="1:12" ht="15.75" thickBot="1" x14ac:dyDescent="0.3">
      <c r="A18" s="20" t="s">
        <v>191</v>
      </c>
      <c r="B18" s="156"/>
      <c r="F18" s="160"/>
      <c r="G18" s="47"/>
      <c r="H18" s="47"/>
      <c r="I18" s="162"/>
    </row>
    <row r="19" spans="1:12" ht="15.75" thickBot="1" x14ac:dyDescent="0.3">
      <c r="B19" s="141"/>
      <c r="F19" s="163"/>
      <c r="G19" s="164"/>
      <c r="H19" s="164"/>
      <c r="I19" s="165"/>
    </row>
    <row r="21" spans="1:12" ht="15.75" thickBot="1" x14ac:dyDescent="0.3"/>
    <row r="22" spans="1:12" s="142" customFormat="1" ht="45.75" thickBot="1" x14ac:dyDescent="0.3">
      <c r="A22" s="173" t="s">
        <v>182</v>
      </c>
      <c r="B22" s="174" t="s">
        <v>183</v>
      </c>
      <c r="C22" s="174" t="s">
        <v>135</v>
      </c>
      <c r="D22" s="174" t="s">
        <v>265</v>
      </c>
      <c r="E22" s="174" t="s">
        <v>266</v>
      </c>
      <c r="F22" s="174" t="s">
        <v>267</v>
      </c>
      <c r="G22" s="174" t="s">
        <v>268</v>
      </c>
      <c r="H22" s="174" t="s">
        <v>269</v>
      </c>
      <c r="I22" s="175" t="s">
        <v>14</v>
      </c>
      <c r="J22" s="12" t="s">
        <v>130</v>
      </c>
      <c r="K22" s="12" t="s">
        <v>131</v>
      </c>
      <c r="L22" s="12" t="s">
        <v>132</v>
      </c>
    </row>
    <row r="23" spans="1:12" x14ac:dyDescent="0.25">
      <c r="A23" s="147">
        <v>0</v>
      </c>
      <c r="B23" s="147">
        <v>5</v>
      </c>
      <c r="C23" s="129"/>
      <c r="D23" s="129">
        <v>315.01</v>
      </c>
      <c r="E23" s="176">
        <v>13.86</v>
      </c>
      <c r="F23" s="147" t="s">
        <v>270</v>
      </c>
      <c r="G23" s="147">
        <f>AVERAGE(A23:B23)</f>
        <v>2.5</v>
      </c>
      <c r="H23" s="129">
        <f>0.832*D23/(D23-E23)</f>
        <v>0.87029161547401623</v>
      </c>
      <c r="I23" s="172" t="s">
        <v>281</v>
      </c>
      <c r="J23" s="53">
        <v>5.0999999999999996</v>
      </c>
      <c r="K23" s="53">
        <v>9.11</v>
      </c>
      <c r="L23" s="53">
        <v>19</v>
      </c>
    </row>
    <row r="24" spans="1:12" x14ac:dyDescent="0.25">
      <c r="A24" s="46">
        <v>5</v>
      </c>
      <c r="B24" s="46">
        <v>10</v>
      </c>
      <c r="C24" s="46"/>
      <c r="D24" s="46">
        <v>295.35000000000002</v>
      </c>
      <c r="E24" s="46">
        <v>16.32</v>
      </c>
      <c r="F24" s="46" t="s">
        <v>271</v>
      </c>
      <c r="G24" s="147">
        <f t="shared" ref="G24:G32" si="0">AVERAGE(A24:B24)</f>
        <v>7.5</v>
      </c>
      <c r="H24" s="129">
        <f t="shared" ref="H24:H32" si="1">0.832*D24/(D24-E24)</f>
        <v>0.88066229437694865</v>
      </c>
      <c r="I24" s="145" t="s">
        <v>282</v>
      </c>
      <c r="J24" s="53">
        <v>7.5</v>
      </c>
      <c r="K24" s="53">
        <v>13.07</v>
      </c>
      <c r="L24" s="53">
        <v>19.399999999999999</v>
      </c>
    </row>
    <row r="25" spans="1:12" x14ac:dyDescent="0.25">
      <c r="A25" s="46">
        <v>10</v>
      </c>
      <c r="B25" s="46">
        <v>15</v>
      </c>
      <c r="C25" s="46"/>
      <c r="D25" s="46">
        <v>270.07</v>
      </c>
      <c r="E25" s="46">
        <v>18.16</v>
      </c>
      <c r="F25" s="147" t="s">
        <v>272</v>
      </c>
      <c r="G25" s="147">
        <f t="shared" si="0"/>
        <v>12.5</v>
      </c>
      <c r="H25" s="129">
        <f t="shared" si="1"/>
        <v>0.8919782461990392</v>
      </c>
      <c r="I25" s="145"/>
      <c r="J25" s="53">
        <v>5.5</v>
      </c>
      <c r="K25" s="53">
        <v>9.77</v>
      </c>
      <c r="L25" s="53">
        <v>20.100000000000001</v>
      </c>
    </row>
    <row r="26" spans="1:12" x14ac:dyDescent="0.25">
      <c r="A26" s="46">
        <v>15</v>
      </c>
      <c r="B26" s="46">
        <v>20</v>
      </c>
      <c r="C26" s="46"/>
      <c r="D26" s="46">
        <v>270.5</v>
      </c>
      <c r="E26" s="46">
        <v>19.12</v>
      </c>
      <c r="F26" s="46" t="s">
        <v>273</v>
      </c>
      <c r="G26" s="147">
        <f t="shared" si="0"/>
        <v>17.5</v>
      </c>
      <c r="H26" s="129">
        <f t="shared" si="1"/>
        <v>0.89528204312196669</v>
      </c>
      <c r="I26" s="145"/>
      <c r="J26" s="53">
        <v>4.2</v>
      </c>
      <c r="K26" s="53">
        <v>7.7</v>
      </c>
      <c r="L26" s="53">
        <v>20.3</v>
      </c>
    </row>
    <row r="27" spans="1:12" x14ac:dyDescent="0.25">
      <c r="A27" s="46">
        <v>20</v>
      </c>
      <c r="B27" s="46">
        <v>25</v>
      </c>
      <c r="C27" s="46"/>
      <c r="D27" s="46">
        <v>263.55</v>
      </c>
      <c r="E27" s="46">
        <v>21.72</v>
      </c>
      <c r="F27" s="147" t="s">
        <v>274</v>
      </c>
      <c r="G27" s="147">
        <f t="shared" si="0"/>
        <v>22.5</v>
      </c>
      <c r="H27" s="129">
        <f t="shared" si="1"/>
        <v>0.90672621262870601</v>
      </c>
      <c r="I27" s="145"/>
      <c r="J27" s="53">
        <v>3.2</v>
      </c>
      <c r="K27" s="53">
        <v>5.89</v>
      </c>
      <c r="L27" s="53">
        <v>18.399999999999999</v>
      </c>
    </row>
    <row r="28" spans="1:12" x14ac:dyDescent="0.25">
      <c r="A28" s="46">
        <v>25</v>
      </c>
      <c r="B28" s="46">
        <v>30</v>
      </c>
      <c r="C28" s="46"/>
      <c r="D28" s="46">
        <v>289.17</v>
      </c>
      <c r="E28" s="46">
        <v>24.51</v>
      </c>
      <c r="F28" s="46" t="s">
        <v>275</v>
      </c>
      <c r="G28" s="147">
        <f t="shared" si="0"/>
        <v>27.5</v>
      </c>
      <c r="H28" s="129">
        <f t="shared" si="1"/>
        <v>0.90905100884153245</v>
      </c>
      <c r="I28" s="145"/>
      <c r="J28" s="53">
        <v>3</v>
      </c>
      <c r="K28" s="53">
        <v>5.49</v>
      </c>
      <c r="L28" s="53">
        <v>17.8</v>
      </c>
    </row>
    <row r="29" spans="1:12" x14ac:dyDescent="0.25">
      <c r="A29" s="46">
        <v>30</v>
      </c>
      <c r="B29" s="46">
        <v>35</v>
      </c>
      <c r="C29" s="46"/>
      <c r="D29" s="46">
        <v>295.69</v>
      </c>
      <c r="E29" s="46">
        <v>24.27</v>
      </c>
      <c r="F29" s="147" t="s">
        <v>276</v>
      </c>
      <c r="G29" s="147">
        <f t="shared" si="0"/>
        <v>32.5</v>
      </c>
      <c r="H29" s="129">
        <f t="shared" si="1"/>
        <v>0.90639628619851142</v>
      </c>
      <c r="I29" s="145" t="s">
        <v>282</v>
      </c>
      <c r="J29" s="53">
        <v>3.1</v>
      </c>
      <c r="K29" s="53">
        <v>5.8</v>
      </c>
      <c r="L29" s="53">
        <v>19.399999999999999</v>
      </c>
    </row>
    <row r="30" spans="1:12" x14ac:dyDescent="0.25">
      <c r="A30" s="46">
        <v>35</v>
      </c>
      <c r="B30" s="46">
        <v>40</v>
      </c>
      <c r="C30" s="46"/>
      <c r="D30" s="46">
        <v>297.93</v>
      </c>
      <c r="E30" s="46">
        <v>26.95</v>
      </c>
      <c r="F30" s="46" t="s">
        <v>277</v>
      </c>
      <c r="G30" s="147">
        <f t="shared" si="0"/>
        <v>37.5</v>
      </c>
      <c r="H30" s="129">
        <f>0.832*D30/(D30-E30)</f>
        <v>0.91474559008044865</v>
      </c>
      <c r="I30" s="145"/>
      <c r="J30" s="53">
        <v>3.9</v>
      </c>
      <c r="K30" s="53">
        <v>7.09</v>
      </c>
      <c r="L30" s="53">
        <v>19.600000000000001</v>
      </c>
    </row>
    <row r="31" spans="1:12" x14ac:dyDescent="0.25">
      <c r="A31" s="46">
        <v>40</v>
      </c>
      <c r="B31" s="46">
        <v>44</v>
      </c>
      <c r="C31" s="46"/>
      <c r="D31" s="46">
        <v>208.79</v>
      </c>
      <c r="E31" s="46">
        <v>18.78</v>
      </c>
      <c r="F31" s="147" t="s">
        <v>278</v>
      </c>
      <c r="G31" s="147">
        <f t="shared" si="0"/>
        <v>42</v>
      </c>
      <c r="H31" s="129">
        <f>0.832*D31/(D31-E31)</f>
        <v>0.91423230356297036</v>
      </c>
      <c r="I31" s="145" t="s">
        <v>280</v>
      </c>
      <c r="J31" s="53">
        <v>3.3</v>
      </c>
      <c r="K31" s="53">
        <v>6.02</v>
      </c>
      <c r="L31" s="53">
        <v>18.600000000000001</v>
      </c>
    </row>
    <row r="32" spans="1:12" x14ac:dyDescent="0.25">
      <c r="A32" s="46">
        <v>44</v>
      </c>
      <c r="B32" s="46">
        <v>47</v>
      </c>
      <c r="C32" s="46"/>
      <c r="D32" s="46">
        <v>166.61</v>
      </c>
      <c r="E32" s="46">
        <v>14.72</v>
      </c>
      <c r="F32" s="46" t="s">
        <v>279</v>
      </c>
      <c r="G32" s="147">
        <f t="shared" si="0"/>
        <v>45.5</v>
      </c>
      <c r="H32" s="129">
        <f t="shared" si="1"/>
        <v>0.91263098294818601</v>
      </c>
      <c r="I32" s="145"/>
      <c r="J32" s="53">
        <v>7.3</v>
      </c>
      <c r="K32" s="53">
        <v>12.8</v>
      </c>
      <c r="L32" s="53">
        <v>19.399999999999999</v>
      </c>
    </row>
    <row r="33" spans="1:9" x14ac:dyDescent="0.25">
      <c r="A33" s="46"/>
      <c r="B33" s="46"/>
      <c r="C33" s="46"/>
      <c r="D33" s="46"/>
      <c r="E33" s="46"/>
      <c r="F33" s="46"/>
      <c r="G33" s="46"/>
      <c r="H33" s="46"/>
      <c r="I33" s="145"/>
    </row>
    <row r="34" spans="1:9" x14ac:dyDescent="0.25">
      <c r="A34" s="46"/>
      <c r="B34" s="46"/>
      <c r="C34" s="46"/>
      <c r="D34" s="46"/>
      <c r="E34" s="46"/>
      <c r="F34" s="46"/>
      <c r="G34" s="46"/>
      <c r="H34" s="46"/>
      <c r="I34" s="145"/>
    </row>
    <row r="35" spans="1:9" x14ac:dyDescent="0.25">
      <c r="A35" s="46"/>
      <c r="B35" s="46"/>
      <c r="C35" s="46"/>
      <c r="D35" s="46"/>
      <c r="E35" s="46"/>
      <c r="F35" s="46"/>
      <c r="G35" s="46"/>
      <c r="H35" s="46"/>
      <c r="I35" s="145"/>
    </row>
    <row r="36" spans="1:9" x14ac:dyDescent="0.25">
      <c r="A36" s="46"/>
      <c r="B36" s="46"/>
      <c r="C36" s="46"/>
      <c r="D36" s="46"/>
      <c r="E36" s="46"/>
      <c r="F36" s="46"/>
      <c r="G36" s="46"/>
      <c r="H36" s="46"/>
      <c r="I36" s="145"/>
    </row>
    <row r="37" spans="1:9" x14ac:dyDescent="0.25">
      <c r="A37" s="46"/>
      <c r="B37" s="46"/>
      <c r="C37" s="46"/>
      <c r="D37" s="46"/>
      <c r="E37" s="46"/>
      <c r="F37" s="46"/>
      <c r="G37" s="46"/>
      <c r="H37" s="46"/>
      <c r="I37" s="145"/>
    </row>
    <row r="38" spans="1:9" x14ac:dyDescent="0.25">
      <c r="A38" s="46"/>
      <c r="B38" s="46"/>
      <c r="C38" s="46"/>
      <c r="D38" s="46"/>
      <c r="E38" s="46"/>
      <c r="F38" s="46"/>
      <c r="G38" s="46"/>
      <c r="H38" s="46"/>
      <c r="I38" s="145"/>
    </row>
    <row r="39" spans="1:9" x14ac:dyDescent="0.25">
      <c r="A39" s="46"/>
      <c r="B39" s="46"/>
      <c r="C39" s="46"/>
      <c r="D39" s="46"/>
      <c r="E39" s="46"/>
      <c r="F39" s="46"/>
      <c r="G39" s="46"/>
      <c r="H39" s="46"/>
      <c r="I39" s="145"/>
    </row>
    <row r="40" spans="1:9" x14ac:dyDescent="0.25">
      <c r="A40" s="46"/>
      <c r="B40" s="46"/>
      <c r="C40" s="46"/>
      <c r="D40" s="46"/>
      <c r="E40" s="46"/>
      <c r="F40" s="46"/>
      <c r="G40" s="46"/>
      <c r="H40" s="46"/>
      <c r="I40" s="145"/>
    </row>
    <row r="41" spans="1:9" x14ac:dyDescent="0.25">
      <c r="A41" s="46"/>
      <c r="B41" s="46"/>
      <c r="C41" s="46"/>
      <c r="D41" s="46"/>
      <c r="E41" s="46"/>
      <c r="F41" s="46"/>
      <c r="G41" s="46"/>
      <c r="H41" s="46"/>
      <c r="I41" s="145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66" fitToHeight="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5546875" defaultRowHeight="15" x14ac:dyDescent="0.25"/>
  <cols>
    <col min="1" max="1" width="22.85546875" bestFit="1" customWidth="1"/>
    <col min="2" max="2" width="24.85546875" bestFit="1" customWidth="1"/>
    <col min="3" max="3" width="62.140625" bestFit="1" customWidth="1"/>
    <col min="4" max="4" width="14.42578125" bestFit="1" customWidth="1"/>
    <col min="5" max="5" width="12.42578125" customWidth="1"/>
    <col min="7" max="15" width="9.140625" style="2"/>
  </cols>
  <sheetData>
    <row r="1" spans="1:15" s="1" customFormat="1" x14ac:dyDescent="0.25">
      <c r="A1" s="3" t="s">
        <v>20</v>
      </c>
      <c r="B1" s="3" t="s">
        <v>21</v>
      </c>
      <c r="C1" s="3" t="s">
        <v>12</v>
      </c>
      <c r="D1" s="3" t="s">
        <v>88</v>
      </c>
      <c r="E1" s="3" t="s">
        <v>96</v>
      </c>
      <c r="F1" s="3" t="s">
        <v>201</v>
      </c>
      <c r="G1" s="24"/>
      <c r="H1" s="24"/>
      <c r="I1" s="24"/>
      <c r="J1" s="24"/>
      <c r="K1" s="2"/>
      <c r="L1" s="2"/>
      <c r="M1" s="2"/>
      <c r="N1" s="2"/>
      <c r="O1" s="2"/>
    </row>
    <row r="2" spans="1:15" x14ac:dyDescent="0.25">
      <c r="A2" t="s">
        <v>46</v>
      </c>
      <c r="B2" t="s">
        <v>23</v>
      </c>
      <c r="C2" t="s">
        <v>13</v>
      </c>
      <c r="D2" t="s">
        <v>89</v>
      </c>
      <c r="E2" t="s">
        <v>97</v>
      </c>
      <c r="F2" t="s">
        <v>202</v>
      </c>
    </row>
    <row r="3" spans="1:15" x14ac:dyDescent="0.25">
      <c r="A3" t="s">
        <v>47</v>
      </c>
      <c r="B3" t="s">
        <v>24</v>
      </c>
      <c r="C3" t="s">
        <v>25</v>
      </c>
      <c r="D3" t="s">
        <v>90</v>
      </c>
      <c r="E3" t="s">
        <v>98</v>
      </c>
      <c r="F3" t="s">
        <v>203</v>
      </c>
    </row>
    <row r="4" spans="1:15" x14ac:dyDescent="0.25">
      <c r="A4" t="s">
        <v>48</v>
      </c>
      <c r="B4" t="s">
        <v>11</v>
      </c>
      <c r="C4" t="s">
        <v>26</v>
      </c>
      <c r="D4" t="s">
        <v>91</v>
      </c>
      <c r="E4" t="s">
        <v>99</v>
      </c>
    </row>
    <row r="5" spans="1:15" x14ac:dyDescent="0.25">
      <c r="A5" t="s">
        <v>49</v>
      </c>
      <c r="B5" t="s">
        <v>27</v>
      </c>
      <c r="C5" t="s">
        <v>28</v>
      </c>
      <c r="D5" t="s">
        <v>92</v>
      </c>
      <c r="E5" t="s">
        <v>100</v>
      </c>
    </row>
    <row r="6" spans="1:15" x14ac:dyDescent="0.25">
      <c r="A6" t="s">
        <v>50</v>
      </c>
      <c r="C6" t="s">
        <v>29</v>
      </c>
      <c r="D6" t="s">
        <v>93</v>
      </c>
      <c r="E6" t="s">
        <v>101</v>
      </c>
    </row>
    <row r="7" spans="1:15" x14ac:dyDescent="0.25">
      <c r="A7" t="s">
        <v>51</v>
      </c>
      <c r="C7" t="s">
        <v>30</v>
      </c>
      <c r="D7" t="s">
        <v>94</v>
      </c>
      <c r="E7" t="s">
        <v>102</v>
      </c>
    </row>
    <row r="8" spans="1:15" x14ac:dyDescent="0.25">
      <c r="A8" t="s">
        <v>52</v>
      </c>
      <c r="C8" t="s">
        <v>31</v>
      </c>
      <c r="D8" t="s">
        <v>95</v>
      </c>
      <c r="E8" t="s">
        <v>103</v>
      </c>
    </row>
    <row r="9" spans="1:15" x14ac:dyDescent="0.25">
      <c r="A9" t="s">
        <v>53</v>
      </c>
      <c r="C9" t="s">
        <v>32</v>
      </c>
      <c r="D9" t="s">
        <v>109</v>
      </c>
      <c r="E9" t="s">
        <v>104</v>
      </c>
    </row>
    <row r="10" spans="1:15" x14ac:dyDescent="0.25">
      <c r="A10" t="s">
        <v>54</v>
      </c>
      <c r="C10" t="s">
        <v>33</v>
      </c>
      <c r="E10" t="s">
        <v>105</v>
      </c>
    </row>
    <row r="11" spans="1:15" x14ac:dyDescent="0.25">
      <c r="A11" t="s">
        <v>55</v>
      </c>
      <c r="C11" t="s">
        <v>34</v>
      </c>
      <c r="E11" t="s">
        <v>106</v>
      </c>
    </row>
    <row r="12" spans="1:15" x14ac:dyDescent="0.25">
      <c r="A12" t="s">
        <v>56</v>
      </c>
      <c r="C12" t="s">
        <v>35</v>
      </c>
      <c r="E12" t="s">
        <v>107</v>
      </c>
    </row>
    <row r="13" spans="1:15" x14ac:dyDescent="0.25">
      <c r="A13" t="s">
        <v>57</v>
      </c>
      <c r="C13" t="s">
        <v>36</v>
      </c>
      <c r="E13" t="s">
        <v>108</v>
      </c>
    </row>
    <row r="14" spans="1:15" x14ac:dyDescent="0.25">
      <c r="A14" s="1" t="s">
        <v>6</v>
      </c>
      <c r="C14" t="s">
        <v>37</v>
      </c>
    </row>
    <row r="15" spans="1:15" x14ac:dyDescent="0.25">
      <c r="A15" s="1" t="s">
        <v>69</v>
      </c>
      <c r="C15" t="s">
        <v>38</v>
      </c>
    </row>
    <row r="16" spans="1:15" x14ac:dyDescent="0.25">
      <c r="A16" s="1" t="s">
        <v>68</v>
      </c>
      <c r="C16" t="s">
        <v>39</v>
      </c>
    </row>
    <row r="17" spans="1:6" x14ac:dyDescent="0.25">
      <c r="A17" t="s">
        <v>58</v>
      </c>
    </row>
    <row r="18" spans="1:6" x14ac:dyDescent="0.25">
      <c r="A18" t="s">
        <v>59</v>
      </c>
    </row>
    <row r="19" spans="1:6" x14ac:dyDescent="0.25">
      <c r="A19" t="s">
        <v>60</v>
      </c>
    </row>
    <row r="20" spans="1:6" x14ac:dyDescent="0.25">
      <c r="A20" t="s">
        <v>61</v>
      </c>
    </row>
    <row r="21" spans="1:6" x14ac:dyDescent="0.25">
      <c r="A21" t="s">
        <v>62</v>
      </c>
    </row>
    <row r="22" spans="1:6" x14ac:dyDescent="0.25">
      <c r="A22" t="s">
        <v>63</v>
      </c>
    </row>
    <row r="23" spans="1:6" x14ac:dyDescent="0.25">
      <c r="A23" t="s">
        <v>64</v>
      </c>
    </row>
    <row r="24" spans="1:6" x14ac:dyDescent="0.25">
      <c r="A24" t="s">
        <v>65</v>
      </c>
    </row>
    <row r="25" spans="1:6" x14ac:dyDescent="0.25">
      <c r="A25" t="s">
        <v>66</v>
      </c>
    </row>
    <row r="26" spans="1:6" x14ac:dyDescent="0.25">
      <c r="A26" t="s">
        <v>67</v>
      </c>
    </row>
    <row r="27" spans="1:6" x14ac:dyDescent="0.25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28</vt:i4>
      </vt:variant>
    </vt:vector>
  </HeadingPairs>
  <TitlesOfParts>
    <vt:vector size="46" baseType="lpstr">
      <vt:lpstr>Station Overview</vt:lpstr>
      <vt:lpstr>EM-31</vt:lpstr>
      <vt:lpstr>Thickness Drilling</vt:lpstr>
      <vt:lpstr>Salinity Core</vt:lpstr>
      <vt:lpstr>Temperature Core</vt:lpstr>
      <vt:lpstr>Chemistry Core</vt:lpstr>
      <vt:lpstr>Stratigraphy Core</vt:lpstr>
      <vt:lpstr>RNA-1</vt:lpstr>
      <vt:lpstr>RNA-2</vt:lpstr>
      <vt:lpstr>Chl-a</vt:lpstr>
      <vt:lpstr>Pigments core</vt:lpstr>
      <vt:lpstr>Snow Pit</vt:lpstr>
      <vt:lpstr>TriOS</vt:lpstr>
      <vt:lpstr>ASD</vt:lpstr>
      <vt:lpstr>Black Carbon</vt:lpstr>
      <vt:lpstr>CTD</vt:lpstr>
      <vt:lpstr>Density Core</vt:lpstr>
      <vt:lpstr>Lists</vt:lpstr>
      <vt:lpstr>asdfasdf</vt:lpstr>
      <vt:lpstr>ExpID</vt:lpstr>
      <vt:lpstr>GeneralConditions</vt:lpstr>
      <vt:lpstr>ObsDate</vt:lpstr>
      <vt:lpstr>ASD!Print_Area</vt:lpstr>
      <vt:lpstr>'Black Carbon'!Print_Area</vt:lpstr>
      <vt:lpstr>'Chemistry Core'!Print_Area</vt:lpstr>
      <vt:lpstr>'Chl-a'!Print_Area</vt:lpstr>
      <vt:lpstr>CTD!Print_Area</vt:lpstr>
      <vt:lpstr>'Density Core'!Print_Area</vt:lpstr>
      <vt:lpstr>'EM-31'!Print_Area</vt:lpstr>
      <vt:lpstr>'Pigments core'!Print_Area</vt:lpstr>
      <vt:lpstr>'RNA-1'!Print_Area</vt:lpstr>
      <vt:lpstr>'RNA-2'!Print_Area</vt:lpstr>
      <vt:lpstr>'Salinity Core'!Print_Area</vt:lpstr>
      <vt:lpstr>'Snow Pit'!Print_Area</vt:lpstr>
      <vt:lpstr>'Station Overview'!Print_Area</vt:lpstr>
      <vt:lpstr>'Stratigraphy Core'!Print_Area</vt:lpstr>
      <vt:lpstr>'Temperature Core'!Print_Area</vt:lpstr>
      <vt:lpstr>'Thickness Drilling'!Print_Area</vt:lpstr>
      <vt:lpstr>TriOS!Print_Area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2011-02-07T12:20:41Z</cp:lastPrinted>
  <dcterms:created xsi:type="dcterms:W3CDTF">2011-01-27T20:27:49Z</dcterms:created>
  <dcterms:modified xsi:type="dcterms:W3CDTF">2026-04-13T17:13:29Z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