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valbard\Kongsfjorden_density_cores_for_Evgenii\"/>
    </mc:Choice>
  </mc:AlternateContent>
  <xr:revisionPtr revIDLastSave="0" documentId="13_ncr:1_{57169A02-D9A8-43B7-B604-F8CC9CB9BE26}" xr6:coauthVersionLast="47" xr6:coauthVersionMax="47" xr10:uidLastSave="{00000000-0000-0000-0000-000000000000}"/>
  <bookViews>
    <workbookView xWindow="-105" yWindow="0" windowWidth="19410" windowHeight="20985" tabRatio="766" activeTab="2" xr2:uid="{00000000-000D-0000-FFFF-FFFF00000000}"/>
  </bookViews>
  <sheets>
    <sheet name="Station Overview" sheetId="1" r:id="rId1"/>
    <sheet name="Thickness Drilling" sheetId="3" r:id="rId2"/>
    <sheet name="Density Core" sheetId="14" r:id="rId3"/>
    <sheet name="Lists" sheetId="13" r:id="rId4"/>
  </sheets>
  <externalReferences>
    <externalReference r:id="rId5"/>
    <externalReference r:id="rId6"/>
  </externalReferences>
  <definedNames>
    <definedName name="asdfasdf">'Station Overview'!$B$16</definedName>
    <definedName name="EM_IDs" localSheetId="2">OFFSET([1]Lists!$A$14:$A$26,0,0,[2]StationOverview!$J$8)</definedName>
    <definedName name="EM_IDs">OFFSET(Lists!$A$14:$A$26,0,0,[2]StationOverview!$J$8)</definedName>
    <definedName name="ExpID" localSheetId="2">'[1]Station Overview'!$B$4</definedName>
    <definedName name="ExpID">'Station Overview'!$B$4</definedName>
    <definedName name="GeneralConditions" localSheetId="2">[1]Lists!$C$2:$C$16</definedName>
    <definedName name="GeneralConditions">Lists!$C$2:$C$16</definedName>
    <definedName name="ObsDate" localSheetId="2">'[1]Station Overview'!$B$17</definedName>
    <definedName name="ObsDate">'Station Overview'!$B$17</definedName>
    <definedName name="_xlnm.Print_Area" localSheetId="2">'Density Core'!$A$1:$I$36</definedName>
    <definedName name="_xlnm.Print_Area" localSheetId="0">'Station Overview'!$A$1:$F$37</definedName>
    <definedName name="_xlnm.Print_Area" localSheetId="1">'Thickness Drilling'!$A$1:$H$26</definedName>
    <definedName name="SnowHardness" localSheetId="2">[1]Lists!$D$2:$D$9</definedName>
    <definedName name="SnowHardness">Lists!$D$2:$D$9</definedName>
    <definedName name="SnowType" localSheetId="2">[1]Lists!$E$2:$E$13</definedName>
    <definedName name="SnowType">Lists!$E$2:$E$13</definedName>
    <definedName name="StationTypes" localSheetId="2">[1]Lists!$B$2:$B$5</definedName>
    <definedName name="StationTypes">Lists!$B$2:$B$5</definedName>
    <definedName name="StnDay" localSheetId="2">'[1]Station Overview'!$B$6</definedName>
    <definedName name="StnDay">'Station Overview'!$B$6</definedName>
    <definedName name="StnNum" localSheetId="2">'[1]Station Overview'!$B$5</definedName>
    <definedName name="StnNum">'Station Overview'!$B$5</definedName>
    <definedName name="TimeZones" localSheetId="2">[1]Lists!$A$2:$A$26</definedName>
    <definedName name="TimeZones">Lists!$A$2:$A$26</definedName>
    <definedName name="Yes_No" localSheetId="2">[1]Lists!$F$2:$F$3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14" l="1"/>
  <c r="G24" i="14"/>
  <c r="H23" i="14"/>
  <c r="G23" i="14"/>
  <c r="B18" i="14"/>
  <c r="B4" i="14"/>
  <c r="B2" i="14"/>
  <c r="B4" i="3" l="1"/>
  <c r="B2" i="3"/>
</calcChain>
</file>

<file path=xl/sharedStrings.xml><?xml version="1.0" encoding="utf-8"?>
<sst xmlns="http://schemas.openxmlformats.org/spreadsheetml/2006/main" count="167" uniqueCount="145">
  <si>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</si>
  <si>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</si>
  <si>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</si>
  <si>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</si>
  <si>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</si>
  <si>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</si>
  <si>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</si>
  <si>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</si>
  <si>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</si>
  <si>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</si>
  <si>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</si>
  <si>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</si>
  <si>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</si>
  <si>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</si>
  <si>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</si>
  <si>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</si>
  <si>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</si>
  <si>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</si>
  <si>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</si>
  <si>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</si>
  <si>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</si>
  <si>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</si>
  <si>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</si>
  <si>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</si>
  <si>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</si>
  <si>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</si>
  <si>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</si>
  <si>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</si>
  <si>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</si>
  <si>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</si>
  <si>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</si>
  <si>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</si>
  <si>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</si>
  <si>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</si>
  <si>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</si>
  <si>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</si>
  <si>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</si>
  <si>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</si>
  <si>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</si>
  <si>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</si>
  <si>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</si>
  <si>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</si>
  <si>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</si>
  <si>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</si>
  <si>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</si>
  <si>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</si>
  <si>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</si>
  <si>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</si>
  <si>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</si>
  <si>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</si>
  <si>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</si>
  <si>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</si>
  <si>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</si>
  <si>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</si>
  <si>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</si>
  <si>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</si>
  <si>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</si>
  <si>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</si>
  <si>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</si>
  <si>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</si>
  <si>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</si>
  <si>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</si>
  <si>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</si>
  <si>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</si>
  <si>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</si>
  <si>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</si>
  <si>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</si>
  <si>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</si>
  <si>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</si>
  <si>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</si>
  <si>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</si>
  <si>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</si>
  <si>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</si>
  <si>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</si>
  <si>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</si>
  <si>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</si>
  <si>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</si>
  <si>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</si>
  <si>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</si>
  <si>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</si>
  <si>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</si>
  <si>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</si>
  <si>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</si>
  <si>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</si>
  <si>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</si>
  <si>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</si>
  <si>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</si>
  <si>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</si>
  <si>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</si>
  <si>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</si>
  <si>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</si>
  <si>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</si>
  <si>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</si>
  <si>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</si>
  <si>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</si>
  <si>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Observer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</si>
  <si>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</si>
  <si>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</si>
  <si>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</si>
  <si>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</si>
  <si>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</si>
  <si>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</si>
  <si>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Snow Thickness [cm]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</si>
  <si>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</si>
  <si>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</si>
  <si>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</si>
  <si>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</si>
  <si>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</si>
  <si>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</si>
  <si>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</si>
  <si>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</si>
  <si>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</si>
  <si>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</si>
  <si>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DD,SG</t>
  </si>
  <si>
    <t>KF2025</t>
  </si>
  <si>
    <t>Ice sampling next to ice floe of Ice Station 2. Level young (grey) ice. Coordinates the same as for Station 2</t>
  </si>
  <si>
    <t>Ice sample taken for salinity/density</t>
  </si>
  <si>
    <t>young ice sample</t>
  </si>
  <si>
    <t>Density Core</t>
  </si>
  <si>
    <t>temperature lab</t>
  </si>
  <si>
    <t>density parafine</t>
  </si>
  <si>
    <t>Thickness:</t>
  </si>
  <si>
    <t>Core piece section #</t>
  </si>
  <si>
    <t>At depth [cm]</t>
  </si>
  <si>
    <t>Lenght og piece [cm]</t>
  </si>
  <si>
    <t>Under Water [cm]</t>
  </si>
  <si>
    <t>Total Thickness [cm]</t>
  </si>
  <si>
    <t>Sampling box: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</si>
  <si>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</si>
  <si>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</si>
  <si>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Top [cm]</t>
  </si>
  <si>
    <t>Bottom [cm]</t>
  </si>
  <si>
    <t>Box #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</si>
  <si>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</si>
  <si>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</si>
  <si>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</si>
  <si>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</si>
  <si>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</si>
  <si>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</si>
  <si>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</si>
  <si>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</si>
  <si>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bubbles out at immersion</t>
  </si>
  <si>
    <t>C3</t>
  </si>
  <si>
    <t>C4</t>
  </si>
  <si>
    <t>level ice piece cut from ice sheet for density and 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</si>
</sst>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#"/>
    <numFmt numFmtId="165" formatCode="dd/mm/yyyy;@"/>
    <numFmt numFmtId="166" formatCode="0.0000"/>
    <numFmt numFmtId="167" formatCode="hh:mm;@"/>
    <numFmt numFmtId="168" formatCode="0.00&quot; m&quot;"/>
    <numFmt numFmtId="169" formatCode="0&quot; cm&quot;"/>
    <numFmt numFmtId="170" formatCode="0&quot; cm²&quot;"/>
  </numFmts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24"/>
      <color rgb="FF9C6500"/>
      <name val="Calibri"/>
      <family val="2"/>
      <scheme val="minor"/>
    </font>
    <font>
      <sz val="11"/>
      <color theme="1"/>
      <name val="Calibri"/>
      <family val="2"/>
    </font>
    <font>
      <b/>
      <sz val="26"/>
      <color rgb="FF9C65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4" borderId="3" applyNumberFormat="0" applyAlignment="0" applyProtection="0"/>
  </cellStyleXfs>
  <cellXfs count="145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3" xfId="2"/>
    <xf numFmtId="166" fontId="0" fillId="3" borderId="4" xfId="0" applyNumberFormat="1" applyFill="1" applyBorder="1"/>
    <xf numFmtId="0" fontId="0" fillId="3" borderId="5" xfId="0" applyFill="1" applyBorder="1"/>
    <xf numFmtId="49" fontId="0" fillId="3" borderId="9" xfId="0" applyNumberFormat="1" applyFill="1" applyBorder="1" applyAlignment="1">
      <alignment wrapText="1"/>
    </xf>
    <xf numFmtId="49" fontId="0" fillId="3" borderId="11" xfId="0" applyNumberFormat="1" applyFill="1" applyBorder="1" applyAlignment="1">
      <alignment wrapText="1"/>
    </xf>
    <xf numFmtId="49" fontId="0" fillId="3" borderId="14" xfId="0" applyNumberFormat="1" applyFill="1" applyBorder="1" applyAlignment="1">
      <alignment wrapText="1"/>
    </xf>
    <xf numFmtId="0" fontId="3" fillId="3" borderId="18" xfId="0" applyFont="1" applyFill="1" applyBorder="1" applyAlignment="1">
      <alignment vertical="top" wrapText="1"/>
    </xf>
    <xf numFmtId="0" fontId="0" fillId="3" borderId="6" xfId="0" applyFill="1" applyBorder="1"/>
    <xf numFmtId="0" fontId="0" fillId="3" borderId="9" xfId="0" applyFill="1" applyBorder="1"/>
    <xf numFmtId="0" fontId="0" fillId="3" borderId="15" xfId="0" applyFill="1" applyBorder="1"/>
    <xf numFmtId="0" fontId="0" fillId="3" borderId="11" xfId="0" applyFill="1" applyBorder="1"/>
    <xf numFmtId="166" fontId="0" fillId="3" borderId="12" xfId="0" applyNumberFormat="1" applyFill="1" applyBorder="1"/>
    <xf numFmtId="0" fontId="0" fillId="3" borderId="9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49" fontId="8" fillId="4" borderId="3" xfId="2" applyNumberFormat="1"/>
    <xf numFmtId="0" fontId="7" fillId="3" borderId="6" xfId="0" applyFont="1" applyFill="1" applyBorder="1"/>
    <xf numFmtId="0" fontId="7" fillId="3" borderId="9" xfId="0" applyFont="1" applyFill="1" applyBorder="1"/>
    <xf numFmtId="0" fontId="7" fillId="3" borderId="24" xfId="0" applyFont="1" applyFill="1" applyBorder="1"/>
    <xf numFmtId="0" fontId="7" fillId="3" borderId="11" xfId="0" applyFont="1" applyFill="1" applyBorder="1" applyAlignment="1">
      <alignment vertical="top"/>
    </xf>
    <xf numFmtId="0" fontId="6" fillId="3" borderId="17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wrapText="1"/>
    </xf>
    <xf numFmtId="0" fontId="0" fillId="5" borderId="4" xfId="0" applyFill="1" applyBorder="1" applyProtection="1">
      <protection locked="0"/>
    </xf>
    <xf numFmtId="169" fontId="0" fillId="5" borderId="4" xfId="0" applyNumberFormat="1" applyFill="1" applyBorder="1" applyProtection="1">
      <protection locked="0"/>
    </xf>
    <xf numFmtId="0" fontId="0" fillId="6" borderId="16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9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2" xfId="0" applyFill="1" applyBorder="1"/>
    <xf numFmtId="0" fontId="0" fillId="7" borderId="20" xfId="0" applyFill="1" applyBorder="1"/>
    <xf numFmtId="0" fontId="0" fillId="7" borderId="21" xfId="0" applyFill="1" applyBorder="1"/>
    <xf numFmtId="20" fontId="0" fillId="7" borderId="21" xfId="0" applyNumberFormat="1" applyFill="1" applyBorder="1"/>
    <xf numFmtId="0" fontId="0" fillId="7" borderId="4" xfId="0" applyFill="1" applyBorder="1"/>
    <xf numFmtId="167" fontId="0" fillId="7" borderId="0" xfId="0" applyNumberFormat="1" applyFill="1"/>
    <xf numFmtId="20" fontId="0" fillId="7" borderId="0" xfId="0" applyNumberFormat="1" applyFill="1"/>
    <xf numFmtId="164" fontId="0" fillId="7" borderId="0" xfId="0" applyNumberFormat="1" applyFill="1"/>
    <xf numFmtId="49" fontId="0" fillId="7" borderId="0" xfId="0" quotePrefix="1" applyNumberFormat="1" applyFill="1"/>
    <xf numFmtId="0" fontId="0" fillId="7" borderId="16" xfId="0" applyFill="1" applyBorder="1" applyAlignment="1">
      <alignment vertical="top"/>
    </xf>
    <xf numFmtId="0" fontId="0" fillId="7" borderId="0" xfId="0" applyFill="1" applyProtection="1">
      <protection locked="0"/>
    </xf>
    <xf numFmtId="167" fontId="0" fillId="5" borderId="1" xfId="0" applyNumberFormat="1" applyFill="1" applyBorder="1" applyProtection="1">
      <protection locked="0"/>
    </xf>
    <xf numFmtId="0" fontId="0" fillId="5" borderId="10" xfId="0" applyFill="1" applyBorder="1" applyProtection="1">
      <protection locked="0"/>
    </xf>
    <xf numFmtId="0" fontId="0" fillId="5" borderId="12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5" borderId="15" xfId="0" applyFill="1" applyBorder="1" applyAlignment="1" applyProtection="1">
      <alignment horizontal="left" wrapText="1"/>
      <protection locked="0"/>
    </xf>
    <xf numFmtId="0" fontId="0" fillId="5" borderId="10" xfId="0" applyFill="1" applyBorder="1" applyAlignment="1" applyProtection="1">
      <alignment horizontal="left"/>
      <protection locked="0"/>
    </xf>
    <xf numFmtId="0" fontId="0" fillId="5" borderId="13" xfId="0" applyFill="1" applyBorder="1" applyAlignment="1" applyProtection="1">
      <alignment horizontal="left"/>
      <protection locked="0"/>
    </xf>
    <xf numFmtId="0" fontId="5" fillId="7" borderId="19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3" xfId="0" applyFont="1" applyFill="1" applyBorder="1" applyAlignment="1">
      <alignment vertical="top"/>
    </xf>
    <xf numFmtId="168" fontId="0" fillId="5" borderId="5" xfId="0" applyNumberFormat="1" applyFill="1" applyBorder="1" applyProtection="1">
      <protection locked="0"/>
    </xf>
    <xf numFmtId="169" fontId="0" fillId="5" borderId="5" xfId="0" applyNumberFormat="1" applyFill="1" applyBorder="1" applyProtection="1">
      <protection locked="0"/>
    </xf>
    <xf numFmtId="168" fontId="0" fillId="5" borderId="4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5" xfId="0" applyFill="1" applyBorder="1" applyProtection="1">
      <protection locked="0"/>
    </xf>
    <xf numFmtId="14" fontId="0" fillId="7" borderId="22" xfId="0" applyNumberFormat="1" applyFill="1" applyBorder="1"/>
    <xf numFmtId="0" fontId="1" fillId="7" borderId="0" xfId="1" applyFill="1" applyBorder="1"/>
    <xf numFmtId="0" fontId="0" fillId="7" borderId="0" xfId="0" applyFill="1" applyAlignment="1">
      <alignment horizontal="left"/>
    </xf>
    <xf numFmtId="0" fontId="5" fillId="3" borderId="6" xfId="0" applyFont="1" applyFill="1" applyBorder="1"/>
    <xf numFmtId="0" fontId="5" fillId="3" borderId="9" xfId="0" applyFont="1" applyFill="1" applyBorder="1"/>
    <xf numFmtId="0" fontId="5" fillId="3" borderId="24" xfId="0" applyFont="1" applyFill="1" applyBorder="1"/>
    <xf numFmtId="0" fontId="5" fillId="3" borderId="11" xfId="0" applyFont="1" applyFill="1" applyBorder="1" applyAlignment="1">
      <alignment vertical="top"/>
    </xf>
    <xf numFmtId="0" fontId="0" fillId="3" borderId="28" xfId="0" applyFill="1" applyBorder="1"/>
    <xf numFmtId="169" fontId="0" fillId="5" borderId="8" xfId="0" applyNumberFormat="1" applyFill="1" applyBorder="1" applyAlignment="1">
      <alignment horizontal="right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3" borderId="29" xfId="0" applyFill="1" applyBorder="1"/>
    <xf numFmtId="169" fontId="0" fillId="5" borderId="10" xfId="0" applyNumberFormat="1" applyFill="1" applyBorder="1" applyAlignment="1">
      <alignment horizontal="right"/>
    </xf>
    <xf numFmtId="0" fontId="0" fillId="5" borderId="9" xfId="0" applyFill="1" applyBorder="1" applyAlignment="1">
      <alignment horizontal="center"/>
    </xf>
    <xf numFmtId="169" fontId="0" fillId="5" borderId="1" xfId="0" applyNumberFormat="1" applyFill="1" applyBorder="1" applyAlignment="1">
      <alignment horizontal="right"/>
    </xf>
    <xf numFmtId="169" fontId="0" fillId="5" borderId="4" xfId="0" applyNumberFormat="1" applyFill="1" applyBorder="1" applyAlignment="1">
      <alignment horizontal="right"/>
    </xf>
    <xf numFmtId="0" fontId="0" fillId="5" borderId="30" xfId="0" applyFill="1" applyBorder="1" applyAlignment="1">
      <alignment horizontal="left"/>
    </xf>
    <xf numFmtId="169" fontId="0" fillId="5" borderId="5" xfId="0" applyNumberFormat="1" applyFill="1" applyBorder="1" applyAlignment="1">
      <alignment horizontal="right"/>
    </xf>
    <xf numFmtId="0" fontId="0" fillId="5" borderId="10" xfId="0" applyFill="1" applyBorder="1" applyAlignment="1">
      <alignment horizontal="left"/>
    </xf>
    <xf numFmtId="0" fontId="0" fillId="3" borderId="31" xfId="0" applyFill="1" applyBorder="1"/>
    <xf numFmtId="169" fontId="0" fillId="5" borderId="13" xfId="0" applyNumberFormat="1" applyFill="1" applyBorder="1" applyAlignment="1">
      <alignment horizontal="right"/>
    </xf>
    <xf numFmtId="170" fontId="10" fillId="5" borderId="32" xfId="0" applyNumberFormat="1" applyFont="1" applyFill="1" applyBorder="1" applyAlignment="1">
      <alignment horizontal="right"/>
    </xf>
    <xf numFmtId="166" fontId="0" fillId="7" borderId="0" xfId="0" applyNumberFormat="1" applyFill="1" applyAlignment="1">
      <alignment horizontal="right"/>
    </xf>
    <xf numFmtId="0" fontId="0" fillId="5" borderId="11" xfId="0" applyFill="1" applyBorder="1" applyAlignment="1">
      <alignment horizontal="center"/>
    </xf>
    <xf numFmtId="169" fontId="0" fillId="5" borderId="12" xfId="0" applyNumberFormat="1" applyFill="1" applyBorder="1" applyAlignment="1">
      <alignment horizontal="right"/>
    </xf>
    <xf numFmtId="0" fontId="0" fillId="5" borderId="13" xfId="0" applyFill="1" applyBorder="1" applyAlignment="1">
      <alignment horizontal="left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169" fontId="0" fillId="5" borderId="5" xfId="0" applyNumberFormat="1" applyFill="1" applyBorder="1"/>
    <xf numFmtId="0" fontId="0" fillId="5" borderId="5" xfId="0" applyFill="1" applyBorder="1"/>
    <xf numFmtId="2" fontId="0" fillId="5" borderId="5" xfId="0" applyNumberFormat="1" applyFill="1" applyBorder="1"/>
    <xf numFmtId="0" fontId="0" fillId="5" borderId="5" xfId="0" applyFill="1" applyBorder="1" applyAlignment="1">
      <alignment horizontal="left"/>
    </xf>
    <xf numFmtId="0" fontId="0" fillId="5" borderId="4" xfId="0" applyFill="1" applyBorder="1"/>
    <xf numFmtId="0" fontId="0" fillId="5" borderId="4" xfId="0" applyFill="1" applyBorder="1" applyAlignment="1">
      <alignment horizontal="left"/>
    </xf>
    <xf numFmtId="0" fontId="3" fillId="3" borderId="17" xfId="0" applyFont="1" applyFill="1" applyBorder="1" applyAlignment="1">
      <alignment horizontal="center" vertical="top" wrapText="1"/>
    </xf>
    <xf numFmtId="0" fontId="0" fillId="5" borderId="5" xfId="0" applyFill="1" applyBorder="1" applyAlignment="1" applyProtection="1">
      <alignment horizontal="right" wrapText="1"/>
      <protection locked="0"/>
    </xf>
    <xf numFmtId="0" fontId="0" fillId="5" borderId="4" xfId="0" applyFill="1" applyBorder="1" applyAlignment="1" applyProtection="1">
      <alignment horizontal="right"/>
      <protection locked="0"/>
    </xf>
    <xf numFmtId="0" fontId="0" fillId="5" borderId="12" xfId="0" applyFill="1" applyBorder="1" applyAlignment="1" applyProtection="1">
      <alignment horizontal="right"/>
      <protection locked="0"/>
    </xf>
    <xf numFmtId="0" fontId="0" fillId="5" borderId="4" xfId="0" applyFill="1" applyBorder="1" applyAlignment="1" applyProtection="1">
      <alignment horizontal="left"/>
      <protection locked="0"/>
    </xf>
    <xf numFmtId="0" fontId="0" fillId="5" borderId="10" xfId="0" applyFill="1" applyBorder="1" applyAlignment="1" applyProtection="1">
      <alignment horizontal="left"/>
      <protection locked="0"/>
    </xf>
    <xf numFmtId="49" fontId="0" fillId="5" borderId="17" xfId="0" applyNumberFormat="1" applyFill="1" applyBorder="1" applyProtection="1">
      <protection locked="0"/>
    </xf>
    <xf numFmtId="49" fontId="0" fillId="5" borderId="18" xfId="0" applyNumberFormat="1" applyFill="1" applyBorder="1" applyProtection="1">
      <protection locked="0"/>
    </xf>
    <xf numFmtId="0" fontId="0" fillId="5" borderId="4" xfId="0" applyFill="1" applyBorder="1" applyAlignment="1" applyProtection="1">
      <alignment horizontal="center" vertical="top" wrapText="1"/>
      <protection locked="0"/>
    </xf>
    <xf numFmtId="0" fontId="0" fillId="5" borderId="10" xfId="0" applyFill="1" applyBorder="1" applyAlignment="1" applyProtection="1">
      <alignment horizontal="center" vertical="top" wrapText="1"/>
      <protection locked="0"/>
    </xf>
    <xf numFmtId="0" fontId="0" fillId="5" borderId="12" xfId="0" applyFill="1" applyBorder="1" applyAlignment="1" applyProtection="1">
      <alignment horizontal="center" vertical="top" wrapText="1"/>
      <protection locked="0"/>
    </xf>
    <xf numFmtId="0" fontId="0" fillId="5" borderId="13" xfId="0" applyFill="1" applyBorder="1" applyAlignment="1" applyProtection="1">
      <alignment horizontal="center" vertical="top" wrapText="1"/>
      <protection locked="0"/>
    </xf>
    <xf numFmtId="0" fontId="9" fillId="8" borderId="0" xfId="1" applyFont="1" applyFill="1" applyBorder="1" applyAlignment="1">
      <alignment horizontal="left"/>
    </xf>
    <xf numFmtId="0" fontId="0" fillId="5" borderId="7" xfId="0" applyFill="1" applyBorder="1" applyAlignment="1" applyProtection="1">
      <alignment horizontal="left"/>
      <protection locked="0"/>
    </xf>
    <xf numFmtId="0" fontId="0" fillId="5" borderId="8" xfId="0" applyFill="1" applyBorder="1" applyAlignment="1" applyProtection="1">
      <alignment horizontal="left"/>
      <protection locked="0"/>
    </xf>
    <xf numFmtId="49" fontId="0" fillId="5" borderId="7" xfId="0" applyNumberFormat="1" applyFill="1" applyBorder="1" applyAlignment="1" applyProtection="1">
      <alignment horizontal="right"/>
      <protection locked="0"/>
    </xf>
    <xf numFmtId="49" fontId="0" fillId="5" borderId="8" xfId="0" applyNumberFormat="1" applyFill="1" applyBorder="1" applyAlignment="1" applyProtection="1">
      <alignment horizontal="right"/>
      <protection locked="0"/>
    </xf>
    <xf numFmtId="1" fontId="0" fillId="5" borderId="4" xfId="0" applyNumberFormat="1" applyFill="1" applyBorder="1" applyAlignment="1" applyProtection="1">
      <alignment horizontal="right"/>
      <protection locked="0"/>
    </xf>
    <xf numFmtId="1" fontId="0" fillId="5" borderId="10" xfId="0" applyNumberFormat="1" applyFill="1" applyBorder="1" applyAlignment="1" applyProtection="1">
      <alignment horizontal="right"/>
      <protection locked="0"/>
    </xf>
    <xf numFmtId="49" fontId="0" fillId="5" borderId="12" xfId="0" applyNumberFormat="1" applyFill="1" applyBorder="1" applyAlignment="1" applyProtection="1">
      <alignment horizontal="righ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5" fillId="5" borderId="1" xfId="0" applyNumberFormat="1" applyFon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0" fontId="5" fillId="5" borderId="1" xfId="0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7" fillId="5" borderId="25" xfId="0" applyFont="1" applyFill="1" applyBorder="1" applyAlignment="1" applyProtection="1">
      <alignment horizontal="left" vertical="top"/>
      <protection locked="0"/>
    </xf>
    <xf numFmtId="0" fontId="7" fillId="5" borderId="26" xfId="0" applyFont="1" applyFill="1" applyBorder="1" applyAlignment="1" applyProtection="1">
      <alignment horizontal="left" vertical="top"/>
      <protection locked="0"/>
    </xf>
    <xf numFmtId="0" fontId="7" fillId="5" borderId="27" xfId="0" applyFont="1" applyFill="1" applyBorder="1" applyAlignment="1" applyProtection="1">
      <alignment horizontal="left" vertical="top"/>
      <protection locked="0"/>
    </xf>
    <xf numFmtId="49" fontId="5" fillId="3" borderId="7" xfId="0" applyNumberFormat="1" applyFont="1" applyFill="1" applyBorder="1" applyAlignment="1">
      <alignment horizontal="right"/>
    </xf>
    <xf numFmtId="0" fontId="5" fillId="5" borderId="4" xfId="0" applyFont="1" applyFill="1" applyBorder="1" applyAlignment="1" applyProtection="1">
      <alignment horizontal="right"/>
      <protection locked="0"/>
    </xf>
    <xf numFmtId="165" fontId="5" fillId="3" borderId="4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 applyProtection="1">
      <alignment horizontal="right"/>
      <protection locked="0"/>
    </xf>
    <xf numFmtId="167" fontId="5" fillId="5" borderId="2" xfId="0" applyNumberFormat="1" applyFont="1" applyFill="1" applyBorder="1" applyAlignment="1" applyProtection="1">
      <alignment horizontal="right"/>
      <protection locked="0"/>
    </xf>
    <xf numFmtId="0" fontId="5" fillId="5" borderId="25" xfId="0" applyFont="1" applyFill="1" applyBorder="1" applyAlignment="1">
      <alignment wrapText="1"/>
    </xf>
    <xf numFmtId="0" fontId="5" fillId="5" borderId="26" xfId="0" applyFont="1" applyFill="1" applyBorder="1" applyAlignment="1">
      <alignment wrapText="1"/>
    </xf>
    <xf numFmtId="0" fontId="5" fillId="5" borderId="27" xfId="0" applyFont="1" applyFill="1" applyBorder="1" applyAlignment="1">
      <alignment wrapText="1"/>
    </xf>
    <xf numFmtId="0" fontId="11" fillId="8" borderId="0" xfId="1" applyFont="1" applyFill="1" applyBorder="1" applyAlignment="1">
      <alignment horizontal="left"/>
    </xf>
    <xf numFmtId="0" fontId="5" fillId="3" borderId="7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167" fontId="5" fillId="5" borderId="4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167" fontId="5" fillId="5" borderId="2" xfId="0" applyNumberFormat="1" applyFont="1" applyFill="1" applyBorder="1" applyAlignment="1">
      <alignment horizontal="right"/>
    </xf>
  </cellXfs>
  <cellStyles count="3">
    <cellStyle name="Calculation" xfId="2" builtinId="22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density ice</a:t>
            </a:r>
            <a:r>
              <a:rPr lang="en-US" baseline="0"/>
              <a:t> 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Core'!$G$23:$G$32</c:f>
              <c:numCache>
                <c:formatCode>0" cm"</c:formatCode>
                <c:ptCount val="10"/>
                <c:pt idx="0">
                  <c:v>2.5</c:v>
                </c:pt>
                <c:pt idx="1">
                  <c:v>7.25</c:v>
                </c:pt>
              </c:numCache>
            </c:numRef>
          </c:xVal>
          <c:yVal>
            <c:numRef>
              <c:f>'Density Core'!$H$23:$H$32</c:f>
              <c:numCache>
                <c:formatCode>General</c:formatCode>
                <c:ptCount val="10"/>
                <c:pt idx="0">
                  <c:v>0.87342592234885064</c:v>
                </c:pt>
                <c:pt idx="1">
                  <c:v>0.90180790581345693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4C-472D-9C2D-8CA0CF4D9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233696"/>
        <c:axId val="1951234176"/>
      </c:scatterChart>
      <c:valAx>
        <c:axId val="195123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34176"/>
        <c:crosses val="autoZero"/>
        <c:crossBetween val="midCat"/>
      </c:valAx>
      <c:valAx>
        <c:axId val="19512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3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41</xdr:row>
      <xdr:rowOff>128588</xdr:rowOff>
    </xdr:from>
    <xdr:to>
      <xdr:col>8</xdr:col>
      <xdr:colOff>933450</xdr:colOff>
      <xdr:row>56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594F5-5B54-4471-804D-7D8C0E371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valbard_seaice_work\KF2025_field_work_AprMay\IceStation2_29042025_south_Gerd&#248;ya\29-04-25%20KF2025%20Station%202_12112025_with_densities.xlsx" TargetMode="External"/><Relationship Id="rId1" Type="http://schemas.openxmlformats.org/officeDocument/2006/relationships/externalLinkPath" Target="file:///D:\work\Svalbard_seaice_work\KF2025_field_work_AprMay\IceStation2_29042025_south_Gerd&#248;ya\29-04-25%20KF2025%20Station%202_12112025_with_densit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Overview"/>
      <sheetName val="Thickness Drilling"/>
      <sheetName val="Salinity Core"/>
      <sheetName val="Temperature Core"/>
      <sheetName val="Chemistry core"/>
      <sheetName val="Density Core"/>
      <sheetName val="Archive Core"/>
      <sheetName val="Snow Pit"/>
      <sheetName val="Lists"/>
    </sheetNames>
    <sheetDataSet>
      <sheetData sheetId="0">
        <row r="4">
          <cell r="B4" t="str">
            <v>KF2025</v>
          </cell>
        </row>
        <row r="5">
          <cell r="B5">
            <v>2</v>
          </cell>
        </row>
        <row r="6">
          <cell r="B6">
            <v>1</v>
          </cell>
        </row>
        <row r="17">
          <cell r="B17">
            <v>45776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3">
          <cell r="G23">
            <v>2.5</v>
          </cell>
        </row>
      </sheetData>
      <sheetData sheetId="6" refreshError="1"/>
      <sheetData sheetId="7" refreshError="1"/>
      <sheetData sheetId="8">
        <row r="2">
          <cell r="A2" t="str">
            <v>UTC-12</v>
          </cell>
          <cell r="B2" t="str">
            <v>Fast ice visit</v>
          </cell>
          <cell r="C2" t="str">
            <v>Cold, snow (winter/spring conditions)</v>
          </cell>
          <cell r="D2" t="str">
            <v>Fist</v>
          </cell>
          <cell r="E2" t="str">
            <v>I-A</v>
          </cell>
          <cell r="F2" t="str">
            <v>Yes</v>
          </cell>
        </row>
        <row r="3">
          <cell r="A3" t="str">
            <v>UTC-11</v>
          </cell>
          <cell r="B3" t="str">
            <v>Fast ice repeated location</v>
          </cell>
          <cell r="C3" t="str">
            <v>Melting snow</v>
          </cell>
          <cell r="D3" t="str">
            <v>4 fingers</v>
          </cell>
          <cell r="E3" t="str">
            <v>I-B</v>
          </cell>
          <cell r="F3" t="str">
            <v>No</v>
          </cell>
        </row>
        <row r="4">
          <cell r="A4" t="str">
            <v>UTC-10</v>
          </cell>
          <cell r="B4" t="str">
            <v>Ice floe, single-day station</v>
          </cell>
          <cell r="C4" t="str">
            <v>Flooded</v>
          </cell>
          <cell r="D4" t="str">
            <v>3 fingers</v>
          </cell>
          <cell r="E4" t="str">
            <v>II-A-1</v>
          </cell>
        </row>
        <row r="5">
          <cell r="A5" t="str">
            <v>UTC-9</v>
          </cell>
          <cell r="B5" t="str">
            <v>Ice floe, multi-day station</v>
          </cell>
          <cell r="C5" t="str">
            <v>Bare ice, warm, few or no melt ponds</v>
          </cell>
          <cell r="D5" t="str">
            <v>2 fingers</v>
          </cell>
          <cell r="E5" t="str">
            <v>II-A-2</v>
          </cell>
        </row>
        <row r="6">
          <cell r="A6" t="str">
            <v>UTC-8</v>
          </cell>
          <cell r="C6" t="str">
            <v>Bare ice, warm, with melt ponds</v>
          </cell>
          <cell r="D6" t="str">
            <v>1 finger</v>
          </cell>
          <cell r="E6" t="str">
            <v>II-B-1</v>
          </cell>
        </row>
        <row r="7">
          <cell r="A7" t="str">
            <v>UTC-7</v>
          </cell>
          <cell r="C7" t="str">
            <v>Bare ice, warm, partially refrozen melt ponds</v>
          </cell>
          <cell r="D7" t="str">
            <v>Pencil</v>
          </cell>
          <cell r="E7" t="str">
            <v>II-B-2</v>
          </cell>
        </row>
        <row r="8">
          <cell r="A8" t="str">
            <v>UTC-6</v>
          </cell>
          <cell r="C8" t="str">
            <v>Bare ice, frozen, few or no melt ponds</v>
          </cell>
          <cell r="D8" t="str">
            <v>Knife</v>
          </cell>
          <cell r="E8" t="str">
            <v>III-A-1</v>
          </cell>
        </row>
        <row r="9">
          <cell r="A9" t="str">
            <v>UTC-5</v>
          </cell>
          <cell r="C9" t="str">
            <v>Bare ice, frozen, with melt ponds</v>
          </cell>
          <cell r="D9" t="str">
            <v>Ice</v>
          </cell>
          <cell r="E9" t="str">
            <v>III-A-2</v>
          </cell>
        </row>
        <row r="10">
          <cell r="A10" t="str">
            <v>UTC-4</v>
          </cell>
          <cell r="C10" t="str">
            <v>Bare ice, frozen, partially refrozen melt ponds</v>
          </cell>
          <cell r="E10" t="str">
            <v>III-A-3</v>
          </cell>
        </row>
        <row r="11">
          <cell r="A11" t="str">
            <v>UTC-3</v>
          </cell>
          <cell r="C11" t="str">
            <v>New (summer/autumn) snow, warm, few or no melt ponds</v>
          </cell>
          <cell r="E11" t="str">
            <v>IV-A</v>
          </cell>
        </row>
        <row r="12">
          <cell r="A12" t="str">
            <v>UTC-2</v>
          </cell>
          <cell r="C12" t="str">
            <v>New (summer/autumn) snow, warm, with melt ponds</v>
          </cell>
          <cell r="E12" t="str">
            <v>IV-B</v>
          </cell>
        </row>
        <row r="13">
          <cell r="A13" t="str">
            <v>UTC-1</v>
          </cell>
          <cell r="C13" t="str">
            <v>New (summer/autumn) snow, warm, partially refrozen melt ponds</v>
          </cell>
          <cell r="E13" t="str">
            <v>Glacier Ice</v>
          </cell>
        </row>
        <row r="14">
          <cell r="A14" t="str">
            <v>UTC</v>
          </cell>
          <cell r="C14" t="str">
            <v>New (summer/autumn) snow, frozen, few or no melt ponds</v>
          </cell>
        </row>
        <row r="15">
          <cell r="A15" t="str">
            <v>UTC+1 (Norwegian SDT)</v>
          </cell>
          <cell r="C15" t="str">
            <v>New (summer/autumn) snow, frozen, with melt ponds</v>
          </cell>
        </row>
        <row r="16">
          <cell r="A16" t="str">
            <v>UTC+2 (Norwegian DST)</v>
          </cell>
          <cell r="C16" t="str">
            <v>New (summer/autumn) snow, frozen, partially refrozen melt ponds</v>
          </cell>
        </row>
        <row r="17">
          <cell r="A17" t="str">
            <v>UTC+3</v>
          </cell>
        </row>
        <row r="18">
          <cell r="A18" t="str">
            <v>UTC+4</v>
          </cell>
        </row>
        <row r="19">
          <cell r="A19" t="str">
            <v>UTC+5</v>
          </cell>
        </row>
        <row r="20">
          <cell r="A20" t="str">
            <v>UTC+6</v>
          </cell>
        </row>
        <row r="21">
          <cell r="A21" t="str">
            <v>UTC+7</v>
          </cell>
        </row>
        <row r="22">
          <cell r="A22" t="str">
            <v>UTC+8</v>
          </cell>
        </row>
        <row r="23">
          <cell r="A23" t="str">
            <v>UTC+9</v>
          </cell>
        </row>
        <row r="24">
          <cell r="A24" t="str">
            <v>UTC+10</v>
          </cell>
        </row>
        <row r="25">
          <cell r="A25" t="str">
            <v>UTC+11</v>
          </cell>
        </row>
        <row r="26">
          <cell r="A26" t="str">
            <v>UTC+12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zoomScale="80" zoomScaleNormal="80" workbookViewId="0">
      <selection activeCell="I14" sqref="I14"/>
    </sheetView>
  </sheetViews>
  <sheetFormatPr defaultColWidth="9.140625" defaultRowHeight="15" x14ac:dyDescent="0.25"/>
  <cols>
    <col min="1" max="1" width="22.7109375" style="30" customWidth="1"/>
    <col min="2" max="2" width="12.7109375" style="30" customWidth="1"/>
    <col min="3" max="5" width="10.7109375" style="30" customWidth="1"/>
    <col min="6" max="6" width="32.7109375" style="30" customWidth="1"/>
    <col min="7" max="7" width="9.140625" style="30"/>
    <col min="8" max="9" width="9.140625" style="30" customWidth="1"/>
    <col min="10" max="16384" width="9.140625" style="30"/>
  </cols>
  <sheetData>
    <row r="1" spans="1:9" ht="31.5" x14ac:dyDescent="0.5">
      <c r="A1" s="115" t="s">
        <v>0</v>
      </c>
      <c r="B1" s="115"/>
      <c r="C1" s="115"/>
      <c r="D1" s="115"/>
      <c r="E1" s="115"/>
      <c r="F1" s="29"/>
      <c r="G1" s="29"/>
      <c r="H1" s="29"/>
    </row>
    <row r="2" spans="1:9" ht="15.75" customHeight="1" x14ac:dyDescent="0.35">
      <c r="A2" s="31"/>
      <c r="D2" s="29"/>
      <c r="E2" s="29"/>
      <c r="F2" s="29"/>
      <c r="G2" s="29"/>
      <c r="H2" s="29"/>
    </row>
    <row r="3" spans="1:9" ht="15.75" thickBot="1" x14ac:dyDescent="0.3">
      <c r="A3" s="32" t="s">
        <v>67</v>
      </c>
      <c r="D3" s="29"/>
      <c r="E3" s="29"/>
    </row>
    <row r="4" spans="1:9" x14ac:dyDescent="0.25">
      <c r="A4" s="10" t="s">
        <v>1</v>
      </c>
      <c r="B4" s="118" t="s">
        <v>114</v>
      </c>
      <c r="C4" s="119"/>
      <c r="H4" s="33"/>
      <c r="I4" s="33"/>
    </row>
    <row r="5" spans="1:9" x14ac:dyDescent="0.25">
      <c r="A5" s="11" t="s">
        <v>2</v>
      </c>
      <c r="B5" s="120">
        <v>2</v>
      </c>
      <c r="C5" s="121"/>
      <c r="H5" s="33"/>
      <c r="I5" s="33"/>
    </row>
    <row r="6" spans="1:9" x14ac:dyDescent="0.25">
      <c r="A6" s="11" t="s">
        <v>3</v>
      </c>
      <c r="B6" s="120">
        <v>1</v>
      </c>
      <c r="C6" s="121"/>
    </row>
    <row r="7" spans="1:9" ht="15.75" thickBot="1" x14ac:dyDescent="0.3">
      <c r="A7" s="13" t="s">
        <v>95</v>
      </c>
      <c r="B7" s="122" t="s">
        <v>113</v>
      </c>
      <c r="C7" s="123"/>
    </row>
    <row r="9" spans="1:9" ht="15.75" thickBot="1" x14ac:dyDescent="0.3">
      <c r="A9" s="32" t="s">
        <v>70</v>
      </c>
    </row>
    <row r="10" spans="1:9" x14ac:dyDescent="0.25">
      <c r="A10" s="10" t="s">
        <v>9</v>
      </c>
      <c r="B10" s="116" t="s">
        <v>20</v>
      </c>
      <c r="C10" s="116"/>
      <c r="D10" s="116"/>
      <c r="E10" s="117"/>
    </row>
    <row r="11" spans="1:9" x14ac:dyDescent="0.25">
      <c r="A11" s="11" t="s">
        <v>11</v>
      </c>
      <c r="B11" s="107" t="s">
        <v>12</v>
      </c>
      <c r="C11" s="107"/>
      <c r="D11" s="107"/>
      <c r="E11" s="108"/>
    </row>
    <row r="12" spans="1:9" x14ac:dyDescent="0.25">
      <c r="A12" s="15" t="s">
        <v>13</v>
      </c>
      <c r="B12" s="111" t="s">
        <v>115</v>
      </c>
      <c r="C12" s="111"/>
      <c r="D12" s="111"/>
      <c r="E12" s="112"/>
    </row>
    <row r="13" spans="1:9" x14ac:dyDescent="0.25">
      <c r="A13" s="15"/>
      <c r="B13" s="111"/>
      <c r="C13" s="111"/>
      <c r="D13" s="111"/>
      <c r="E13" s="112"/>
    </row>
    <row r="14" spans="1:9" ht="15.75" thickBot="1" x14ac:dyDescent="0.3">
      <c r="A14" s="16"/>
      <c r="B14" s="113"/>
      <c r="C14" s="113"/>
      <c r="D14" s="113"/>
      <c r="E14" s="114"/>
    </row>
    <row r="15" spans="1:9" x14ac:dyDescent="0.25">
      <c r="A15" s="35"/>
      <c r="B15" s="36"/>
      <c r="C15" s="36"/>
      <c r="D15" s="36"/>
      <c r="E15" s="36"/>
    </row>
    <row r="16" spans="1:9" ht="15.75" thickBot="1" x14ac:dyDescent="0.3">
      <c r="A16" s="32" t="s">
        <v>68</v>
      </c>
    </row>
    <row r="17" spans="1:6" x14ac:dyDescent="0.25">
      <c r="A17" s="10" t="s">
        <v>106</v>
      </c>
      <c r="B17" s="65">
        <v>45776</v>
      </c>
      <c r="C17" s="65"/>
    </row>
    <row r="18" spans="1:6" ht="15.75" thickBot="1" x14ac:dyDescent="0.3">
      <c r="A18" s="11" t="s">
        <v>107</v>
      </c>
      <c r="B18" s="48"/>
      <c r="C18" s="38"/>
      <c r="D18" s="39"/>
      <c r="E18" s="40"/>
    </row>
    <row r="19" spans="1:6" x14ac:dyDescent="0.25">
      <c r="A19" s="34"/>
      <c r="B19" s="41"/>
      <c r="C19" s="5"/>
      <c r="D19" s="5"/>
      <c r="E19" s="12"/>
    </row>
    <row r="20" spans="1:6" x14ac:dyDescent="0.25">
      <c r="A20" s="11" t="s">
        <v>37</v>
      </c>
      <c r="B20" s="4"/>
      <c r="C20" s="26">
        <v>78</v>
      </c>
      <c r="D20" s="26">
        <v>58.558</v>
      </c>
      <c r="E20" s="49"/>
    </row>
    <row r="21" spans="1:6" ht="15.75" thickBot="1" x14ac:dyDescent="0.3">
      <c r="A21" s="13" t="s">
        <v>38</v>
      </c>
      <c r="B21" s="14"/>
      <c r="C21" s="50">
        <v>12</v>
      </c>
      <c r="D21" s="50">
        <v>29.648</v>
      </c>
      <c r="E21" s="51"/>
    </row>
    <row r="23" spans="1:6" ht="15.75" thickBot="1" x14ac:dyDescent="0.3">
      <c r="A23" s="32" t="s">
        <v>69</v>
      </c>
      <c r="B23" s="42"/>
      <c r="E23" s="43"/>
    </row>
    <row r="24" spans="1:6" x14ac:dyDescent="0.25">
      <c r="A24" s="10" t="s">
        <v>41</v>
      </c>
      <c r="B24" s="65"/>
      <c r="C24" s="37"/>
    </row>
    <row r="25" spans="1:6" ht="15.75" thickBot="1" x14ac:dyDescent="0.3">
      <c r="A25" s="11" t="s">
        <v>42</v>
      </c>
      <c r="B25" s="48"/>
      <c r="C25" s="38"/>
      <c r="D25" s="39"/>
    </row>
    <row r="26" spans="1:6" x14ac:dyDescent="0.25">
      <c r="A26" s="34"/>
      <c r="B26" s="41"/>
      <c r="C26" s="5" t="s">
        <v>6</v>
      </c>
      <c r="D26" s="5" t="s">
        <v>7</v>
      </c>
      <c r="E26" s="12" t="s">
        <v>8</v>
      </c>
    </row>
    <row r="27" spans="1:6" x14ac:dyDescent="0.25">
      <c r="A27" s="11" t="s">
        <v>39</v>
      </c>
      <c r="B27" s="4"/>
      <c r="C27" s="26">
        <v>78</v>
      </c>
      <c r="D27" s="26">
        <v>58.558</v>
      </c>
      <c r="E27" s="49"/>
    </row>
    <row r="28" spans="1:6" ht="15.75" thickBot="1" x14ac:dyDescent="0.3">
      <c r="A28" s="13" t="s">
        <v>40</v>
      </c>
      <c r="B28" s="14"/>
      <c r="C28" s="50">
        <v>12</v>
      </c>
      <c r="D28" s="50">
        <v>29.648</v>
      </c>
      <c r="E28" s="51"/>
    </row>
    <row r="29" spans="1:6" ht="15.75" thickBot="1" x14ac:dyDescent="0.3">
      <c r="B29" s="44"/>
      <c r="C29" s="45"/>
    </row>
    <row r="30" spans="1:6" ht="15.75" thickBot="1" x14ac:dyDescent="0.3">
      <c r="A30" s="28" t="s">
        <v>105</v>
      </c>
      <c r="B30" s="109" t="s">
        <v>65</v>
      </c>
      <c r="C30" s="109"/>
      <c r="D30" s="109"/>
      <c r="E30" s="110"/>
    </row>
    <row r="31" spans="1:6" ht="15.75" thickBot="1" x14ac:dyDescent="0.3"/>
    <row r="32" spans="1:6" ht="30" customHeight="1" thickBot="1" x14ac:dyDescent="0.3">
      <c r="A32" s="46"/>
      <c r="B32" s="103" t="s">
        <v>104</v>
      </c>
      <c r="C32" s="103"/>
      <c r="D32" s="103" t="s">
        <v>103</v>
      </c>
      <c r="E32" s="103"/>
      <c r="F32" s="9" t="s">
        <v>14</v>
      </c>
    </row>
    <row r="33" spans="1:6" ht="30" customHeight="1" x14ac:dyDescent="0.25">
      <c r="A33" s="8" t="s">
        <v>108</v>
      </c>
      <c r="B33" s="104"/>
      <c r="C33" s="104"/>
      <c r="D33" s="104"/>
      <c r="E33" s="104"/>
      <c r="F33" s="52"/>
    </row>
    <row r="34" spans="1:6" ht="30" customHeight="1" x14ac:dyDescent="0.25">
      <c r="A34" s="6" t="s">
        <v>108</v>
      </c>
      <c r="B34" s="105"/>
      <c r="C34" s="105"/>
      <c r="D34" s="105"/>
      <c r="E34" s="105"/>
      <c r="F34" s="53"/>
    </row>
    <row r="35" spans="1:6" ht="30" customHeight="1" x14ac:dyDescent="0.25">
      <c r="A35" s="6" t="s">
        <v>108</v>
      </c>
      <c r="B35" s="105"/>
      <c r="C35" s="105"/>
      <c r="D35" s="105"/>
      <c r="E35" s="105"/>
      <c r="F35" s="53"/>
    </row>
    <row r="36" spans="1:6" ht="30" customHeight="1" x14ac:dyDescent="0.25">
      <c r="A36" s="6" t="s">
        <v>108</v>
      </c>
      <c r="B36" s="105"/>
      <c r="C36" s="105"/>
      <c r="D36" s="105"/>
      <c r="E36" s="105"/>
      <c r="F36" s="53"/>
    </row>
    <row r="37" spans="1:6" ht="30" customHeight="1" thickBot="1" x14ac:dyDescent="0.3">
      <c r="A37" s="7" t="s">
        <v>108</v>
      </c>
      <c r="B37" s="106"/>
      <c r="C37" s="106"/>
      <c r="D37" s="106"/>
      <c r="E37" s="106"/>
      <c r="F37" s="54"/>
    </row>
    <row r="38" spans="1:6" x14ac:dyDescent="0.25">
      <c r="B38" s="47"/>
      <c r="C38" s="47"/>
      <c r="D38" s="47"/>
      <c r="E38" s="47"/>
      <c r="F38" s="47"/>
    </row>
    <row r="39" spans="1:6" x14ac:dyDescent="0.25">
      <c r="B39" s="47"/>
      <c r="C39" s="47"/>
      <c r="D39" s="47"/>
      <c r="E39" s="47"/>
      <c r="F39" s="47"/>
    </row>
    <row r="40" spans="1:6" x14ac:dyDescent="0.25">
      <c r="B40" s="47"/>
      <c r="C40" s="47"/>
      <c r="D40" s="47"/>
      <c r="E40" s="47"/>
      <c r="F40" s="47"/>
    </row>
    <row r="41" spans="1:6" x14ac:dyDescent="0.25">
      <c r="B41" s="47"/>
      <c r="C41" s="47"/>
      <c r="D41" s="47"/>
      <c r="E41" s="47"/>
      <c r="F41" s="47"/>
    </row>
    <row r="42" spans="1:6" x14ac:dyDescent="0.25">
      <c r="B42" s="47"/>
      <c r="C42" s="47"/>
      <c r="D42" s="47"/>
      <c r="E42" s="47"/>
      <c r="F42" s="47"/>
    </row>
    <row r="43" spans="1:6" x14ac:dyDescent="0.25">
      <c r="B43" s="47"/>
      <c r="C43" s="47"/>
      <c r="D43" s="47"/>
      <c r="E43" s="47"/>
      <c r="F43" s="47"/>
    </row>
    <row r="44" spans="1:6" x14ac:dyDescent="0.25">
      <c r="B44" s="47"/>
      <c r="C44" s="47"/>
      <c r="D44" s="47"/>
      <c r="E44" s="47"/>
      <c r="F44" s="47"/>
    </row>
    <row r="45" spans="1:6" x14ac:dyDescent="0.25">
      <c r="B45" s="47"/>
      <c r="C45" s="47"/>
      <c r="D45" s="47"/>
      <c r="E45" s="47"/>
      <c r="F45" s="47"/>
    </row>
    <row r="46" spans="1:6" x14ac:dyDescent="0.25">
      <c r="B46" s="47"/>
      <c r="C46" s="47"/>
      <c r="D46" s="47"/>
      <c r="E46" s="47"/>
      <c r="F46" s="47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zoomScale="80" zoomScaleNormal="80" workbookViewId="0">
      <selection activeCell="E14" sqref="E14"/>
    </sheetView>
  </sheetViews>
  <sheetFormatPr defaultColWidth="9.140625" defaultRowHeight="15" x14ac:dyDescent="0.25"/>
  <cols>
    <col min="1" max="1" width="18.7109375" style="30" customWidth="1"/>
    <col min="2" max="7" width="15.7109375" style="30" customWidth="1"/>
    <col min="8" max="8" width="36.7109375" style="30" customWidth="1"/>
    <col min="9" max="16384" width="9.140625" style="30"/>
  </cols>
  <sheetData>
    <row r="1" spans="1:9" ht="32.25" thickBot="1" x14ac:dyDescent="0.55000000000000004">
      <c r="A1" s="115" t="s">
        <v>71</v>
      </c>
      <c r="B1" s="115"/>
      <c r="C1" s="115"/>
      <c r="D1" s="115"/>
    </row>
    <row r="2" spans="1:9" x14ac:dyDescent="0.25">
      <c r="A2" s="18" t="s">
        <v>16</v>
      </c>
      <c r="B2" s="131" t="str">
        <f>CONCATENATE(ExpID,"-",StnNum,"-",StnDay)</f>
        <v>KF2025-2-1</v>
      </c>
      <c r="C2" s="131"/>
      <c r="D2" s="55"/>
    </row>
    <row r="3" spans="1:9" x14ac:dyDescent="0.25">
      <c r="A3" s="19" t="s">
        <v>96</v>
      </c>
      <c r="B3" s="132"/>
      <c r="C3" s="132"/>
      <c r="D3" s="59"/>
    </row>
    <row r="4" spans="1:9" x14ac:dyDescent="0.25">
      <c r="A4" s="19" t="s">
        <v>4</v>
      </c>
      <c r="B4" s="133">
        <f>ObsDate</f>
        <v>45776</v>
      </c>
      <c r="C4" s="133"/>
      <c r="D4" s="59"/>
    </row>
    <row r="5" spans="1:9" x14ac:dyDescent="0.25">
      <c r="A5" s="20" t="s">
        <v>94</v>
      </c>
      <c r="B5" s="134"/>
      <c r="C5" s="135"/>
      <c r="D5" s="59"/>
    </row>
    <row r="6" spans="1:9" x14ac:dyDescent="0.25">
      <c r="A6" s="20" t="s">
        <v>95</v>
      </c>
      <c r="B6" s="124"/>
      <c r="C6" s="125"/>
      <c r="D6" s="59"/>
      <c r="E6" s="56"/>
      <c r="F6" s="56"/>
      <c r="G6" s="56"/>
      <c r="H6" s="58"/>
      <c r="I6" s="57"/>
    </row>
    <row r="7" spans="1:9" x14ac:dyDescent="0.25">
      <c r="A7" s="20" t="s">
        <v>109</v>
      </c>
      <c r="B7" s="126"/>
      <c r="C7" s="127"/>
      <c r="D7" s="59"/>
      <c r="E7" s="56"/>
      <c r="F7" s="56"/>
      <c r="G7" s="56"/>
      <c r="H7" s="58"/>
      <c r="I7" s="57"/>
    </row>
    <row r="8" spans="1:9" ht="30" customHeight="1" thickBot="1" x14ac:dyDescent="0.3">
      <c r="A8" s="21" t="s">
        <v>15</v>
      </c>
      <c r="B8" s="128" t="s">
        <v>117</v>
      </c>
      <c r="C8" s="129"/>
      <c r="D8" s="130"/>
    </row>
    <row r="9" spans="1:9" ht="15.75" thickBot="1" x14ac:dyDescent="0.3"/>
    <row r="10" spans="1:9" s="63" customFormat="1" ht="45.75" thickBot="1" x14ac:dyDescent="0.3">
      <c r="A10" s="23" t="s">
        <v>17</v>
      </c>
      <c r="B10" s="22" t="s">
        <v>102</v>
      </c>
      <c r="C10" s="24" t="s">
        <v>97</v>
      </c>
      <c r="D10" s="24" t="s">
        <v>98</v>
      </c>
      <c r="E10" s="24" t="s">
        <v>99</v>
      </c>
      <c r="F10" s="24" t="s">
        <v>100</v>
      </c>
      <c r="G10" s="24" t="s">
        <v>101</v>
      </c>
      <c r="H10" s="25" t="s">
        <v>13</v>
      </c>
    </row>
    <row r="11" spans="1:9" x14ac:dyDescent="0.25">
      <c r="A11" s="60"/>
      <c r="B11" s="61">
        <v>0</v>
      </c>
      <c r="C11" s="61">
        <v>9.5</v>
      </c>
      <c r="D11" s="61">
        <v>9.5</v>
      </c>
      <c r="E11" s="61"/>
      <c r="F11" s="61"/>
      <c r="G11" s="61"/>
      <c r="H11" s="64" t="s">
        <v>116</v>
      </c>
    </row>
    <row r="12" spans="1:9" x14ac:dyDescent="0.25">
      <c r="A12" s="62"/>
      <c r="B12" s="27"/>
      <c r="C12" s="27"/>
      <c r="D12" s="27"/>
      <c r="E12" s="27"/>
      <c r="F12" s="27"/>
      <c r="G12" s="27"/>
      <c r="H12" s="26"/>
    </row>
    <row r="13" spans="1:9" x14ac:dyDescent="0.25">
      <c r="A13" s="62"/>
      <c r="B13" s="27"/>
      <c r="C13" s="27"/>
      <c r="D13" s="27"/>
      <c r="E13" s="27"/>
      <c r="F13" s="27"/>
      <c r="G13" s="27"/>
      <c r="H13" s="26"/>
    </row>
    <row r="14" spans="1:9" x14ac:dyDescent="0.25">
      <c r="A14" s="62"/>
      <c r="B14" s="27"/>
      <c r="C14" s="27"/>
      <c r="D14" s="27"/>
      <c r="E14" s="27"/>
      <c r="F14" s="27"/>
      <c r="G14" s="27"/>
      <c r="H14" s="26"/>
    </row>
    <row r="15" spans="1:9" x14ac:dyDescent="0.25">
      <c r="A15" s="62"/>
      <c r="B15" s="27"/>
      <c r="C15" s="27"/>
      <c r="D15" s="27"/>
      <c r="E15" s="27"/>
      <c r="F15" s="27"/>
      <c r="G15" s="27"/>
      <c r="H15" s="26"/>
    </row>
    <row r="16" spans="1:9" x14ac:dyDescent="0.25">
      <c r="A16" s="62"/>
      <c r="B16" s="27"/>
      <c r="C16" s="27"/>
      <c r="D16" s="27"/>
      <c r="E16" s="27"/>
      <c r="F16" s="27"/>
      <c r="G16" s="27"/>
      <c r="H16" s="26"/>
    </row>
    <row r="17" spans="1:8" x14ac:dyDescent="0.25">
      <c r="A17" s="62"/>
      <c r="B17" s="27"/>
      <c r="C17" s="27"/>
      <c r="D17" s="27"/>
      <c r="E17" s="27"/>
      <c r="F17" s="27"/>
      <c r="G17" s="27"/>
      <c r="H17" s="26"/>
    </row>
    <row r="18" spans="1:8" x14ac:dyDescent="0.25">
      <c r="A18" s="62"/>
      <c r="B18" s="27"/>
      <c r="C18" s="27"/>
      <c r="D18" s="27"/>
      <c r="E18" s="27"/>
      <c r="F18" s="27"/>
      <c r="G18" s="27"/>
      <c r="H18" s="26"/>
    </row>
    <row r="19" spans="1:8" x14ac:dyDescent="0.25">
      <c r="A19" s="62"/>
      <c r="B19" s="27"/>
      <c r="C19" s="27"/>
      <c r="D19" s="27"/>
      <c r="E19" s="27"/>
      <c r="F19" s="27"/>
      <c r="G19" s="27"/>
      <c r="H19" s="26"/>
    </row>
    <row r="20" spans="1:8" x14ac:dyDescent="0.25">
      <c r="A20" s="62"/>
      <c r="B20" s="27"/>
      <c r="C20" s="27"/>
      <c r="D20" s="27"/>
      <c r="E20" s="27"/>
      <c r="F20" s="27"/>
      <c r="G20" s="27"/>
      <c r="H20" s="26"/>
    </row>
    <row r="21" spans="1:8" x14ac:dyDescent="0.25">
      <c r="A21" s="62"/>
      <c r="B21" s="27"/>
      <c r="C21" s="27"/>
      <c r="D21" s="27"/>
      <c r="E21" s="27"/>
      <c r="F21" s="27"/>
      <c r="G21" s="27"/>
      <c r="H21" s="26"/>
    </row>
    <row r="22" spans="1:8" x14ac:dyDescent="0.25">
      <c r="A22" s="62"/>
      <c r="B22" s="27"/>
      <c r="C22" s="27"/>
      <c r="D22" s="27"/>
      <c r="E22" s="27"/>
      <c r="F22" s="27"/>
      <c r="G22" s="27"/>
      <c r="H22" s="26"/>
    </row>
    <row r="23" spans="1:8" x14ac:dyDescent="0.25">
      <c r="A23" s="62"/>
      <c r="B23" s="27"/>
      <c r="C23" s="27"/>
      <c r="D23" s="27"/>
      <c r="E23" s="27"/>
      <c r="F23" s="27"/>
      <c r="G23" s="27"/>
      <c r="H23" s="26"/>
    </row>
    <row r="24" spans="1:8" x14ac:dyDescent="0.25">
      <c r="A24" s="62"/>
      <c r="B24" s="27"/>
      <c r="C24" s="27"/>
      <c r="D24" s="27"/>
      <c r="E24" s="27"/>
      <c r="F24" s="27"/>
      <c r="G24" s="27"/>
      <c r="H24" s="26"/>
    </row>
    <row r="25" spans="1:8" x14ac:dyDescent="0.25">
      <c r="A25" s="62"/>
      <c r="B25" s="27"/>
      <c r="C25" s="27"/>
      <c r="D25" s="27"/>
      <c r="E25" s="27"/>
      <c r="F25" s="27"/>
      <c r="G25" s="27"/>
      <c r="H25" s="26"/>
    </row>
    <row r="26" spans="1:8" x14ac:dyDescent="0.25">
      <c r="A26" s="62"/>
      <c r="B26" s="27"/>
      <c r="C26" s="27"/>
      <c r="D26" s="27"/>
      <c r="E26" s="27"/>
      <c r="F26" s="27"/>
      <c r="G26" s="27"/>
      <c r="H26" s="26"/>
    </row>
    <row r="27" spans="1:8" x14ac:dyDescent="0.25">
      <c r="A27" s="62"/>
      <c r="B27" s="27"/>
      <c r="C27" s="27"/>
      <c r="D27" s="27"/>
      <c r="E27" s="27"/>
      <c r="F27" s="27"/>
      <c r="G27" s="27"/>
      <c r="H27" s="26"/>
    </row>
    <row r="28" spans="1:8" x14ac:dyDescent="0.25">
      <c r="A28" s="62"/>
      <c r="B28" s="27"/>
      <c r="C28" s="27"/>
      <c r="D28" s="27"/>
      <c r="E28" s="27"/>
      <c r="F28" s="27"/>
      <c r="G28" s="27"/>
      <c r="H28" s="26"/>
    </row>
    <row r="29" spans="1:8" x14ac:dyDescent="0.25">
      <c r="A29" s="62"/>
      <c r="B29" s="27"/>
      <c r="C29" s="27"/>
      <c r="D29" s="27"/>
      <c r="E29" s="27"/>
      <c r="F29" s="27"/>
      <c r="G29" s="27"/>
      <c r="H29" s="26"/>
    </row>
    <row r="30" spans="1:8" x14ac:dyDescent="0.25">
      <c r="A30" s="62"/>
      <c r="B30" s="27"/>
      <c r="C30" s="27"/>
      <c r="D30" s="27"/>
      <c r="E30" s="27"/>
      <c r="F30" s="27"/>
      <c r="G30" s="27"/>
      <c r="H30" s="26"/>
    </row>
    <row r="31" spans="1:8" x14ac:dyDescent="0.25">
      <c r="A31" s="62"/>
      <c r="B31" s="27"/>
      <c r="C31" s="27"/>
      <c r="D31" s="27"/>
      <c r="E31" s="27"/>
      <c r="F31" s="27"/>
      <c r="G31" s="27"/>
      <c r="H31" s="26"/>
    </row>
    <row r="32" spans="1:8" x14ac:dyDescent="0.25">
      <c r="A32" s="62"/>
      <c r="B32" s="27"/>
      <c r="C32" s="27"/>
      <c r="D32" s="27"/>
      <c r="E32" s="27"/>
      <c r="F32" s="27"/>
      <c r="G32" s="27"/>
      <c r="H32" s="26"/>
    </row>
    <row r="33" spans="1:8" x14ac:dyDescent="0.25">
      <c r="A33" s="62"/>
      <c r="B33" s="27"/>
      <c r="C33" s="27"/>
      <c r="D33" s="27"/>
      <c r="E33" s="27"/>
      <c r="F33" s="27"/>
      <c r="G33" s="27"/>
      <c r="H33" s="26"/>
    </row>
    <row r="34" spans="1:8" x14ac:dyDescent="0.25">
      <c r="A34" s="62"/>
      <c r="B34" s="27"/>
      <c r="C34" s="27"/>
      <c r="D34" s="27"/>
      <c r="E34" s="27"/>
      <c r="F34" s="27"/>
      <c r="G34" s="27"/>
      <c r="H34" s="26"/>
    </row>
    <row r="35" spans="1:8" x14ac:dyDescent="0.25">
      <c r="A35" s="62"/>
      <c r="B35" s="27"/>
      <c r="C35" s="27"/>
      <c r="D35" s="27"/>
      <c r="E35" s="27"/>
      <c r="F35" s="27"/>
      <c r="G35" s="27"/>
      <c r="H35" s="26"/>
    </row>
    <row r="36" spans="1:8" x14ac:dyDescent="0.25">
      <c r="A36" s="62"/>
      <c r="B36" s="27"/>
      <c r="C36" s="27"/>
      <c r="D36" s="27"/>
      <c r="E36" s="27"/>
      <c r="F36" s="27"/>
      <c r="G36" s="27"/>
      <c r="H36" s="26"/>
    </row>
    <row r="37" spans="1:8" x14ac:dyDescent="0.25">
      <c r="A37" s="62"/>
      <c r="B37" s="27"/>
      <c r="C37" s="27"/>
      <c r="D37" s="27"/>
      <c r="E37" s="27"/>
      <c r="F37" s="27"/>
      <c r="G37" s="27"/>
      <c r="H37" s="26"/>
    </row>
    <row r="38" spans="1:8" x14ac:dyDescent="0.25">
      <c r="A38" s="62"/>
      <c r="B38" s="27"/>
      <c r="C38" s="27"/>
      <c r="D38" s="27"/>
      <c r="E38" s="27"/>
      <c r="F38" s="27"/>
      <c r="G38" s="27"/>
      <c r="H38" s="26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28A4-8D51-4508-A32D-5F15461E4219}">
  <sheetPr>
    <tabColor rgb="FF92D050"/>
    <pageSetUpPr fitToPage="1"/>
  </sheetPr>
  <dimension ref="A1:L41"/>
  <sheetViews>
    <sheetView tabSelected="1" zoomScale="80" zoomScaleNormal="80" workbookViewId="0">
      <selection activeCell="D15" sqref="D15"/>
    </sheetView>
  </sheetViews>
  <sheetFormatPr defaultColWidth="9.140625" defaultRowHeight="15" x14ac:dyDescent="0.25"/>
  <cols>
    <col min="1" max="1" width="21.7109375" style="30" customWidth="1"/>
    <col min="2" max="3" width="15.7109375" style="30" customWidth="1"/>
    <col min="4" max="5" width="18.7109375" style="30" customWidth="1"/>
    <col min="6" max="6" width="19.5703125" style="30" bestFit="1" customWidth="1"/>
    <col min="7" max="7" width="19.85546875" style="30" bestFit="1" customWidth="1"/>
    <col min="8" max="8" width="19.5703125" style="30" bestFit="1" customWidth="1"/>
    <col min="9" max="9" width="36.7109375" style="67" customWidth="1"/>
    <col min="10" max="16384" width="9.140625" style="30"/>
  </cols>
  <sheetData>
    <row r="1" spans="1:9" ht="34.5" thickBot="1" x14ac:dyDescent="0.55000000000000004">
      <c r="A1" s="139" t="s">
        <v>118</v>
      </c>
      <c r="B1" s="139"/>
      <c r="C1" s="139"/>
      <c r="D1" s="66"/>
    </row>
    <row r="2" spans="1:9" x14ac:dyDescent="0.25">
      <c r="A2" s="68" t="s">
        <v>16</v>
      </c>
      <c r="B2" s="140" t="str">
        <f>CONCATENATE(ExpID,"-",StnNum,"-",StnDay)</f>
        <v>KF2025-2-1</v>
      </c>
      <c r="C2" s="140"/>
      <c r="D2" s="55"/>
    </row>
    <row r="3" spans="1:9" x14ac:dyDescent="0.25">
      <c r="A3" s="69" t="s">
        <v>96</v>
      </c>
      <c r="B3" s="141"/>
      <c r="C3" s="141"/>
      <c r="D3" s="59"/>
    </row>
    <row r="4" spans="1:9" x14ac:dyDescent="0.25">
      <c r="A4" s="69" t="s">
        <v>4</v>
      </c>
      <c r="B4" s="133">
        <f>ObsDate</f>
        <v>45776</v>
      </c>
      <c r="C4" s="133"/>
      <c r="D4" s="59"/>
    </row>
    <row r="5" spans="1:9" x14ac:dyDescent="0.25">
      <c r="A5" s="70" t="s">
        <v>94</v>
      </c>
      <c r="B5" s="142"/>
      <c r="C5" s="142"/>
      <c r="D5" s="59"/>
    </row>
    <row r="6" spans="1:9" x14ac:dyDescent="0.25">
      <c r="A6" s="70" t="s">
        <v>95</v>
      </c>
      <c r="B6" s="143" t="s">
        <v>113</v>
      </c>
      <c r="C6" s="144"/>
      <c r="D6" s="59"/>
      <c r="E6" s="56"/>
      <c r="F6" s="56"/>
      <c r="G6" s="58"/>
      <c r="H6" s="57"/>
    </row>
    <row r="7" spans="1:9" ht="30" customHeight="1" thickBot="1" x14ac:dyDescent="0.3">
      <c r="A7" s="71" t="s">
        <v>15</v>
      </c>
      <c r="B7" s="136" t="s">
        <v>144</v>
      </c>
      <c r="C7" s="137"/>
      <c r="D7" s="138"/>
      <c r="F7" s="30" t="s">
        <v>119</v>
      </c>
      <c r="G7" s="30">
        <v>-18.600000000000001</v>
      </c>
    </row>
    <row r="8" spans="1:9" x14ac:dyDescent="0.25">
      <c r="F8" s="30" t="s">
        <v>120</v>
      </c>
      <c r="G8" s="30">
        <v>0.83550000000000002</v>
      </c>
    </row>
    <row r="9" spans="1:9" ht="15.75" thickBot="1" x14ac:dyDescent="0.3">
      <c r="A9" s="32" t="s">
        <v>121</v>
      </c>
    </row>
    <row r="10" spans="1:9" x14ac:dyDescent="0.25">
      <c r="A10" s="72" t="s">
        <v>102</v>
      </c>
      <c r="B10" s="73">
        <v>0</v>
      </c>
      <c r="F10" s="74" t="s">
        <v>122</v>
      </c>
      <c r="G10" s="75" t="s">
        <v>123</v>
      </c>
      <c r="H10" s="75" t="s">
        <v>124</v>
      </c>
      <c r="I10" s="76" t="s">
        <v>13</v>
      </c>
    </row>
    <row r="11" spans="1:9" x14ac:dyDescent="0.25">
      <c r="A11" s="77" t="s">
        <v>101</v>
      </c>
      <c r="B11" s="78">
        <v>9.5</v>
      </c>
      <c r="F11" s="79"/>
      <c r="G11" s="80"/>
      <c r="H11" s="81"/>
      <c r="I11" s="82"/>
    </row>
    <row r="12" spans="1:9" x14ac:dyDescent="0.25">
      <c r="A12" s="77" t="s">
        <v>125</v>
      </c>
      <c r="B12" s="78"/>
      <c r="F12" s="79"/>
      <c r="G12" s="81"/>
      <c r="H12" s="83"/>
      <c r="I12" s="84"/>
    </row>
    <row r="13" spans="1:9" x14ac:dyDescent="0.25">
      <c r="A13" s="77" t="s">
        <v>100</v>
      </c>
      <c r="B13" s="78"/>
      <c r="F13" s="79"/>
      <c r="G13" s="81"/>
      <c r="H13" s="81"/>
      <c r="I13" s="84"/>
    </row>
    <row r="14" spans="1:9" ht="15.75" thickBot="1" x14ac:dyDescent="0.3">
      <c r="A14" s="85" t="s">
        <v>126</v>
      </c>
      <c r="B14" s="86"/>
      <c r="F14" s="79"/>
      <c r="G14" s="81"/>
      <c r="H14" s="81"/>
      <c r="I14" s="84"/>
    </row>
    <row r="15" spans="1:9" x14ac:dyDescent="0.25">
      <c r="F15" s="79"/>
      <c r="G15" s="81"/>
      <c r="H15" s="81"/>
      <c r="I15" s="84"/>
    </row>
    <row r="16" spans="1:9" ht="15.75" thickBot="1" x14ac:dyDescent="0.3">
      <c r="A16" s="32" t="s">
        <v>127</v>
      </c>
      <c r="F16" s="79"/>
      <c r="G16" s="81"/>
      <c r="H16" s="81"/>
      <c r="I16" s="84"/>
    </row>
    <row r="17" spans="1:12" x14ac:dyDescent="0.25">
      <c r="A17" s="72" t="s">
        <v>128</v>
      </c>
      <c r="B17" s="73"/>
      <c r="F17" s="79"/>
      <c r="G17" s="81"/>
      <c r="H17" s="81"/>
      <c r="I17" s="84"/>
    </row>
    <row r="18" spans="1:12" ht="15.75" thickBot="1" x14ac:dyDescent="0.3">
      <c r="A18" s="13" t="s">
        <v>129</v>
      </c>
      <c r="B18" s="87">
        <f>POWER(B17/2,2)*3.14</f>
        <v>0</v>
      </c>
      <c r="F18" s="79"/>
      <c r="G18" s="81"/>
      <c r="H18" s="81"/>
      <c r="I18" s="84"/>
    </row>
    <row r="19" spans="1:12" ht="15.75" thickBot="1" x14ac:dyDescent="0.3">
      <c r="B19" s="88"/>
      <c r="F19" s="89"/>
      <c r="G19" s="90"/>
      <c r="H19" s="90"/>
      <c r="I19" s="91"/>
    </row>
    <row r="21" spans="1:12" ht="15.75" thickBot="1" x14ac:dyDescent="0.3"/>
    <row r="22" spans="1:12" s="96" customFormat="1" ht="45.75" thickBot="1" x14ac:dyDescent="0.3">
      <c r="A22" s="92" t="s">
        <v>130</v>
      </c>
      <c r="B22" s="93" t="s">
        <v>131</v>
      </c>
      <c r="C22" s="93" t="s">
        <v>132</v>
      </c>
      <c r="D22" s="93" t="s">
        <v>133</v>
      </c>
      <c r="E22" s="93" t="s">
        <v>134</v>
      </c>
      <c r="F22" s="93" t="s">
        <v>135</v>
      </c>
      <c r="G22" s="93" t="s">
        <v>136</v>
      </c>
      <c r="H22" s="93" t="s">
        <v>137</v>
      </c>
      <c r="I22" s="94" t="s">
        <v>13</v>
      </c>
      <c r="J22" s="95" t="s">
        <v>138</v>
      </c>
      <c r="K22" s="95" t="s">
        <v>139</v>
      </c>
      <c r="L22" s="95" t="s">
        <v>140</v>
      </c>
    </row>
    <row r="23" spans="1:12" x14ac:dyDescent="0.25">
      <c r="A23" s="97">
        <v>0</v>
      </c>
      <c r="B23" s="97">
        <v>5</v>
      </c>
      <c r="C23" s="98" t="s">
        <v>142</v>
      </c>
      <c r="D23" s="98">
        <v>216.48</v>
      </c>
      <c r="E23" s="99">
        <v>9.4</v>
      </c>
      <c r="F23" s="97"/>
      <c r="G23" s="97">
        <f>(A23+B23)/2</f>
        <v>2.5</v>
      </c>
      <c r="H23" s="98">
        <f>0.8355*D23/(D23-E23)</f>
        <v>0.87342592234885064</v>
      </c>
      <c r="I23" s="100" t="s">
        <v>141</v>
      </c>
      <c r="J23" s="30">
        <v>8.9</v>
      </c>
      <c r="K23" s="30">
        <v>15.5</v>
      </c>
      <c r="L23" s="30">
        <v>16.3</v>
      </c>
    </row>
    <row r="24" spans="1:12" x14ac:dyDescent="0.25">
      <c r="A24" s="101">
        <v>5</v>
      </c>
      <c r="B24" s="101">
        <v>9.5</v>
      </c>
      <c r="C24" s="101" t="s">
        <v>143</v>
      </c>
      <c r="D24" s="101">
        <v>176.94</v>
      </c>
      <c r="E24" s="101">
        <v>13.01</v>
      </c>
      <c r="F24" s="101"/>
      <c r="G24" s="97">
        <f t="shared" ref="G24" si="0">(A24+B24)/2</f>
        <v>7.25</v>
      </c>
      <c r="H24" s="98">
        <f t="shared" ref="H24" si="1">0.8355*D24/(D24-E24)</f>
        <v>0.90180790581345693</v>
      </c>
      <c r="I24" s="102"/>
      <c r="J24" s="30">
        <v>4.4000000000000004</v>
      </c>
      <c r="K24" s="30">
        <v>8.0299999999999994</v>
      </c>
      <c r="L24" s="30">
        <v>16.3</v>
      </c>
    </row>
    <row r="25" spans="1:12" x14ac:dyDescent="0.25">
      <c r="A25" s="101"/>
      <c r="B25" s="101"/>
      <c r="C25" s="98"/>
      <c r="D25" s="101"/>
      <c r="E25" s="101"/>
      <c r="F25" s="101"/>
      <c r="G25" s="97"/>
      <c r="H25" s="98"/>
      <c r="I25" s="102"/>
    </row>
    <row r="26" spans="1:12" x14ac:dyDescent="0.25">
      <c r="A26" s="97"/>
      <c r="B26" s="97"/>
      <c r="C26" s="101"/>
      <c r="D26" s="101"/>
      <c r="E26" s="101"/>
      <c r="F26" s="101"/>
      <c r="G26" s="97"/>
      <c r="H26" s="98"/>
      <c r="I26" s="102"/>
    </row>
    <row r="27" spans="1:12" x14ac:dyDescent="0.25">
      <c r="A27" s="101"/>
      <c r="B27" s="101"/>
      <c r="C27" s="98"/>
      <c r="D27" s="101"/>
      <c r="E27" s="101"/>
      <c r="F27" s="101"/>
      <c r="G27" s="97"/>
      <c r="H27" s="98"/>
      <c r="I27" s="102"/>
    </row>
    <row r="28" spans="1:12" x14ac:dyDescent="0.25">
      <c r="A28" s="101"/>
      <c r="B28" s="101"/>
      <c r="C28" s="101"/>
      <c r="D28" s="101"/>
      <c r="E28" s="101"/>
      <c r="F28" s="101"/>
      <c r="G28" s="97"/>
      <c r="H28" s="98"/>
      <c r="I28" s="102"/>
    </row>
    <row r="29" spans="1:12" x14ac:dyDescent="0.25">
      <c r="A29" s="97"/>
      <c r="B29" s="97"/>
      <c r="C29" s="98"/>
      <c r="D29" s="101"/>
      <c r="E29" s="101"/>
      <c r="F29" s="101"/>
      <c r="G29" s="97"/>
      <c r="H29" s="98"/>
      <c r="I29" s="102"/>
    </row>
    <row r="30" spans="1:12" x14ac:dyDescent="0.25">
      <c r="A30" s="101"/>
      <c r="B30" s="101"/>
      <c r="C30" s="98"/>
      <c r="D30" s="101"/>
      <c r="E30" s="101"/>
      <c r="F30" s="101"/>
      <c r="G30" s="97"/>
      <c r="H30" s="98"/>
      <c r="I30" s="102"/>
    </row>
    <row r="31" spans="1:12" x14ac:dyDescent="0.25">
      <c r="A31" s="101"/>
      <c r="B31" s="101"/>
      <c r="C31" s="101"/>
      <c r="D31" s="101"/>
      <c r="E31" s="101"/>
      <c r="F31" s="101"/>
      <c r="G31" s="97"/>
      <c r="H31" s="98"/>
      <c r="I31" s="102"/>
    </row>
    <row r="32" spans="1:12" x14ac:dyDescent="0.25">
      <c r="A32" s="97"/>
      <c r="B32" s="97"/>
      <c r="C32" s="98"/>
      <c r="D32" s="101"/>
      <c r="E32" s="101"/>
      <c r="F32" s="101"/>
      <c r="G32" s="97"/>
      <c r="H32" s="98"/>
      <c r="I32" s="102"/>
    </row>
    <row r="33" spans="1:9" x14ac:dyDescent="0.25">
      <c r="A33" s="101"/>
      <c r="B33" s="101"/>
      <c r="C33" s="101"/>
      <c r="D33" s="101"/>
      <c r="E33" s="101"/>
      <c r="F33" s="101"/>
      <c r="G33" s="101"/>
      <c r="H33" s="101"/>
      <c r="I33" s="102"/>
    </row>
    <row r="34" spans="1:9" x14ac:dyDescent="0.25">
      <c r="A34" s="101"/>
      <c r="B34" s="101"/>
      <c r="C34" s="101"/>
      <c r="D34" s="101"/>
      <c r="E34" s="101"/>
      <c r="F34" s="101"/>
      <c r="G34" s="101"/>
      <c r="H34" s="101"/>
      <c r="I34" s="102"/>
    </row>
    <row r="35" spans="1:9" x14ac:dyDescent="0.25">
      <c r="A35" s="101"/>
      <c r="B35" s="101"/>
      <c r="C35" s="101"/>
      <c r="D35" s="101"/>
      <c r="E35" s="101"/>
      <c r="F35" s="101"/>
      <c r="G35" s="101"/>
      <c r="H35" s="101"/>
      <c r="I35" s="102"/>
    </row>
    <row r="36" spans="1:9" x14ac:dyDescent="0.25">
      <c r="A36" s="101"/>
      <c r="B36" s="101"/>
      <c r="C36" s="101"/>
      <c r="D36" s="101"/>
      <c r="E36" s="101"/>
      <c r="F36" s="101"/>
      <c r="G36" s="101"/>
      <c r="H36" s="101"/>
      <c r="I36" s="102"/>
    </row>
    <row r="37" spans="1:9" x14ac:dyDescent="0.25">
      <c r="A37" s="101"/>
      <c r="B37" s="101"/>
      <c r="C37" s="101"/>
      <c r="D37" s="101"/>
      <c r="E37" s="101"/>
      <c r="F37" s="101"/>
      <c r="G37" s="101"/>
      <c r="H37" s="101"/>
      <c r="I37" s="102"/>
    </row>
    <row r="38" spans="1:9" x14ac:dyDescent="0.25">
      <c r="A38" s="101"/>
      <c r="B38" s="101"/>
      <c r="C38" s="101"/>
      <c r="D38" s="101"/>
      <c r="E38" s="101"/>
      <c r="F38" s="101"/>
      <c r="G38" s="101"/>
      <c r="H38" s="101"/>
      <c r="I38" s="102"/>
    </row>
    <row r="39" spans="1:9" x14ac:dyDescent="0.25">
      <c r="A39" s="101"/>
      <c r="B39" s="101"/>
      <c r="C39" s="101"/>
      <c r="D39" s="101"/>
      <c r="E39" s="101"/>
      <c r="F39" s="101"/>
      <c r="G39" s="101"/>
      <c r="H39" s="101"/>
      <c r="I39" s="102"/>
    </row>
    <row r="40" spans="1:9" x14ac:dyDescent="0.25">
      <c r="A40" s="101"/>
      <c r="B40" s="101"/>
      <c r="C40" s="101"/>
      <c r="D40" s="101"/>
      <c r="E40" s="101"/>
      <c r="F40" s="101"/>
      <c r="G40" s="101"/>
      <c r="H40" s="101"/>
      <c r="I40" s="102"/>
    </row>
    <row r="41" spans="1:9" x14ac:dyDescent="0.25">
      <c r="A41" s="101"/>
      <c r="B41" s="101"/>
      <c r="C41" s="101"/>
      <c r="D41" s="101"/>
      <c r="E41" s="101"/>
      <c r="F41" s="101"/>
      <c r="G41" s="101"/>
      <c r="H41" s="101"/>
      <c r="I41" s="102"/>
    </row>
  </sheetData>
  <mergeCells count="7">
    <mergeCell ref="B7:D7"/>
    <mergeCell ref="A1:C1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66" fitToHeight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RowHeight="15" x14ac:dyDescent="0.25"/>
  <cols>
    <col min="1" max="1" width="22.7109375" bestFit="1" customWidth="1"/>
    <col min="2" max="2" width="24.7109375" bestFit="1" customWidth="1"/>
    <col min="3" max="3" width="62.28515625" bestFit="1" customWidth="1"/>
    <col min="4" max="4" width="14.42578125" bestFit="1" customWidth="1"/>
    <col min="5" max="5" width="12.42578125" customWidth="1"/>
    <col min="7" max="15" width="9.140625" style="2"/>
  </cols>
  <sheetData>
    <row r="1" spans="1:15" s="1" customFormat="1" x14ac:dyDescent="0.25">
      <c r="A1" s="3" t="s">
        <v>18</v>
      </c>
      <c r="B1" s="3" t="s">
        <v>19</v>
      </c>
      <c r="C1" s="3" t="s">
        <v>11</v>
      </c>
      <c r="D1" s="3" t="s">
        <v>72</v>
      </c>
      <c r="E1" s="3" t="s">
        <v>80</v>
      </c>
      <c r="F1" s="3" t="s">
        <v>110</v>
      </c>
      <c r="G1" s="17"/>
      <c r="H1" s="17"/>
      <c r="I1" s="17"/>
      <c r="J1" s="17"/>
      <c r="K1" s="2"/>
      <c r="L1" s="2"/>
      <c r="M1" s="2"/>
      <c r="N1" s="2"/>
      <c r="O1" s="2"/>
    </row>
    <row r="2" spans="1:15" x14ac:dyDescent="0.25">
      <c r="A2" t="s">
        <v>43</v>
      </c>
      <c r="B2" t="s">
        <v>20</v>
      </c>
      <c r="C2" t="s">
        <v>12</v>
      </c>
      <c r="D2" t="s">
        <v>73</v>
      </c>
      <c r="E2" t="s">
        <v>81</v>
      </c>
      <c r="F2" t="s">
        <v>111</v>
      </c>
    </row>
    <row r="3" spans="1:15" x14ac:dyDescent="0.25">
      <c r="A3" t="s">
        <v>44</v>
      </c>
      <c r="B3" t="s">
        <v>21</v>
      </c>
      <c r="C3" t="s">
        <v>22</v>
      </c>
      <c r="D3" t="s">
        <v>74</v>
      </c>
      <c r="E3" t="s">
        <v>82</v>
      </c>
      <c r="F3" t="s">
        <v>112</v>
      </c>
    </row>
    <row r="4" spans="1:15" x14ac:dyDescent="0.25">
      <c r="A4" t="s">
        <v>45</v>
      </c>
      <c r="B4" t="s">
        <v>10</v>
      </c>
      <c r="C4" t="s">
        <v>23</v>
      </c>
      <c r="D4" t="s">
        <v>75</v>
      </c>
      <c r="E4" t="s">
        <v>83</v>
      </c>
    </row>
    <row r="5" spans="1:15" x14ac:dyDescent="0.25">
      <c r="A5" t="s">
        <v>46</v>
      </c>
      <c r="B5" t="s">
        <v>24</v>
      </c>
      <c r="C5" t="s">
        <v>25</v>
      </c>
      <c r="D5" t="s">
        <v>76</v>
      </c>
      <c r="E5" t="s">
        <v>84</v>
      </c>
    </row>
    <row r="6" spans="1:15" x14ac:dyDescent="0.25">
      <c r="A6" t="s">
        <v>47</v>
      </c>
      <c r="C6" t="s">
        <v>26</v>
      </c>
      <c r="D6" t="s">
        <v>77</v>
      </c>
      <c r="E6" t="s">
        <v>85</v>
      </c>
    </row>
    <row r="7" spans="1:15" x14ac:dyDescent="0.25">
      <c r="A7" t="s">
        <v>48</v>
      </c>
      <c r="C7" t="s">
        <v>27</v>
      </c>
      <c r="D7" t="s">
        <v>78</v>
      </c>
      <c r="E7" t="s">
        <v>86</v>
      </c>
    </row>
    <row r="8" spans="1:15" x14ac:dyDescent="0.25">
      <c r="A8" t="s">
        <v>49</v>
      </c>
      <c r="C8" t="s">
        <v>28</v>
      </c>
      <c r="D8" t="s">
        <v>79</v>
      </c>
      <c r="E8" t="s">
        <v>87</v>
      </c>
    </row>
    <row r="9" spans="1:15" x14ac:dyDescent="0.25">
      <c r="A9" t="s">
        <v>50</v>
      </c>
      <c r="C9" t="s">
        <v>29</v>
      </c>
      <c r="D9" t="s">
        <v>93</v>
      </c>
      <c r="E9" t="s">
        <v>88</v>
      </c>
    </row>
    <row r="10" spans="1:15" x14ac:dyDescent="0.25">
      <c r="A10" t="s">
        <v>51</v>
      </c>
      <c r="C10" t="s">
        <v>30</v>
      </c>
      <c r="E10" t="s">
        <v>89</v>
      </c>
    </row>
    <row r="11" spans="1:15" x14ac:dyDescent="0.25">
      <c r="A11" t="s">
        <v>52</v>
      </c>
      <c r="C11" t="s">
        <v>31</v>
      </c>
      <c r="E11" t="s">
        <v>90</v>
      </c>
    </row>
    <row r="12" spans="1:15" x14ac:dyDescent="0.25">
      <c r="A12" t="s">
        <v>53</v>
      </c>
      <c r="C12" t="s">
        <v>32</v>
      </c>
      <c r="E12" t="s">
        <v>91</v>
      </c>
    </row>
    <row r="13" spans="1:15" x14ac:dyDescent="0.25">
      <c r="A13" t="s">
        <v>54</v>
      </c>
      <c r="C13" t="s">
        <v>33</v>
      </c>
      <c r="E13" t="s">
        <v>92</v>
      </c>
    </row>
    <row r="14" spans="1:15" x14ac:dyDescent="0.25">
      <c r="A14" s="1" t="s">
        <v>5</v>
      </c>
      <c r="C14" t="s">
        <v>34</v>
      </c>
    </row>
    <row r="15" spans="1:15" x14ac:dyDescent="0.25">
      <c r="A15" s="1" t="s">
        <v>66</v>
      </c>
      <c r="C15" t="s">
        <v>35</v>
      </c>
    </row>
    <row r="16" spans="1:15" x14ac:dyDescent="0.25">
      <c r="A16" s="1" t="s">
        <v>65</v>
      </c>
      <c r="C16" t="s">
        <v>36</v>
      </c>
    </row>
    <row r="17" spans="1:6" x14ac:dyDescent="0.25">
      <c r="A17" t="s">
        <v>55</v>
      </c>
    </row>
    <row r="18" spans="1:6" x14ac:dyDescent="0.25">
      <c r="A18" t="s">
        <v>56</v>
      </c>
    </row>
    <row r="19" spans="1:6" x14ac:dyDescent="0.25">
      <c r="A19" t="s">
        <v>57</v>
      </c>
    </row>
    <row r="20" spans="1:6" x14ac:dyDescent="0.25">
      <c r="A20" t="s">
        <v>58</v>
      </c>
    </row>
    <row r="21" spans="1:6" x14ac:dyDescent="0.25">
      <c r="A21" t="s">
        <v>59</v>
      </c>
    </row>
    <row r="22" spans="1:6" x14ac:dyDescent="0.25">
      <c r="A22" t="s">
        <v>60</v>
      </c>
    </row>
    <row r="23" spans="1:6" x14ac:dyDescent="0.25">
      <c r="A23" t="s">
        <v>61</v>
      </c>
    </row>
    <row r="24" spans="1:6" x14ac:dyDescent="0.25">
      <c r="A24" t="s">
        <v>62</v>
      </c>
    </row>
    <row r="25" spans="1:6" x14ac:dyDescent="0.25">
      <c r="A25" t="s">
        <v>63</v>
      </c>
    </row>
    <row r="26" spans="1:6" x14ac:dyDescent="0.25">
      <c r="A26" t="s">
        <v>64</v>
      </c>
    </row>
    <row r="27" spans="1:6" x14ac:dyDescent="0.25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Station Overview</vt:lpstr>
      <vt:lpstr>Thickness Drilling</vt:lpstr>
      <vt:lpstr>Density Core</vt:lpstr>
      <vt:lpstr>Lists</vt:lpstr>
      <vt:lpstr>asdfasdf</vt:lpstr>
      <vt:lpstr>ExpID</vt:lpstr>
      <vt:lpstr>GeneralConditions</vt:lpstr>
      <vt:lpstr>ObsDate</vt:lpstr>
      <vt:lpstr>'Density Core'!Print_Area</vt:lpstr>
      <vt:lpstr>'Station Overview'!Print_Area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2011-02-07T12:20:41Z</cp:lastPrinted>
  <dcterms:created xsi:type="dcterms:W3CDTF">2011-01-27T20:27:49Z</dcterms:created>
  <dcterms:modified xsi:type="dcterms:W3CDTF">2026-05-24T12:29:56Z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