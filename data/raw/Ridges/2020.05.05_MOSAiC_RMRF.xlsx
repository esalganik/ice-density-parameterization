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salg001\Documents\MATLAB\Density parametrization\Ridges\Data\"/>
    </mc:Choice>
  </mc:AlternateContent>
  <xr:revisionPtr revIDLastSave="0" documentId="13_ncr:1_{87C5AC12-B1F4-4C6A-BC16-CA3F0DEFF642}" xr6:coauthVersionLast="47" xr6:coauthVersionMax="47" xr10:uidLastSave="{00000000-0000-0000-0000-000000000000}"/>
  <bookViews>
    <workbookView xWindow="-105" yWindow="0" windowWidth="19410" windowHeight="20985" tabRatio="932" xr2:uid="{00000000-000D-0000-FFFF-FFFF00000000}"/>
  </bookViews>
  <sheets>
    <sheet name="Station Overview" sheetId="1" r:id="rId1"/>
    <sheet name="Salinity Core" sheetId="4" r:id="rId2"/>
    <sheet name="Temperature Core" sheetId="5" r:id="rId3"/>
    <sheet name="Density Core" sheetId="14" r:id="rId4"/>
  </sheets>
  <externalReferences>
    <externalReference r:id="rId5"/>
    <externalReference r:id="rId6"/>
  </externalReferences>
  <definedNames>
    <definedName name="asdfasdf">'Station Overview'!$B$16</definedName>
    <definedName name="EM_IDs">OFFSET([1]Lists!$A$14:$A$26,0,0,[2]StationOverview!$J$8)</definedName>
    <definedName name="ExpID" localSheetId="3">'[1]Station Overview'!$B$4</definedName>
    <definedName name="ExpID">'Station Overview'!$B$4</definedName>
    <definedName name="GeneralConditions" localSheetId="3">[1]Lists!$C$2:$C$16</definedName>
    <definedName name="GeneralConditions">#REF!</definedName>
    <definedName name="ObsDate" localSheetId="3">'[1]Station Overview'!$B$17</definedName>
    <definedName name="ObsDate">'Station Overview'!$B$17</definedName>
    <definedName name="_xlnm.Print_Area" localSheetId="3">'Density Core'!$A$1:$I$36</definedName>
    <definedName name="_xlnm.Print_Area" localSheetId="1">'Salinity Core'!$A$1:$N$41</definedName>
    <definedName name="_xlnm.Print_Area" localSheetId="0">'Station Overview'!$A$1:$F$37</definedName>
    <definedName name="_xlnm.Print_Area" localSheetId="2">'Temperature Core'!$A$1:$H$46</definedName>
    <definedName name="SnowHardness" localSheetId="3">[1]Lists!$D$2:$D$9</definedName>
    <definedName name="SnowHardness">#REF!</definedName>
    <definedName name="SnowType" localSheetId="3">[1]Lists!$E$2:$E$13</definedName>
    <definedName name="SnowType">#REF!</definedName>
    <definedName name="StationTypes" localSheetId="3">[1]Lists!$B$2:$B$5</definedName>
    <definedName name="StationTypes">#REF!</definedName>
    <definedName name="StnDay" localSheetId="3">'[1]Station Overview'!$B$6</definedName>
    <definedName name="StnDay">'Station Overview'!$B$6</definedName>
    <definedName name="StnNum" localSheetId="3">'[1]Station Overview'!$B$5</definedName>
    <definedName name="StnNum">'Station Overview'!$B$5</definedName>
    <definedName name="TimeZones" localSheetId="3">[1]Lists!$A$2:$A$26</definedName>
    <definedName name="TimeZones">#REF!</definedName>
    <definedName name="Yes_No" localSheetId="3">[1]Lists!$F$2:$F$3</definedName>
    <definedName name="Yes_N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3" i="14" l="1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24" i="14"/>
  <c r="G25" i="14"/>
  <c r="G26" i="14"/>
  <c r="G27" i="14"/>
  <c r="G28" i="14"/>
  <c r="G29" i="14"/>
  <c r="G30" i="14"/>
  <c r="G31" i="14"/>
  <c r="G32" i="14"/>
  <c r="G23" i="14" l="1"/>
  <c r="B18" i="14" l="1"/>
  <c r="B4" i="4" l="1"/>
  <c r="B2" i="4"/>
</calcChain>
</file>

<file path=xl/sharedStrings.xml><?xml version="1.0" encoding="utf-8"?>
<sst xmlns="http://schemas.openxmlformats.org/spreadsheetml/2006/main" count="143" uniqueCount="88">
  <si>
    <t>Ice Station Daily Report</t>
  </si>
  <si>
    <t>Ice Station Name</t>
  </si>
  <si>
    <t>Expedition ID</t>
  </si>
  <si>
    <t>Station number</t>
  </si>
  <si>
    <t>Day at station</t>
  </si>
  <si>
    <t>Observer</t>
  </si>
  <si>
    <t>Station Description</t>
  </si>
  <si>
    <t>Station type</t>
  </si>
  <si>
    <t>General conditions</t>
  </si>
  <si>
    <t>Comments</t>
  </si>
  <si>
    <t>Starting Position</t>
  </si>
  <si>
    <t>Starting Date</t>
  </si>
  <si>
    <t>Starting Time</t>
  </si>
  <si>
    <t>Degrees</t>
  </si>
  <si>
    <t>Minutes</t>
  </si>
  <si>
    <t>Seconds</t>
  </si>
  <si>
    <t>Starting Latitude</t>
  </si>
  <si>
    <t>Starting Longitude</t>
  </si>
  <si>
    <t>Ending Position</t>
  </si>
  <si>
    <t>Ending Date</t>
  </si>
  <si>
    <t>Ending Time</t>
  </si>
  <si>
    <t>Ending Latitude</t>
  </si>
  <si>
    <t>Ending Longitude</t>
  </si>
  <si>
    <t>Time zone used</t>
  </si>
  <si>
    <t>UTC</t>
  </si>
  <si>
    <t>Exp. ID</t>
  </si>
  <si>
    <t>Stn. Number</t>
  </si>
  <si>
    <t>Explanation</t>
  </si>
  <si>
    <t>Associate with station</t>
  </si>
  <si>
    <t>Station</t>
  </si>
  <si>
    <t>Site</t>
  </si>
  <si>
    <t>Date</t>
  </si>
  <si>
    <t>Time</t>
  </si>
  <si>
    <t>General comments</t>
  </si>
  <si>
    <t>Freeboard [cm]</t>
  </si>
  <si>
    <t>Snow Thickness [cm]</t>
  </si>
  <si>
    <t>Ice Thickness [cm]</t>
  </si>
  <si>
    <t>Salinity Core</t>
  </si>
  <si>
    <t>Thickness:</t>
  </si>
  <si>
    <t>Bottom to Snow surface [cm]</t>
  </si>
  <si>
    <t>Total core length [cm]</t>
  </si>
  <si>
    <t>Bottom to Ice surface [cm]</t>
  </si>
  <si>
    <t># of pieces</t>
  </si>
  <si>
    <t>Bottom to Water [cm]</t>
  </si>
  <si>
    <t>Sum length of pieces</t>
  </si>
  <si>
    <t>Box Number</t>
  </si>
  <si>
    <t>Top [cm]</t>
  </si>
  <si>
    <t>Bottom [cm]</t>
  </si>
  <si>
    <t>Salinity</t>
  </si>
  <si>
    <t>Conductivity [mS/cm]</t>
  </si>
  <si>
    <t>Sample Temperature [°C]</t>
  </si>
  <si>
    <t>Section Length [cm]</t>
  </si>
  <si>
    <t>Density [kg/m³]</t>
  </si>
  <si>
    <t>Core piece section #</t>
  </si>
  <si>
    <t>At depth [cm]</t>
  </si>
  <si>
    <t>Lenght og piece [cm]</t>
  </si>
  <si>
    <t>Temperature Core</t>
  </si>
  <si>
    <t>Core Kept for Texture Analasis?</t>
  </si>
  <si>
    <t>No</t>
  </si>
  <si>
    <t>Temperatures:</t>
  </si>
  <si>
    <t>Air temp 1m [°C]</t>
  </si>
  <si>
    <t>Surface temp [°C]</t>
  </si>
  <si>
    <t>Snow-Ice temp [°C]</t>
  </si>
  <si>
    <t>Water temp [°C]</t>
  </si>
  <si>
    <t>Ice depth (from top) [cm]</t>
  </si>
  <si>
    <t>Temperature [°C]</t>
  </si>
  <si>
    <t>Depth at top [cm]</t>
  </si>
  <si>
    <t>Depth at bottom [cm]</t>
  </si>
  <si>
    <t>Lenght of piece [cm]</t>
  </si>
  <si>
    <t>Density Core</t>
  </si>
  <si>
    <t>temperature lab</t>
  </si>
  <si>
    <t>density parafine</t>
  </si>
  <si>
    <t>Under Water [cm]</t>
  </si>
  <si>
    <t>Total Thickness [cm]</t>
  </si>
  <si>
    <t>Sampling box:</t>
  </si>
  <si>
    <t>Core ø [cm]</t>
  </si>
  <si>
    <r>
      <t>Cross section [cm</t>
    </r>
    <r>
      <rPr>
        <sz val="11"/>
        <color theme="1"/>
        <rFont val="Arial"/>
        <family val="2"/>
      </rPr>
      <t>²</t>
    </r>
    <r>
      <rPr>
        <sz val="11"/>
        <color rgb="FF000000"/>
        <rFont val="Calibri"/>
        <family val="2"/>
        <charset val="1"/>
      </rPr>
      <t>]</t>
    </r>
  </si>
  <si>
    <t>Box #</t>
  </si>
  <si>
    <t xml:space="preserve">Weight in the air [g] </t>
  </si>
  <si>
    <t xml:space="preserve">Weight in the parafine [g] </t>
  </si>
  <si>
    <t>salinity bag</t>
  </si>
  <si>
    <t>Mean depth [cm]</t>
  </si>
  <si>
    <r>
      <t>Density [g/cm</t>
    </r>
    <r>
      <rPr>
        <b/>
        <sz val="11"/>
        <color theme="1"/>
        <rFont val="Calibri"/>
        <family val="2"/>
      </rPr>
      <t>³]</t>
    </r>
  </si>
  <si>
    <r>
      <t>Sample Temperature [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>C]</t>
    </r>
  </si>
  <si>
    <t>MOSAiC</t>
  </si>
  <si>
    <t>Steven Fons</t>
  </si>
  <si>
    <t>RMRF</t>
  </si>
  <si>
    <t>05.05.2020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</si>
</sst>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hh:mm;@"/>
    <numFmt numFmtId="165" formatCode="0.0000"/>
    <numFmt numFmtId="166" formatCode="0#"/>
    <numFmt numFmtId="167" formatCode="dd/mm/yyyy;@"/>
    <numFmt numFmtId="168" formatCode="0&quot; cm&quot;"/>
    <numFmt numFmtId="169" formatCode="_ * #,##0.00_ ;_ * \-#,##0.00_ ;_ * \-??_ ;_ @_ "/>
    <numFmt numFmtId="170" formatCode="0.0&quot; °C&quot;"/>
    <numFmt numFmtId="171" formatCode="&quot;Yes&quot;;&quot;Yes&quot;;&quot;No&quot;"/>
    <numFmt numFmtId="172" formatCode="0&quot; cm²&quot;"/>
  </numFmts>
  <fonts count="21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24"/>
      <color rgb="FF9C6500"/>
      <name val="Calibri"/>
      <family val="2"/>
      <charset val="1"/>
    </font>
    <font>
      <sz val="11"/>
      <color rgb="FF9C6500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6"/>
      <color rgb="FF9C65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/>
      <sz val="26"/>
      <color rgb="FF9C6500"/>
      <name val="Calibri"/>
      <family val="2"/>
      <charset val="1"/>
    </font>
    <font>
      <b/>
      <sz val="11"/>
      <color rgb="FFFA7D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26"/>
      <color rgb="FF9C65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charset val="1"/>
    </font>
    <font>
      <sz val="11"/>
      <color rgb="FFFF0000"/>
      <name val="Calibri"/>
      <family val="2"/>
      <scheme val="minor"/>
    </font>
    <font>
      <sz val="1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EB9C"/>
        <bgColor rgb="FFFCD5B5"/>
      </patternFill>
    </fill>
    <fill>
      <patternFill patternType="solid">
        <fgColor rgb="FFF2F2F2"/>
        <bgColor rgb="FFFFFFFF"/>
      </patternFill>
    </fill>
    <fill>
      <patternFill patternType="solid">
        <fgColor rgb="FFBFBFBF"/>
        <bgColor rgb="FFD9D9D9"/>
      </patternFill>
    </fill>
    <fill>
      <patternFill patternType="solid">
        <fgColor rgb="FFFCD5B5"/>
        <bgColor rgb="FFFFEB9C"/>
      </patternFill>
    </fill>
    <fill>
      <patternFill patternType="solid">
        <fgColor rgb="FFFFFFFF"/>
        <bgColor rgb="FFF2F2F2"/>
      </patternFill>
    </fill>
    <fill>
      <patternFill patternType="solid">
        <fgColor rgb="FFD9D9D9"/>
        <bgColor rgb="FFFCD5B5"/>
      </patternFill>
    </fill>
    <fill>
      <patternFill patternType="solid">
        <fgColor rgb="FFFFEB9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D9D9D9"/>
      </patternFill>
    </fill>
  </fills>
  <borders count="3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6">
    <xf numFmtId="0" fontId="0" fillId="0" borderId="0"/>
    <xf numFmtId="169" fontId="10" fillId="0" borderId="0" applyBorder="0" applyProtection="0"/>
    <xf numFmtId="0" fontId="3" fillId="2" borderId="0" applyBorder="0" applyProtection="0"/>
    <xf numFmtId="0" fontId="9" fillId="3" borderId="1" applyProtection="0"/>
    <xf numFmtId="0" fontId="12" fillId="8" borderId="0" applyNumberFormat="0" applyBorder="0" applyAlignment="0" applyProtection="0"/>
    <xf numFmtId="0" fontId="1" fillId="0" borderId="0"/>
  </cellStyleXfs>
  <cellXfs count="184">
    <xf numFmtId="0" fontId="0" fillId="0" borderId="0" xfId="0"/>
    <xf numFmtId="0" fontId="0" fillId="6" borderId="5" xfId="0" applyFill="1" applyBorder="1" applyAlignment="1" applyProtection="1">
      <alignment horizontal="left"/>
      <protection locked="0"/>
    </xf>
    <xf numFmtId="0" fontId="0" fillId="4" borderId="0" xfId="0" applyFill="1"/>
    <xf numFmtId="0" fontId="4" fillId="4" borderId="0" xfId="0" applyFont="1" applyFill="1"/>
    <xf numFmtId="0" fontId="5" fillId="4" borderId="0" xfId="2" applyFont="1" applyFill="1" applyBorder="1" applyProtection="1"/>
    <xf numFmtId="0" fontId="6" fillId="4" borderId="0" xfId="0" applyFont="1" applyFill="1"/>
    <xf numFmtId="0" fontId="0" fillId="3" borderId="2" xfId="0" applyFill="1" applyBorder="1"/>
    <xf numFmtId="0" fontId="4" fillId="4" borderId="0" xfId="0" applyFont="1" applyFill="1" applyAlignment="1">
      <alignment wrapText="1"/>
    </xf>
    <xf numFmtId="0" fontId="0" fillId="3" borderId="4" xfId="0" applyFill="1" applyBorder="1"/>
    <xf numFmtId="0" fontId="0" fillId="3" borderId="6" xfId="0" applyFill="1" applyBorder="1"/>
    <xf numFmtId="0" fontId="0" fillId="3" borderId="4" xfId="0" applyFill="1" applyBorder="1" applyAlignment="1">
      <alignment vertical="top"/>
    </xf>
    <xf numFmtId="0" fontId="0" fillId="3" borderId="6" xfId="0" applyFill="1" applyBorder="1" applyAlignment="1">
      <alignment vertical="top"/>
    </xf>
    <xf numFmtId="0" fontId="0" fillId="4" borderId="0" xfId="0" applyFill="1" applyAlignment="1">
      <alignment vertical="top"/>
    </xf>
    <xf numFmtId="0" fontId="0" fillId="4" borderId="0" xfId="0" applyFill="1" applyAlignment="1">
      <alignment vertical="top" wrapText="1"/>
    </xf>
    <xf numFmtId="0" fontId="0" fillId="3" borderId="8" xfId="0" applyFill="1" applyBorder="1"/>
    <xf numFmtId="0" fontId="0" fillId="4" borderId="11" xfId="0" applyFill="1" applyBorder="1"/>
    <xf numFmtId="20" fontId="0" fillId="4" borderId="11" xfId="0" applyNumberFormat="1" applyFill="1" applyBorder="1"/>
    <xf numFmtId="0" fontId="0" fillId="4" borderId="4" xfId="0" applyFill="1" applyBorder="1"/>
    <xf numFmtId="0" fontId="0" fillId="4" borderId="9" xfId="0" applyFill="1" applyBorder="1"/>
    <xf numFmtId="0" fontId="0" fillId="6" borderId="9" xfId="0" applyFill="1" applyBorder="1" applyProtection="1">
      <protection locked="0"/>
    </xf>
    <xf numFmtId="0" fontId="0" fillId="6" borderId="5" xfId="0" applyFill="1" applyBorder="1" applyProtection="1">
      <protection locked="0"/>
    </xf>
    <xf numFmtId="0" fontId="0" fillId="6" borderId="14" xfId="0" applyFill="1" applyBorder="1" applyProtection="1">
      <protection locked="0"/>
    </xf>
    <xf numFmtId="0" fontId="0" fillId="6" borderId="7" xfId="0" applyFill="1" applyBorder="1" applyProtection="1">
      <protection locked="0"/>
    </xf>
    <xf numFmtId="164" fontId="0" fillId="4" borderId="0" xfId="0" applyNumberFormat="1" applyFill="1"/>
    <xf numFmtId="20" fontId="0" fillId="4" borderId="0" xfId="0" applyNumberFormat="1" applyFill="1"/>
    <xf numFmtId="166" fontId="0" fillId="4" borderId="0" xfId="0" applyNumberFormat="1" applyFill="1"/>
    <xf numFmtId="49" fontId="0" fillId="4" borderId="0" xfId="0" applyNumberFormat="1" applyFill="1"/>
    <xf numFmtId="0" fontId="0" fillId="7" borderId="15" xfId="0" applyFill="1" applyBorder="1"/>
    <xf numFmtId="0" fontId="0" fillId="4" borderId="15" xfId="0" applyFill="1" applyBorder="1" applyAlignment="1">
      <alignment vertical="top"/>
    </xf>
    <xf numFmtId="0" fontId="6" fillId="3" borderId="16" xfId="0" applyFont="1" applyFill="1" applyBorder="1" applyAlignment="1">
      <alignment vertical="top" wrapText="1"/>
    </xf>
    <xf numFmtId="49" fontId="0" fillId="3" borderId="18" xfId="0" applyNumberFormat="1" applyFill="1" applyBorder="1" applyAlignment="1">
      <alignment wrapText="1"/>
    </xf>
    <xf numFmtId="0" fontId="0" fillId="6" borderId="13" xfId="0" applyFill="1" applyBorder="1" applyAlignment="1" applyProtection="1">
      <alignment horizontal="left" wrapText="1"/>
      <protection locked="0"/>
    </xf>
    <xf numFmtId="49" fontId="0" fillId="3" borderId="4" xfId="0" applyNumberFormat="1" applyFill="1" applyBorder="1" applyAlignment="1">
      <alignment wrapText="1"/>
    </xf>
    <xf numFmtId="49" fontId="0" fillId="3" borderId="6" xfId="0" applyNumberFormat="1" applyFill="1" applyBorder="1" applyAlignment="1">
      <alignment wrapText="1"/>
    </xf>
    <xf numFmtId="0" fontId="0" fillId="6" borderId="7" xfId="0" applyFill="1" applyBorder="1" applyAlignment="1" applyProtection="1">
      <alignment horizontal="left"/>
      <protection locked="0"/>
    </xf>
    <xf numFmtId="0" fontId="0" fillId="4" borderId="0" xfId="0" applyFill="1" applyProtection="1">
      <protection locked="0"/>
    </xf>
    <xf numFmtId="0" fontId="7" fillId="4" borderId="20" xfId="0" applyFont="1" applyFill="1" applyBorder="1" applyAlignment="1">
      <alignment vertical="top"/>
    </xf>
    <xf numFmtId="0" fontId="7" fillId="4" borderId="0" xfId="0" applyFont="1" applyFill="1" applyAlignment="1">
      <alignment vertical="top" wrapText="1"/>
    </xf>
    <xf numFmtId="0" fontId="7" fillId="4" borderId="0" xfId="0" applyFont="1" applyFill="1"/>
    <xf numFmtId="0" fontId="7" fillId="4" borderId="0" xfId="0" applyFont="1" applyFill="1" applyAlignment="1">
      <alignment horizontal="right"/>
    </xf>
    <xf numFmtId="0" fontId="7" fillId="4" borderId="21" xfId="0" applyFont="1" applyFill="1" applyBorder="1" applyAlignment="1">
      <alignment vertical="top"/>
    </xf>
    <xf numFmtId="0" fontId="0" fillId="4" borderId="0" xfId="0" applyFill="1" applyAlignment="1">
      <alignment wrapText="1"/>
    </xf>
    <xf numFmtId="168" fontId="0" fillId="6" borderId="9" xfId="0" applyNumberFormat="1" applyFill="1" applyBorder="1" applyProtection="1">
      <protection locked="0"/>
    </xf>
    <xf numFmtId="0" fontId="0" fillId="6" borderId="12" xfId="0" applyFill="1" applyBorder="1" applyProtection="1">
      <protection locked="0"/>
    </xf>
    <xf numFmtId="0" fontId="7" fillId="3" borderId="9" xfId="0" applyFont="1" applyFill="1" applyBorder="1"/>
    <xf numFmtId="0" fontId="7" fillId="4" borderId="24" xfId="0" applyFont="1" applyFill="1" applyBorder="1" applyAlignment="1">
      <alignment vertical="top"/>
    </xf>
    <xf numFmtId="0" fontId="7" fillId="4" borderId="25" xfId="0" applyFont="1" applyFill="1" applyBorder="1" applyAlignment="1">
      <alignment vertical="top"/>
    </xf>
    <xf numFmtId="0" fontId="7" fillId="3" borderId="26" xfId="0" applyFont="1" applyFill="1" applyBorder="1"/>
    <xf numFmtId="0" fontId="7" fillId="3" borderId="9" xfId="0" applyFont="1" applyFill="1" applyBorder="1" applyAlignment="1">
      <alignment vertical="top"/>
    </xf>
    <xf numFmtId="0" fontId="0" fillId="3" borderId="9" xfId="0" applyFill="1" applyBorder="1"/>
    <xf numFmtId="168" fontId="10" fillId="6" borderId="9" xfId="1" applyNumberFormat="1" applyFill="1" applyBorder="1" applyAlignment="1" applyProtection="1">
      <alignment horizontal="right"/>
      <protection locked="0"/>
    </xf>
    <xf numFmtId="168" fontId="0" fillId="3" borderId="9" xfId="0" applyNumberFormat="1" applyFill="1" applyBorder="1"/>
    <xf numFmtId="0" fontId="6" fillId="3" borderId="9" xfId="0" applyFont="1" applyFill="1" applyBorder="1" applyAlignment="1">
      <alignment horizontal="center" wrapText="1"/>
    </xf>
    <xf numFmtId="2" fontId="0" fillId="6" borderId="9" xfId="0" applyNumberFormat="1" applyFill="1" applyBorder="1" applyAlignment="1" applyProtection="1">
      <alignment horizontal="center"/>
      <protection locked="0"/>
    </xf>
    <xf numFmtId="49" fontId="0" fillId="6" borderId="9" xfId="0" applyNumberFormat="1" applyFill="1" applyBorder="1" applyAlignment="1" applyProtection="1">
      <alignment horizontal="left"/>
      <protection locked="0"/>
    </xf>
    <xf numFmtId="0" fontId="7" fillId="3" borderId="2" xfId="0" applyFont="1" applyFill="1" applyBorder="1"/>
    <xf numFmtId="0" fontId="7" fillId="3" borderId="4" xfId="0" applyFont="1" applyFill="1" applyBorder="1"/>
    <xf numFmtId="0" fontId="7" fillId="3" borderId="22" xfId="0" applyFont="1" applyFill="1" applyBorder="1"/>
    <xf numFmtId="49" fontId="7" fillId="6" borderId="27" xfId="0" applyNumberFormat="1" applyFont="1" applyFill="1" applyBorder="1" applyAlignment="1" applyProtection="1">
      <alignment horizontal="right"/>
      <protection locked="0"/>
    </xf>
    <xf numFmtId="171" fontId="7" fillId="4" borderId="0" xfId="0" applyNumberFormat="1" applyFont="1" applyFill="1" applyAlignment="1">
      <alignment vertical="top" wrapText="1"/>
    </xf>
    <xf numFmtId="0" fontId="7" fillId="3" borderId="6" xfId="0" applyFont="1" applyFill="1" applyBorder="1" applyAlignment="1">
      <alignment vertical="top"/>
    </xf>
    <xf numFmtId="168" fontId="0" fillId="6" borderId="3" xfId="0" applyNumberFormat="1" applyFill="1" applyBorder="1" applyAlignment="1" applyProtection="1">
      <alignment horizontal="right"/>
      <protection locked="0"/>
    </xf>
    <xf numFmtId="168" fontId="0" fillId="6" borderId="5" xfId="0" applyNumberFormat="1" applyFill="1" applyBorder="1" applyAlignment="1" applyProtection="1">
      <alignment horizontal="right"/>
      <protection locked="0"/>
    </xf>
    <xf numFmtId="170" fontId="0" fillId="6" borderId="7" xfId="0" applyNumberFormat="1" applyFill="1" applyBorder="1" applyAlignment="1" applyProtection="1">
      <alignment horizontal="right"/>
      <protection locked="0"/>
    </xf>
    <xf numFmtId="168" fontId="0" fillId="6" borderId="19" xfId="0" applyNumberFormat="1" applyFill="1" applyBorder="1" applyAlignment="1" applyProtection="1">
      <alignment horizontal="right"/>
      <protection locked="0"/>
    </xf>
    <xf numFmtId="0" fontId="0" fillId="4" borderId="19" xfId="0" applyFill="1" applyBorder="1"/>
    <xf numFmtId="0" fontId="0" fillId="4" borderId="3" xfId="0" applyFill="1" applyBorder="1"/>
    <xf numFmtId="1" fontId="0" fillId="6" borderId="9" xfId="0" applyNumberFormat="1" applyFill="1" applyBorder="1" applyAlignment="1" applyProtection="1">
      <alignment horizontal="right"/>
      <protection locked="0"/>
    </xf>
    <xf numFmtId="0" fontId="0" fillId="4" borderId="5" xfId="0" applyFill="1" applyBorder="1"/>
    <xf numFmtId="0" fontId="0" fillId="4" borderId="14" xfId="0" applyFill="1" applyBorder="1"/>
    <xf numFmtId="168" fontId="0" fillId="3" borderId="7" xfId="0" applyNumberFormat="1" applyFill="1" applyBorder="1"/>
    <xf numFmtId="0" fontId="6" fillId="3" borderId="15" xfId="0" applyFont="1" applyFill="1" applyBorder="1"/>
    <xf numFmtId="0" fontId="6" fillId="3" borderId="16" xfId="0" applyFont="1" applyFill="1" applyBorder="1"/>
    <xf numFmtId="0" fontId="6" fillId="3" borderId="17" xfId="0" applyFont="1" applyFill="1" applyBorder="1"/>
    <xf numFmtId="0" fontId="0" fillId="6" borderId="12" xfId="0" applyFill="1" applyBorder="1" applyAlignment="1" applyProtection="1">
      <alignment horizontal="center"/>
      <protection locked="0"/>
    </xf>
    <xf numFmtId="168" fontId="0" fillId="6" borderId="12" xfId="0" applyNumberFormat="1" applyFill="1" applyBorder="1" applyAlignment="1" applyProtection="1">
      <alignment horizontal="right"/>
      <protection locked="0"/>
    </xf>
    <xf numFmtId="0" fontId="0" fillId="6" borderId="9" xfId="0" applyFill="1" applyBorder="1" applyAlignment="1" applyProtection="1">
      <alignment horizontal="center"/>
      <protection locked="0"/>
    </xf>
    <xf numFmtId="168" fontId="0" fillId="6" borderId="9" xfId="0" applyNumberFormat="1" applyFill="1" applyBorder="1" applyAlignment="1" applyProtection="1">
      <alignment horizontal="right"/>
      <protection locked="0"/>
    </xf>
    <xf numFmtId="0" fontId="12" fillId="10" borderId="0" xfId="4" applyFill="1" applyBorder="1"/>
    <xf numFmtId="0" fontId="1" fillId="10" borderId="0" xfId="5" applyFill="1"/>
    <xf numFmtId="0" fontId="1" fillId="10" borderId="0" xfId="5" applyFill="1" applyAlignment="1">
      <alignment horizontal="left"/>
    </xf>
    <xf numFmtId="0" fontId="14" fillId="11" borderId="2" xfId="5" applyFont="1" applyFill="1" applyBorder="1"/>
    <xf numFmtId="0" fontId="14" fillId="10" borderId="20" xfId="5" applyFont="1" applyFill="1" applyBorder="1" applyAlignment="1">
      <alignment vertical="top"/>
    </xf>
    <xf numFmtId="0" fontId="14" fillId="11" borderId="4" xfId="5" applyFont="1" applyFill="1" applyBorder="1"/>
    <xf numFmtId="0" fontId="14" fillId="10" borderId="21" xfId="5" applyFont="1" applyFill="1" applyBorder="1" applyAlignment="1">
      <alignment vertical="top"/>
    </xf>
    <xf numFmtId="0" fontId="14" fillId="11" borderId="22" xfId="5" applyFont="1" applyFill="1" applyBorder="1"/>
    <xf numFmtId="0" fontId="14" fillId="10" borderId="0" xfId="5" applyFont="1" applyFill="1" applyAlignment="1">
      <alignment vertical="top" wrapText="1"/>
    </xf>
    <xf numFmtId="0" fontId="14" fillId="10" borderId="0" xfId="5" applyFont="1" applyFill="1" applyAlignment="1">
      <alignment horizontal="right"/>
    </xf>
    <xf numFmtId="0" fontId="14" fillId="10" borderId="0" xfId="5" applyFont="1" applyFill="1"/>
    <xf numFmtId="0" fontId="14" fillId="11" borderId="6" xfId="5" applyFont="1" applyFill="1" applyBorder="1" applyAlignment="1">
      <alignment vertical="top"/>
    </xf>
    <xf numFmtId="0" fontId="11" fillId="10" borderId="0" xfId="5" applyFont="1" applyFill="1"/>
    <xf numFmtId="0" fontId="1" fillId="11" borderId="8" xfId="5" applyFill="1" applyBorder="1"/>
    <xf numFmtId="168" fontId="1" fillId="12" borderId="3" xfId="5" applyNumberFormat="1" applyFill="1" applyBorder="1" applyAlignment="1">
      <alignment horizontal="right"/>
    </xf>
    <xf numFmtId="0" fontId="11" fillId="11" borderId="2" xfId="5" applyFont="1" applyFill="1" applyBorder="1" applyAlignment="1">
      <alignment horizontal="center"/>
    </xf>
    <xf numFmtId="0" fontId="11" fillId="11" borderId="19" xfId="5" applyFont="1" applyFill="1" applyBorder="1" applyAlignment="1">
      <alignment horizontal="center"/>
    </xf>
    <xf numFmtId="0" fontId="11" fillId="11" borderId="3" xfId="5" applyFont="1" applyFill="1" applyBorder="1" applyAlignment="1">
      <alignment horizontal="center"/>
    </xf>
    <xf numFmtId="0" fontId="1" fillId="11" borderId="31" xfId="5" applyFill="1" applyBorder="1"/>
    <xf numFmtId="0" fontId="1" fillId="12" borderId="4" xfId="5" applyFill="1" applyBorder="1" applyAlignment="1">
      <alignment horizontal="center"/>
    </xf>
    <xf numFmtId="168" fontId="1" fillId="12" borderId="10" xfId="5" applyNumberFormat="1" applyFill="1" applyBorder="1" applyAlignment="1">
      <alignment horizontal="right"/>
    </xf>
    <xf numFmtId="168" fontId="1" fillId="12" borderId="9" xfId="5" applyNumberFormat="1" applyFill="1" applyBorder="1" applyAlignment="1">
      <alignment horizontal="right"/>
    </xf>
    <xf numFmtId="0" fontId="1" fillId="12" borderId="32" xfId="5" applyFill="1" applyBorder="1" applyAlignment="1">
      <alignment horizontal="left"/>
    </xf>
    <xf numFmtId="168" fontId="1" fillId="12" borderId="12" xfId="5" applyNumberFormat="1" applyFill="1" applyBorder="1" applyAlignment="1">
      <alignment horizontal="right"/>
    </xf>
    <xf numFmtId="0" fontId="1" fillId="12" borderId="5" xfId="5" applyFill="1" applyBorder="1" applyAlignment="1">
      <alignment horizontal="left"/>
    </xf>
    <xf numFmtId="0" fontId="1" fillId="11" borderId="33" xfId="5" applyFill="1" applyBorder="1"/>
    <xf numFmtId="168" fontId="1" fillId="12" borderId="7" xfId="5" applyNumberFormat="1" applyFill="1" applyBorder="1" applyAlignment="1">
      <alignment horizontal="right"/>
    </xf>
    <xf numFmtId="0" fontId="1" fillId="11" borderId="6" xfId="5" applyFill="1" applyBorder="1"/>
    <xf numFmtId="172" fontId="16" fillId="12" borderId="34" xfId="5" applyNumberFormat="1" applyFont="1" applyFill="1" applyBorder="1" applyAlignment="1">
      <alignment horizontal="right"/>
    </xf>
    <xf numFmtId="165" fontId="1" fillId="10" borderId="0" xfId="5" applyNumberFormat="1" applyFill="1" applyAlignment="1">
      <alignment horizontal="right"/>
    </xf>
    <xf numFmtId="0" fontId="1" fillId="12" borderId="6" xfId="5" applyFill="1" applyBorder="1" applyAlignment="1">
      <alignment horizontal="center"/>
    </xf>
    <xf numFmtId="168" fontId="1" fillId="12" borderId="14" xfId="5" applyNumberFormat="1" applyFill="1" applyBorder="1" applyAlignment="1">
      <alignment horizontal="right"/>
    </xf>
    <xf numFmtId="0" fontId="1" fillId="12" borderId="7" xfId="5" applyFill="1" applyBorder="1" applyAlignment="1">
      <alignment horizontal="left"/>
    </xf>
    <xf numFmtId="0" fontId="11" fillId="10" borderId="0" xfId="5" applyFont="1" applyFill="1" applyAlignment="1">
      <alignment horizontal="center"/>
    </xf>
    <xf numFmtId="0" fontId="19" fillId="10" borderId="0" xfId="5" applyFont="1" applyFill="1"/>
    <xf numFmtId="0" fontId="11" fillId="11" borderId="35" xfId="5" applyFont="1" applyFill="1" applyBorder="1" applyAlignment="1">
      <alignment horizontal="center"/>
    </xf>
    <xf numFmtId="0" fontId="11" fillId="11" borderId="36" xfId="5" applyFont="1" applyFill="1" applyBorder="1" applyAlignment="1">
      <alignment horizontal="center"/>
    </xf>
    <xf numFmtId="0" fontId="11" fillId="11" borderId="37" xfId="5" applyFont="1" applyFill="1" applyBorder="1" applyAlignment="1">
      <alignment horizontal="center"/>
    </xf>
    <xf numFmtId="0" fontId="11" fillId="11" borderId="26" xfId="5" applyFont="1" applyFill="1" applyBorder="1" applyAlignment="1">
      <alignment horizontal="center" wrapText="1"/>
    </xf>
    <xf numFmtId="0" fontId="0" fillId="0" borderId="9" xfId="0" applyBorder="1"/>
    <xf numFmtId="2" fontId="0" fillId="13" borderId="9" xfId="0" applyNumberFormat="1" applyFill="1" applyBorder="1" applyAlignment="1" applyProtection="1">
      <alignment horizontal="center"/>
      <protection locked="0"/>
    </xf>
    <xf numFmtId="168" fontId="10" fillId="13" borderId="9" xfId="1" applyNumberFormat="1" applyFill="1" applyBorder="1" applyAlignment="1" applyProtection="1">
      <alignment horizontal="right"/>
      <protection locked="0"/>
    </xf>
    <xf numFmtId="2" fontId="0" fillId="13" borderId="9" xfId="0" applyNumberFormat="1" applyFill="1" applyBorder="1" applyProtection="1">
      <protection locked="0"/>
    </xf>
    <xf numFmtId="170" fontId="0" fillId="13" borderId="9" xfId="0" applyNumberFormat="1" applyFill="1" applyBorder="1" applyProtection="1">
      <protection locked="0"/>
    </xf>
    <xf numFmtId="49" fontId="0" fillId="13" borderId="9" xfId="0" applyNumberFormat="1" applyFill="1" applyBorder="1" applyAlignment="1" applyProtection="1">
      <alignment horizontal="left"/>
      <protection locked="0"/>
    </xf>
    <xf numFmtId="0" fontId="0" fillId="14" borderId="9" xfId="0" applyFill="1" applyBorder="1"/>
    <xf numFmtId="0" fontId="0" fillId="6" borderId="3" xfId="0" applyFill="1" applyBorder="1"/>
    <xf numFmtId="164" fontId="0" fillId="6" borderId="5" xfId="0" applyNumberFormat="1" applyFill="1" applyBorder="1" applyProtection="1">
      <protection locked="0"/>
    </xf>
    <xf numFmtId="165" fontId="0" fillId="3" borderId="5" xfId="0" applyNumberFormat="1" applyFill="1" applyBorder="1"/>
    <xf numFmtId="165" fontId="0" fillId="3" borderId="7" xfId="0" applyNumberFormat="1" applyFill="1" applyBorder="1"/>
    <xf numFmtId="0" fontId="0" fillId="3" borderId="19" xfId="0" applyFill="1" applyBorder="1"/>
    <xf numFmtId="0" fontId="0" fillId="3" borderId="3" xfId="0" applyFill="1" applyBorder="1"/>
    <xf numFmtId="0" fontId="0" fillId="0" borderId="14" xfId="0" applyBorder="1"/>
    <xf numFmtId="0" fontId="0" fillId="4" borderId="0" xfId="0" applyFill="1" applyBorder="1"/>
    <xf numFmtId="20" fontId="0" fillId="4" borderId="0" xfId="0" applyNumberFormat="1" applyFill="1" applyBorder="1"/>
    <xf numFmtId="0" fontId="0" fillId="4" borderId="2" xfId="0" applyFill="1" applyBorder="1"/>
    <xf numFmtId="0" fontId="0" fillId="0" borderId="4" xfId="0" applyBorder="1"/>
    <xf numFmtId="0" fontId="0" fillId="0" borderId="6" xfId="0" applyBorder="1"/>
    <xf numFmtId="164" fontId="0" fillId="6" borderId="7" xfId="0" applyNumberFormat="1" applyFill="1" applyBorder="1" applyProtection="1">
      <protection locked="0"/>
    </xf>
    <xf numFmtId="0" fontId="0" fillId="0" borderId="12" xfId="0" applyBorder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168" fontId="7" fillId="6" borderId="5" xfId="0" applyNumberFormat="1" applyFont="1" applyFill="1" applyBorder="1" applyAlignment="1" applyProtection="1">
      <alignment horizontal="right"/>
      <protection locked="0"/>
    </xf>
    <xf numFmtId="168" fontId="7" fillId="6" borderId="7" xfId="0" applyNumberFormat="1" applyFont="1" applyFill="1" applyBorder="1" applyAlignment="1" applyProtection="1">
      <alignment horizontal="right"/>
      <protection locked="0"/>
    </xf>
    <xf numFmtId="168" fontId="14" fillId="12" borderId="3" xfId="5" applyNumberFormat="1" applyFont="1" applyFill="1" applyBorder="1" applyAlignment="1">
      <alignment horizontal="right"/>
    </xf>
    <xf numFmtId="168" fontId="14" fillId="12" borderId="5" xfId="5" applyNumberFormat="1" applyFont="1" applyFill="1" applyBorder="1" applyAlignment="1">
      <alignment horizontal="right"/>
    </xf>
    <xf numFmtId="168" fontId="14" fillId="12" borderId="9" xfId="5" applyNumberFormat="1" applyFont="1" applyFill="1" applyBorder="1"/>
    <xf numFmtId="0" fontId="14" fillId="12" borderId="9" xfId="5" applyFont="1" applyFill="1" applyBorder="1"/>
    <xf numFmtId="2" fontId="14" fillId="12" borderId="9" xfId="5" applyNumberFormat="1" applyFont="1" applyFill="1" applyBorder="1"/>
    <xf numFmtId="0" fontId="14" fillId="12" borderId="9" xfId="5" applyFont="1" applyFill="1" applyBorder="1" applyAlignment="1">
      <alignment horizontal="left"/>
    </xf>
    <xf numFmtId="0" fontId="0" fillId="6" borderId="9" xfId="0" applyFill="1" applyBorder="1" applyAlignment="1" applyProtection="1">
      <alignment horizontal="right"/>
      <protection locked="0"/>
    </xf>
    <xf numFmtId="0" fontId="0" fillId="6" borderId="14" xfId="0" applyFill="1" applyBorder="1" applyAlignment="1" applyProtection="1">
      <alignment horizontal="right"/>
      <protection locked="0"/>
    </xf>
    <xf numFmtId="0" fontId="0" fillId="6" borderId="12" xfId="0" applyFill="1" applyBorder="1" applyAlignment="1" applyProtection="1">
      <alignment horizontal="right" wrapText="1"/>
      <protection locked="0"/>
    </xf>
    <xf numFmtId="0" fontId="0" fillId="6" borderId="3" xfId="0" applyFill="1" applyBorder="1" applyAlignment="1" applyProtection="1">
      <alignment horizontal="left"/>
      <protection locked="0"/>
    </xf>
    <xf numFmtId="0" fontId="0" fillId="6" borderId="5" xfId="0" applyFill="1" applyBorder="1" applyAlignment="1" applyProtection="1">
      <alignment horizontal="left"/>
      <protection locked="0"/>
    </xf>
    <xf numFmtId="0" fontId="0" fillId="6" borderId="7" xfId="0" applyFill="1" applyBorder="1" applyAlignment="1" applyProtection="1">
      <alignment horizontal="center" vertical="top" wrapText="1"/>
      <protection locked="0"/>
    </xf>
    <xf numFmtId="49" fontId="0" fillId="6" borderId="16" xfId="0" applyNumberFormat="1" applyFill="1" applyBorder="1" applyProtection="1">
      <protection locked="0"/>
    </xf>
    <xf numFmtId="0" fontId="6" fillId="3" borderId="17" xfId="0" applyFont="1" applyFill="1" applyBorder="1" applyAlignment="1">
      <alignment horizontal="center" vertical="top" wrapText="1"/>
    </xf>
    <xf numFmtId="0" fontId="2" fillId="5" borderId="0" xfId="2" applyFont="1" applyFill="1" applyBorder="1" applyAlignment="1" applyProtection="1">
      <alignment horizontal="left"/>
    </xf>
    <xf numFmtId="49" fontId="0" fillId="6" borderId="3" xfId="0" applyNumberFormat="1" applyFill="1" applyBorder="1" applyAlignment="1" applyProtection="1">
      <alignment horizontal="right"/>
      <protection locked="0"/>
    </xf>
    <xf numFmtId="1" fontId="0" fillId="6" borderId="5" xfId="0" applyNumberFormat="1" applyFill="1" applyBorder="1" applyAlignment="1" applyProtection="1">
      <alignment horizontal="right"/>
      <protection locked="0"/>
    </xf>
    <xf numFmtId="164" fontId="14" fillId="12" borderId="28" xfId="5" applyNumberFormat="1" applyFont="1" applyFill="1" applyBorder="1" applyAlignment="1">
      <alignment horizontal="right"/>
    </xf>
    <xf numFmtId="164" fontId="14" fillId="12" borderId="30" xfId="5" applyNumberFormat="1" applyFont="1" applyFill="1" applyBorder="1" applyAlignment="1">
      <alignment horizontal="right"/>
    </xf>
    <xf numFmtId="164" fontId="14" fillId="12" borderId="10" xfId="5" applyNumberFormat="1" applyFont="1" applyFill="1" applyBorder="1" applyAlignment="1">
      <alignment horizontal="right"/>
    </xf>
    <xf numFmtId="164" fontId="14" fillId="12" borderId="27" xfId="5" applyNumberFormat="1" applyFont="1" applyFill="1" applyBorder="1" applyAlignment="1">
      <alignment horizontal="right"/>
    </xf>
    <xf numFmtId="49" fontId="7" fillId="6" borderId="9" xfId="0" applyNumberFormat="1" applyFont="1" applyFill="1" applyBorder="1" applyAlignment="1" applyProtection="1">
      <alignment horizontal="left" wrapText="1"/>
      <protection locked="0"/>
    </xf>
    <xf numFmtId="0" fontId="0" fillId="3" borderId="9" xfId="0" applyFill="1" applyBorder="1" applyAlignment="1">
      <alignment horizontal="left"/>
    </xf>
    <xf numFmtId="0" fontId="2" fillId="5" borderId="23" xfId="2" applyFont="1" applyFill="1" applyBorder="1" applyAlignment="1" applyProtection="1">
      <alignment horizontal="left"/>
    </xf>
    <xf numFmtId="0" fontId="7" fillId="3" borderId="9" xfId="0" applyFont="1" applyFill="1" applyBorder="1" applyAlignment="1">
      <alignment horizontal="right"/>
    </xf>
    <xf numFmtId="0" fontId="7" fillId="6" borderId="9" xfId="0" applyFont="1" applyFill="1" applyBorder="1" applyAlignment="1" applyProtection="1">
      <alignment horizontal="right"/>
      <protection locked="0"/>
    </xf>
    <xf numFmtId="167" fontId="7" fillId="3" borderId="9" xfId="0" applyNumberFormat="1" applyFont="1" applyFill="1" applyBorder="1" applyAlignment="1">
      <alignment horizontal="right"/>
    </xf>
    <xf numFmtId="164" fontId="7" fillId="6" borderId="9" xfId="0" applyNumberFormat="1" applyFont="1" applyFill="1" applyBorder="1" applyAlignment="1" applyProtection="1">
      <alignment horizontal="right"/>
      <protection locked="0"/>
    </xf>
    <xf numFmtId="0" fontId="7" fillId="3" borderId="4" xfId="0" applyFont="1" applyFill="1" applyBorder="1" applyAlignment="1">
      <alignment horizontal="left"/>
    </xf>
    <xf numFmtId="49" fontId="7" fillId="6" borderId="7" xfId="0" applyNumberFormat="1" applyFont="1" applyFill="1" applyBorder="1" applyAlignment="1" applyProtection="1">
      <alignment horizontal="left" wrapText="1"/>
      <protection locked="0"/>
    </xf>
    <xf numFmtId="0" fontId="8" fillId="5" borderId="0" xfId="2" applyFont="1" applyFill="1" applyBorder="1" applyAlignment="1" applyProtection="1">
      <alignment horizontal="left"/>
    </xf>
    <xf numFmtId="49" fontId="20" fillId="3" borderId="19" xfId="0" applyNumberFormat="1" applyFont="1" applyFill="1" applyBorder="1" applyAlignment="1">
      <alignment horizontal="right"/>
    </xf>
    <xf numFmtId="0" fontId="20" fillId="6" borderId="9" xfId="0" applyFont="1" applyFill="1" applyBorder="1" applyAlignment="1" applyProtection="1">
      <alignment horizontal="right"/>
      <protection locked="0"/>
    </xf>
    <xf numFmtId="167" fontId="14" fillId="11" borderId="9" xfId="5" applyNumberFormat="1" applyFont="1" applyFill="1" applyBorder="1" applyAlignment="1">
      <alignment horizontal="right"/>
    </xf>
    <xf numFmtId="164" fontId="20" fillId="6" borderId="9" xfId="0" applyNumberFormat="1" applyFont="1" applyFill="1" applyBorder="1" applyAlignment="1" applyProtection="1">
      <alignment horizontal="right"/>
      <protection locked="0"/>
    </xf>
    <xf numFmtId="0" fontId="14" fillId="12" borderId="28" xfId="5" applyFont="1" applyFill="1" applyBorder="1" applyAlignment="1">
      <alignment wrapText="1"/>
    </xf>
    <xf numFmtId="0" fontId="14" fillId="12" borderId="29" xfId="5" applyFont="1" applyFill="1" applyBorder="1" applyAlignment="1">
      <alignment wrapText="1"/>
    </xf>
    <xf numFmtId="0" fontId="14" fillId="12" borderId="30" xfId="5" applyFont="1" applyFill="1" applyBorder="1" applyAlignment="1">
      <alignment wrapText="1"/>
    </xf>
    <xf numFmtId="0" fontId="13" fillId="9" borderId="0" xfId="4" applyFont="1" applyFill="1" applyBorder="1" applyAlignment="1">
      <alignment horizontal="left"/>
    </xf>
    <xf numFmtId="0" fontId="14" fillId="11" borderId="19" xfId="5" applyFont="1" applyFill="1" applyBorder="1" applyAlignment="1">
      <alignment horizontal="right"/>
    </xf>
    <xf numFmtId="0" fontId="14" fillId="12" borderId="9" xfId="5" applyFont="1" applyFill="1" applyBorder="1" applyAlignment="1">
      <alignment horizontal="right"/>
    </xf>
    <xf numFmtId="164" fontId="14" fillId="12" borderId="9" xfId="5" applyNumberFormat="1" applyFont="1" applyFill="1" applyBorder="1" applyAlignment="1">
      <alignment horizontal="right"/>
    </xf>
  </cellXfs>
  <cellStyles count="6">
    <cellStyle name="Comma" xfId="1" builtinId="3"/>
    <cellStyle name="Excel Built-in Calculation" xfId="3" xr:uid="{00000000-0005-0000-0000-000007000000}"/>
    <cellStyle name="Excel Built-in Neutral" xfId="2" xr:uid="{00000000-0005-0000-0000-000006000000}"/>
    <cellStyle name="Neutral 2" xfId="4" xr:uid="{EEE8F3C7-B592-46E2-B91E-0D6EDD0F853C}"/>
    <cellStyle name="Normal" xfId="0" builtinId="0"/>
    <cellStyle name="Normal 2" xfId="5" xr:uid="{AF37FB8A-BB8B-4DA5-8C45-149CFF8F2102}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008080"/>
      <rgbColor rgb="FFBFBFBF"/>
      <rgbColor rgb="FF7F7F7F"/>
      <rgbColor rgb="FF9999FF"/>
      <rgbColor rgb="FF7030A0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CD5B5"/>
      <rgbColor rgb="FF3366FF"/>
      <rgbColor rgb="FF33CCCC"/>
      <rgbColor rgb="FF92D050"/>
      <rgbColor rgb="FFFFCC00"/>
      <rgbColor rgb="FFFF9900"/>
      <rgbColor rgb="FFFA7D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salinity</a:t>
            </a:r>
            <a:r>
              <a:rPr lang="nb-NO" baseline="0"/>
              <a:t> from SALO18 core</a:t>
            </a:r>
            <a:endParaRPr lang="nb-N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'Salinity Core'!$B$18:$B$51</c:f>
              <c:numCache>
                <c:formatCode>0" cm"</c:formatCode>
                <c:ptCount val="3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15.000000000000002</c:v>
                </c:pt>
                <c:pt idx="4">
                  <c:v>20</c:v>
                </c:pt>
                <c:pt idx="5">
                  <c:v>25</c:v>
                </c:pt>
                <c:pt idx="6">
                  <c:v>30.5</c:v>
                </c:pt>
                <c:pt idx="7">
                  <c:v>35.5</c:v>
                </c:pt>
                <c:pt idx="8">
                  <c:v>40.5</c:v>
                </c:pt>
                <c:pt idx="9">
                  <c:v>46</c:v>
                </c:pt>
                <c:pt idx="10">
                  <c:v>51</c:v>
                </c:pt>
                <c:pt idx="11">
                  <c:v>56.000000000000007</c:v>
                </c:pt>
                <c:pt idx="12">
                  <c:v>61.000000000000007</c:v>
                </c:pt>
                <c:pt idx="13">
                  <c:v>66.000000000000014</c:v>
                </c:pt>
                <c:pt idx="14">
                  <c:v>71.000000000000014</c:v>
                </c:pt>
                <c:pt idx="15">
                  <c:v>76.000000000000028</c:v>
                </c:pt>
                <c:pt idx="16">
                  <c:v>81.000000000000028</c:v>
                </c:pt>
                <c:pt idx="17">
                  <c:v>86.000000000000028</c:v>
                </c:pt>
                <c:pt idx="18">
                  <c:v>91.000000000000043</c:v>
                </c:pt>
                <c:pt idx="19">
                  <c:v>96.000000000000043</c:v>
                </c:pt>
                <c:pt idx="20">
                  <c:v>100.50000000000003</c:v>
                </c:pt>
                <c:pt idx="21">
                  <c:v>105.50000000000004</c:v>
                </c:pt>
                <c:pt idx="22">
                  <c:v>110.50000000000004</c:v>
                </c:pt>
                <c:pt idx="23">
                  <c:v>115.50000000000004</c:v>
                </c:pt>
                <c:pt idx="24">
                  <c:v>120.00000000000004</c:v>
                </c:pt>
                <c:pt idx="25">
                  <c:v>125.00000000000004</c:v>
                </c:pt>
                <c:pt idx="26">
                  <c:v>130.00000000000006</c:v>
                </c:pt>
                <c:pt idx="27">
                  <c:v>135.00000000000006</c:v>
                </c:pt>
                <c:pt idx="28">
                  <c:v>140.00000000000006</c:v>
                </c:pt>
                <c:pt idx="29">
                  <c:v>145.00000000000006</c:v>
                </c:pt>
              </c:numCache>
            </c:numRef>
          </c:xVal>
          <c:yVal>
            <c:numRef>
              <c:f>'Salinity Core'!$D$18:$D$51</c:f>
              <c:numCache>
                <c:formatCode>0.00</c:formatCode>
                <c:ptCount val="34"/>
                <c:pt idx="0">
                  <c:v>9.5</c:v>
                </c:pt>
                <c:pt idx="1">
                  <c:v>8.1</c:v>
                </c:pt>
                <c:pt idx="2">
                  <c:v>7.9</c:v>
                </c:pt>
                <c:pt idx="3">
                  <c:v>7.3</c:v>
                </c:pt>
                <c:pt idx="4">
                  <c:v>8</c:v>
                </c:pt>
                <c:pt idx="5">
                  <c:v>7.3</c:v>
                </c:pt>
                <c:pt idx="6">
                  <c:v>7.2</c:v>
                </c:pt>
                <c:pt idx="7">
                  <c:v>6</c:v>
                </c:pt>
                <c:pt idx="8">
                  <c:v>4.9000000000000004</c:v>
                </c:pt>
                <c:pt idx="9">
                  <c:v>4.8</c:v>
                </c:pt>
                <c:pt idx="10">
                  <c:v>3.9</c:v>
                </c:pt>
                <c:pt idx="11">
                  <c:v>3.6</c:v>
                </c:pt>
                <c:pt idx="12">
                  <c:v>4</c:v>
                </c:pt>
                <c:pt idx="13">
                  <c:v>4.7</c:v>
                </c:pt>
                <c:pt idx="14">
                  <c:v>4.5</c:v>
                </c:pt>
                <c:pt idx="15">
                  <c:v>4.3</c:v>
                </c:pt>
                <c:pt idx="16">
                  <c:v>4.2</c:v>
                </c:pt>
                <c:pt idx="17">
                  <c:v>4.4000000000000004</c:v>
                </c:pt>
                <c:pt idx="18">
                  <c:v>4.2</c:v>
                </c:pt>
                <c:pt idx="19">
                  <c:v>4.8</c:v>
                </c:pt>
                <c:pt idx="20">
                  <c:v>4.5999999999999996</c:v>
                </c:pt>
                <c:pt idx="21">
                  <c:v>5.5</c:v>
                </c:pt>
                <c:pt idx="22">
                  <c:v>6.1</c:v>
                </c:pt>
                <c:pt idx="23">
                  <c:v>5.4</c:v>
                </c:pt>
                <c:pt idx="24">
                  <c:v>5.3</c:v>
                </c:pt>
                <c:pt idx="25">
                  <c:v>7.5</c:v>
                </c:pt>
                <c:pt idx="26">
                  <c:v>5.6</c:v>
                </c:pt>
                <c:pt idx="27">
                  <c:v>5.5</c:v>
                </c:pt>
                <c:pt idx="28">
                  <c:v>7.8</c:v>
                </c:pt>
                <c:pt idx="29">
                  <c:v>7.3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30-46CC-BCC4-F82E11677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4195439"/>
        <c:axId val="324193519"/>
      </c:scatterChart>
      <c:valAx>
        <c:axId val="324195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 cm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93519"/>
        <c:crosses val="autoZero"/>
        <c:crossBetween val="midCat"/>
      </c:valAx>
      <c:valAx>
        <c:axId val="32419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95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ice density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'Density Core'!$G$23:$G$83</c:f>
              <c:numCache>
                <c:formatCode>0" cm"</c:formatCode>
                <c:ptCount val="61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47.499999999999993</c:v>
                </c:pt>
                <c:pt idx="10">
                  <c:v>52.499999999999993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77.500000000000014</c:v>
                </c:pt>
                <c:pt idx="16">
                  <c:v>82.250000000000014</c:v>
                </c:pt>
                <c:pt idx="17">
                  <c:v>87.000000000000028</c:v>
                </c:pt>
                <c:pt idx="18">
                  <c:v>92.000000000000028</c:v>
                </c:pt>
                <c:pt idx="19">
                  <c:v>97.000000000000028</c:v>
                </c:pt>
                <c:pt idx="20">
                  <c:v>102.00000000000003</c:v>
                </c:pt>
                <c:pt idx="21">
                  <c:v>106.50000000000004</c:v>
                </c:pt>
                <c:pt idx="22">
                  <c:v>111.00000000000004</c:v>
                </c:pt>
                <c:pt idx="23">
                  <c:v>116.00000000000006</c:v>
                </c:pt>
                <c:pt idx="24">
                  <c:v>121.00000000000006</c:v>
                </c:pt>
                <c:pt idx="25">
                  <c:v>126.00000000000006</c:v>
                </c:pt>
                <c:pt idx="26">
                  <c:v>131.25000000000006</c:v>
                </c:pt>
                <c:pt idx="27">
                  <c:v>136.50000000000006</c:v>
                </c:pt>
                <c:pt idx="28">
                  <c:v>141.50000000000006</c:v>
                </c:pt>
                <c:pt idx="29">
                  <c:v>147.00000000000006</c:v>
                </c:pt>
                <c:pt idx="30">
                  <c:v>151.00000000000006</c:v>
                </c:pt>
              </c:numCache>
            </c:numRef>
          </c:xVal>
          <c:yVal>
            <c:numRef>
              <c:f>'Density Core'!$H$23:$H$83</c:f>
              <c:numCache>
                <c:formatCode>General</c:formatCode>
                <c:ptCount val="61"/>
                <c:pt idx="0">
                  <c:v>895.80000000000007</c:v>
                </c:pt>
                <c:pt idx="1">
                  <c:v>901.4</c:v>
                </c:pt>
                <c:pt idx="2">
                  <c:v>897.4</c:v>
                </c:pt>
                <c:pt idx="3">
                  <c:v>910.69999999999993</c:v>
                </c:pt>
                <c:pt idx="4">
                  <c:v>884.7</c:v>
                </c:pt>
                <c:pt idx="5">
                  <c:v>901.90000000000009</c:v>
                </c:pt>
                <c:pt idx="6">
                  <c:v>899.4</c:v>
                </c:pt>
                <c:pt idx="7">
                  <c:v>908.5</c:v>
                </c:pt>
                <c:pt idx="8">
                  <c:v>899.59999999999991</c:v>
                </c:pt>
                <c:pt idx="9">
                  <c:v>908.2</c:v>
                </c:pt>
                <c:pt idx="10">
                  <c:v>881.19999999999993</c:v>
                </c:pt>
                <c:pt idx="11">
                  <c:v>874.19999999999993</c:v>
                </c:pt>
                <c:pt idx="12">
                  <c:v>916.69999999999993</c:v>
                </c:pt>
                <c:pt idx="13">
                  <c:v>918.3</c:v>
                </c:pt>
                <c:pt idx="14">
                  <c:v>914.3</c:v>
                </c:pt>
                <c:pt idx="15">
                  <c:v>888.3</c:v>
                </c:pt>
                <c:pt idx="16">
                  <c:v>867.3</c:v>
                </c:pt>
                <c:pt idx="17">
                  <c:v>869</c:v>
                </c:pt>
                <c:pt idx="18">
                  <c:v>912</c:v>
                </c:pt>
                <c:pt idx="19">
                  <c:v>917</c:v>
                </c:pt>
                <c:pt idx="20">
                  <c:v>915.69999999999993</c:v>
                </c:pt>
                <c:pt idx="21">
                  <c:v>915.8</c:v>
                </c:pt>
                <c:pt idx="22">
                  <c:v>920.4</c:v>
                </c:pt>
                <c:pt idx="23">
                  <c:v>921.69999999999993</c:v>
                </c:pt>
                <c:pt idx="24">
                  <c:v>917.1</c:v>
                </c:pt>
                <c:pt idx="25">
                  <c:v>918.3</c:v>
                </c:pt>
                <c:pt idx="26">
                  <c:v>896.80000000000007</c:v>
                </c:pt>
                <c:pt idx="27">
                  <c:v>893</c:v>
                </c:pt>
                <c:pt idx="28">
                  <c:v>914</c:v>
                </c:pt>
                <c:pt idx="29">
                  <c:v>896.4</c:v>
                </c:pt>
                <c:pt idx="30">
                  <c:v>889.2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8D-4853-A9C0-2E539DD00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4006336"/>
        <c:axId val="1764006816"/>
      </c:scatterChart>
      <c:valAx>
        <c:axId val="1764006336"/>
        <c:scaling>
          <c:orientation val="minMax"/>
          <c:max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 cm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006816"/>
        <c:crosses val="autoZero"/>
        <c:crossBetween val="midCat"/>
      </c:valAx>
      <c:valAx>
        <c:axId val="176400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006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ice salinity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'Density Core'!$G$23:$G$59</c:f>
              <c:numCache>
                <c:formatCode>0" cm"</c:formatCode>
                <c:ptCount val="37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47.499999999999993</c:v>
                </c:pt>
                <c:pt idx="10">
                  <c:v>52.499999999999993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77.500000000000014</c:v>
                </c:pt>
                <c:pt idx="16">
                  <c:v>82.250000000000014</c:v>
                </c:pt>
                <c:pt idx="17">
                  <c:v>87.000000000000028</c:v>
                </c:pt>
                <c:pt idx="18">
                  <c:v>92.000000000000028</c:v>
                </c:pt>
                <c:pt idx="19">
                  <c:v>97.000000000000028</c:v>
                </c:pt>
                <c:pt idx="20">
                  <c:v>102.00000000000003</c:v>
                </c:pt>
                <c:pt idx="21">
                  <c:v>106.50000000000004</c:v>
                </c:pt>
                <c:pt idx="22">
                  <c:v>111.00000000000004</c:v>
                </c:pt>
                <c:pt idx="23">
                  <c:v>116.00000000000006</c:v>
                </c:pt>
                <c:pt idx="24">
                  <c:v>121.00000000000006</c:v>
                </c:pt>
                <c:pt idx="25">
                  <c:v>126.00000000000006</c:v>
                </c:pt>
                <c:pt idx="26">
                  <c:v>131.25000000000006</c:v>
                </c:pt>
                <c:pt idx="27">
                  <c:v>136.50000000000006</c:v>
                </c:pt>
                <c:pt idx="28">
                  <c:v>141.50000000000006</c:v>
                </c:pt>
                <c:pt idx="29">
                  <c:v>147.00000000000006</c:v>
                </c:pt>
                <c:pt idx="30">
                  <c:v>151.00000000000006</c:v>
                </c:pt>
              </c:numCache>
            </c:numRef>
          </c:xVal>
          <c:yVal>
            <c:numRef>
              <c:f>'Density Core'!$J$23:$J$59</c:f>
              <c:numCache>
                <c:formatCode>General</c:formatCode>
                <c:ptCount val="37"/>
                <c:pt idx="0">
                  <c:v>8.5</c:v>
                </c:pt>
                <c:pt idx="1">
                  <c:v>3</c:v>
                </c:pt>
                <c:pt idx="2">
                  <c:v>2.9</c:v>
                </c:pt>
                <c:pt idx="3">
                  <c:v>10</c:v>
                </c:pt>
                <c:pt idx="4">
                  <c:v>2.5</c:v>
                </c:pt>
                <c:pt idx="5">
                  <c:v>3.3</c:v>
                </c:pt>
                <c:pt idx="6">
                  <c:v>2.5</c:v>
                </c:pt>
                <c:pt idx="7">
                  <c:v>2.8</c:v>
                </c:pt>
                <c:pt idx="8">
                  <c:v>2.2999999999999998</c:v>
                </c:pt>
                <c:pt idx="9">
                  <c:v>2.4</c:v>
                </c:pt>
                <c:pt idx="10">
                  <c:v>1.9</c:v>
                </c:pt>
                <c:pt idx="11">
                  <c:v>1.2</c:v>
                </c:pt>
                <c:pt idx="12">
                  <c:v>1.1000000000000001</c:v>
                </c:pt>
                <c:pt idx="13">
                  <c:v>1.2</c:v>
                </c:pt>
                <c:pt idx="14">
                  <c:v>1.2</c:v>
                </c:pt>
                <c:pt idx="15">
                  <c:v>1.1000000000000001</c:v>
                </c:pt>
                <c:pt idx="16">
                  <c:v>1</c:v>
                </c:pt>
                <c:pt idx="17">
                  <c:v>1.2</c:v>
                </c:pt>
                <c:pt idx="18">
                  <c:v>1.2</c:v>
                </c:pt>
                <c:pt idx="19">
                  <c:v>1.9</c:v>
                </c:pt>
                <c:pt idx="20">
                  <c:v>2.2999999999999998</c:v>
                </c:pt>
                <c:pt idx="21">
                  <c:v>2.2999999999999998</c:v>
                </c:pt>
                <c:pt idx="22">
                  <c:v>2.2999999999999998</c:v>
                </c:pt>
                <c:pt idx="23">
                  <c:v>2</c:v>
                </c:pt>
                <c:pt idx="24">
                  <c:v>2.1</c:v>
                </c:pt>
                <c:pt idx="25">
                  <c:v>2.2999999999999998</c:v>
                </c:pt>
                <c:pt idx="26">
                  <c:v>2.2999999999999998</c:v>
                </c:pt>
                <c:pt idx="27">
                  <c:v>1.5</c:v>
                </c:pt>
                <c:pt idx="28">
                  <c:v>2.2000000000000002</c:v>
                </c:pt>
                <c:pt idx="29">
                  <c:v>2.5</c:v>
                </c:pt>
                <c:pt idx="30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5B3-441F-A14F-681592D89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0243423"/>
        <c:axId val="1230243903"/>
      </c:scatterChart>
      <c:valAx>
        <c:axId val="1230243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 cm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243903"/>
        <c:crosses val="autoZero"/>
        <c:crossBetween val="midCat"/>
      </c:valAx>
      <c:valAx>
        <c:axId val="123024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243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214312</xdr:colOff>
      <xdr:row>55</xdr:row>
      <xdr:rowOff>152401</xdr:rowOff>
    </xdr:from>
    <xdr:to>
      <xdr:col>13</xdr:col>
      <xdr:colOff>1528762</xdr:colOff>
      <xdr:row>70</xdr:row>
      <xdr:rowOff>180976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3BB101-1846-BC59-0F1A-E7229DC3F8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253365</xdr:colOff>
      <xdr:row>70</xdr:row>
      <xdr:rowOff>12383</xdr:rowOff>
    </xdr:from>
    <xdr:to>
      <xdr:col>20</xdr:col>
      <xdr:colOff>411480</xdr:colOff>
      <xdr:row>85</xdr:row>
      <xdr:rowOff>40958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B2061A-EE34-4B46-9FAA-D847A989B8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584835</xdr:colOff>
      <xdr:row>51</xdr:row>
      <xdr:rowOff>30798</xdr:rowOff>
    </xdr:from>
    <xdr:to>
      <xdr:col>20</xdr:col>
      <xdr:colOff>121285</xdr:colOff>
      <xdr:row>66</xdr:row>
      <xdr:rowOff>59373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1AA2E4-948C-41A2-97C0-46FD9F1002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work\Svalbard_seaice_work\KF2025_field_work_AprMay\IceStation6_02052025_Dyrevika\02-05-25%20KF2025%20Station%206_11112025_with_densities_final.xlsx" TargetMode="External"/><Relationship Id="rId1" Type="http://schemas.openxmlformats.org/officeDocument/2006/relationships/externalLinkPath" Target="file:///D:\work\Svalbard_seaice_work\KF2025_field_work_AprMay\IceStation6_02052025_Dyrevika\02-05-25%20KF2025%20Station%206_11112025_with_densities_fin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tionOverview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tion Overview"/>
      <sheetName val="Thickness Drilling"/>
      <sheetName val="Salinity Core"/>
      <sheetName val="Temperature Core"/>
      <sheetName val="Chemistry core"/>
      <sheetName val="Density Core"/>
      <sheetName val="Archive Core"/>
      <sheetName val="BioCores Philipp"/>
      <sheetName val="BioCores NCPOR"/>
      <sheetName val="Snow Pit"/>
      <sheetName val="Lists"/>
    </sheetNames>
    <sheetDataSet>
      <sheetData sheetId="0">
        <row r="4">
          <cell r="B4" t="str">
            <v>KF2025</v>
          </cell>
        </row>
        <row r="5">
          <cell r="B5">
            <v>6</v>
          </cell>
        </row>
        <row r="6">
          <cell r="B6">
            <v>1</v>
          </cell>
        </row>
        <row r="17">
          <cell r="B17">
            <v>45779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23">
          <cell r="G23">
            <v>2.5</v>
          </cell>
        </row>
      </sheetData>
      <sheetData sheetId="6" refreshError="1"/>
      <sheetData sheetId="7" refreshError="1"/>
      <sheetData sheetId="8" refreshError="1"/>
      <sheetData sheetId="9" refreshError="1"/>
      <sheetData sheetId="10">
        <row r="2">
          <cell r="A2" t="str">
            <v>UTC-12</v>
          </cell>
          <cell r="B2" t="str">
            <v>Fast ice visit</v>
          </cell>
          <cell r="C2" t="str">
            <v>Cold, snow (winter/spring conditions)</v>
          </cell>
          <cell r="D2" t="str">
            <v>Fist</v>
          </cell>
          <cell r="E2" t="str">
            <v>I-A</v>
          </cell>
          <cell r="F2" t="str">
            <v>Yes</v>
          </cell>
        </row>
        <row r="3">
          <cell r="A3" t="str">
            <v>UTC-11</v>
          </cell>
          <cell r="B3" t="str">
            <v>Fast ice repeated location</v>
          </cell>
          <cell r="C3" t="str">
            <v>Melting snow</v>
          </cell>
          <cell r="D3" t="str">
            <v>4 fingers</v>
          </cell>
          <cell r="E3" t="str">
            <v>I-B</v>
          </cell>
          <cell r="F3" t="str">
            <v>No</v>
          </cell>
        </row>
        <row r="4">
          <cell r="A4" t="str">
            <v>UTC-10</v>
          </cell>
          <cell r="B4" t="str">
            <v>Ice floe, single-day station</v>
          </cell>
          <cell r="C4" t="str">
            <v>Flooded</v>
          </cell>
          <cell r="D4" t="str">
            <v>3 fingers</v>
          </cell>
          <cell r="E4" t="str">
            <v>II-A-1</v>
          </cell>
        </row>
        <row r="5">
          <cell r="A5" t="str">
            <v>UTC-9</v>
          </cell>
          <cell r="B5" t="str">
            <v>Ice floe, multi-day station</v>
          </cell>
          <cell r="C5" t="str">
            <v>Bare ice, warm, few or no melt ponds</v>
          </cell>
          <cell r="D5" t="str">
            <v>2 fingers</v>
          </cell>
          <cell r="E5" t="str">
            <v>II-A-2</v>
          </cell>
        </row>
        <row r="6">
          <cell r="A6" t="str">
            <v>UTC-8</v>
          </cell>
          <cell r="C6" t="str">
            <v>Bare ice, warm, with melt ponds</v>
          </cell>
          <cell r="D6" t="str">
            <v>1 finger</v>
          </cell>
          <cell r="E6" t="str">
            <v>II-B-1</v>
          </cell>
        </row>
        <row r="7">
          <cell r="A7" t="str">
            <v>UTC-7</v>
          </cell>
          <cell r="C7" t="str">
            <v>Bare ice, warm, partially refrozen melt ponds</v>
          </cell>
          <cell r="D7" t="str">
            <v>Pencil</v>
          </cell>
          <cell r="E7" t="str">
            <v>II-B-2</v>
          </cell>
        </row>
        <row r="8">
          <cell r="A8" t="str">
            <v>UTC-6</v>
          </cell>
          <cell r="C8" t="str">
            <v>Bare ice, frozen, few or no melt ponds</v>
          </cell>
          <cell r="D8" t="str">
            <v>Knife</v>
          </cell>
          <cell r="E8" t="str">
            <v>III-A-1</v>
          </cell>
        </row>
        <row r="9">
          <cell r="A9" t="str">
            <v>UTC-5</v>
          </cell>
          <cell r="C9" t="str">
            <v>Bare ice, frozen, with melt ponds</v>
          </cell>
          <cell r="D9" t="str">
            <v>Ice</v>
          </cell>
          <cell r="E9" t="str">
            <v>III-A-2</v>
          </cell>
        </row>
        <row r="10">
          <cell r="A10" t="str">
            <v>UTC-4</v>
          </cell>
          <cell r="C10" t="str">
            <v>Bare ice, frozen, partially refrozen melt ponds</v>
          </cell>
          <cell r="E10" t="str">
            <v>III-A-3</v>
          </cell>
        </row>
        <row r="11">
          <cell r="A11" t="str">
            <v>UTC-3</v>
          </cell>
          <cell r="C11" t="str">
            <v>New (summer/autumn) snow, warm, few or no melt ponds</v>
          </cell>
          <cell r="E11" t="str">
            <v>IV-A</v>
          </cell>
        </row>
        <row r="12">
          <cell r="A12" t="str">
            <v>UTC-2</v>
          </cell>
          <cell r="C12" t="str">
            <v>New (summer/autumn) snow, warm, with melt ponds</v>
          </cell>
          <cell r="E12" t="str">
            <v>IV-B</v>
          </cell>
        </row>
        <row r="13">
          <cell r="A13" t="str">
            <v>UTC-1</v>
          </cell>
          <cell r="C13" t="str">
            <v>New (summer/autumn) snow, warm, partially refrozen melt ponds</v>
          </cell>
          <cell r="E13" t="str">
            <v>Glacier Ice</v>
          </cell>
        </row>
        <row r="14">
          <cell r="A14" t="str">
            <v>UTC</v>
          </cell>
          <cell r="C14" t="str">
            <v>New (summer/autumn) snow, frozen, few or no melt ponds</v>
          </cell>
        </row>
        <row r="15">
          <cell r="A15" t="str">
            <v>UTC+1 (Norwegian SDT)</v>
          </cell>
          <cell r="C15" t="str">
            <v>New (summer/autumn) snow, frozen, with melt ponds</v>
          </cell>
        </row>
        <row r="16">
          <cell r="A16" t="str">
            <v>UTC+2 (Norwegian DST)</v>
          </cell>
          <cell r="C16" t="str">
            <v>New (summer/autumn) snow, frozen, partially refrozen melt ponds</v>
          </cell>
        </row>
        <row r="17">
          <cell r="A17" t="str">
            <v>UTC+3</v>
          </cell>
        </row>
        <row r="18">
          <cell r="A18" t="str">
            <v>UTC+4</v>
          </cell>
        </row>
        <row r="19">
          <cell r="A19" t="str">
            <v>UTC+5</v>
          </cell>
        </row>
        <row r="20">
          <cell r="A20" t="str">
            <v>UTC+6</v>
          </cell>
        </row>
        <row r="21">
          <cell r="A21" t="str">
            <v>UTC+7</v>
          </cell>
        </row>
        <row r="22">
          <cell r="A22" t="str">
            <v>UTC+8</v>
          </cell>
        </row>
        <row r="23">
          <cell r="A23" t="str">
            <v>UTC+9</v>
          </cell>
        </row>
        <row r="24">
          <cell r="A24" t="str">
            <v>UTC+10</v>
          </cell>
        </row>
        <row r="25">
          <cell r="A25" t="str">
            <v>UTC+11</v>
          </cell>
        </row>
        <row r="26">
          <cell r="A26" t="str">
            <v>UTC+12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ionOverview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A1:AMJ46"/>
  <sheetViews>
    <sheetView tabSelected="1" zoomScale="80" zoomScaleNormal="80" workbookViewId="0">
      <selection activeCell="I23" sqref="I23"/>
    </sheetView>
  </sheetViews>
  <sheetFormatPr defaultColWidth="9.140625" defaultRowHeight="15" x14ac:dyDescent="0.25"/>
  <cols>
    <col min="1" max="1" width="22.7109375" style="2" customWidth="1"/>
    <col min="2" max="2" width="12.7109375" style="2" customWidth="1"/>
    <col min="3" max="5" width="10.7109375" style="2" customWidth="1"/>
    <col min="6" max="6" width="32.7109375" style="2" customWidth="1"/>
    <col min="7" max="1024" width="9.140625" style="2"/>
  </cols>
  <sheetData>
    <row r="1" spans="1:9" ht="31.5" x14ac:dyDescent="0.5">
      <c r="A1" s="156" t="s">
        <v>0</v>
      </c>
      <c r="B1" s="156"/>
      <c r="C1" s="156"/>
      <c r="D1" s="156"/>
      <c r="E1" s="156"/>
      <c r="F1" s="3"/>
      <c r="G1" s="3"/>
      <c r="H1" s="3"/>
    </row>
    <row r="2" spans="1:9" ht="15.75" customHeight="1" x14ac:dyDescent="0.35">
      <c r="A2" s="4"/>
      <c r="D2" s="3"/>
      <c r="E2" s="3"/>
      <c r="F2" s="3"/>
      <c r="G2" s="3"/>
      <c r="H2" s="3"/>
    </row>
    <row r="3" spans="1:9" ht="15.75" thickBot="1" x14ac:dyDescent="0.3">
      <c r="A3" s="5" t="s">
        <v>1</v>
      </c>
      <c r="D3" s="3"/>
      <c r="E3" s="3"/>
    </row>
    <row r="4" spans="1:9" x14ac:dyDescent="0.25">
      <c r="A4" s="6" t="s">
        <v>2</v>
      </c>
      <c r="B4" s="157" t="s">
        <v>84</v>
      </c>
      <c r="C4" s="157"/>
      <c r="H4" s="7"/>
      <c r="I4" s="7"/>
    </row>
    <row r="5" spans="1:9" x14ac:dyDescent="0.25">
      <c r="A5" s="8" t="s">
        <v>3</v>
      </c>
      <c r="B5" s="158"/>
      <c r="C5" s="158"/>
      <c r="H5" s="7"/>
      <c r="I5" s="7"/>
    </row>
    <row r="6" spans="1:9" x14ac:dyDescent="0.25">
      <c r="A6" s="8" t="s">
        <v>4</v>
      </c>
      <c r="B6" s="158"/>
      <c r="C6" s="158"/>
    </row>
    <row r="7" spans="1:9" ht="15.75" thickBot="1" x14ac:dyDescent="0.3">
      <c r="A7" s="9" t="s">
        <v>5</v>
      </c>
      <c r="B7" s="159" t="s">
        <v>85</v>
      </c>
      <c r="C7" s="160"/>
    </row>
    <row r="9" spans="1:9" x14ac:dyDescent="0.25">
      <c r="A9" s="5" t="s">
        <v>6</v>
      </c>
    </row>
    <row r="10" spans="1:9" x14ac:dyDescent="0.25">
      <c r="A10" s="6" t="s">
        <v>7</v>
      </c>
      <c r="B10" s="151"/>
      <c r="C10" s="151"/>
      <c r="D10" s="151"/>
      <c r="E10" s="151"/>
    </row>
    <row r="11" spans="1:9" x14ac:dyDescent="0.25">
      <c r="A11" s="8" t="s">
        <v>8</v>
      </c>
      <c r="B11" s="152"/>
      <c r="C11" s="152"/>
      <c r="D11" s="152"/>
      <c r="E11" s="152"/>
    </row>
    <row r="12" spans="1:9" ht="14.45" customHeight="1" x14ac:dyDescent="0.25">
      <c r="A12" s="10" t="s">
        <v>9</v>
      </c>
      <c r="B12" s="153"/>
      <c r="C12" s="153"/>
      <c r="D12" s="153"/>
      <c r="E12" s="153"/>
    </row>
    <row r="13" spans="1:9" x14ac:dyDescent="0.25">
      <c r="A13" s="10"/>
      <c r="B13" s="153"/>
      <c r="C13" s="153"/>
      <c r="D13" s="153"/>
      <c r="E13" s="153"/>
    </row>
    <row r="14" spans="1:9" x14ac:dyDescent="0.25">
      <c r="A14" s="11"/>
      <c r="B14" s="153"/>
      <c r="C14" s="153"/>
      <c r="D14" s="153"/>
      <c r="E14" s="153"/>
    </row>
    <row r="15" spans="1:9" x14ac:dyDescent="0.25">
      <c r="A15" s="12"/>
      <c r="B15" s="13"/>
      <c r="C15" s="13"/>
      <c r="D15" s="13"/>
      <c r="E15" s="13"/>
    </row>
    <row r="16" spans="1:9" ht="15.75" thickBot="1" x14ac:dyDescent="0.3">
      <c r="A16" s="5" t="s">
        <v>10</v>
      </c>
    </row>
    <row r="17" spans="1:6" x14ac:dyDescent="0.25">
      <c r="A17" s="6" t="s">
        <v>11</v>
      </c>
      <c r="B17" s="124" t="s">
        <v>87</v>
      </c>
    </row>
    <row r="18" spans="1:6" ht="15.75" thickBot="1" x14ac:dyDescent="0.3">
      <c r="A18" s="9" t="s">
        <v>12</v>
      </c>
      <c r="B18" s="136">
        <v>0.53749999999999998</v>
      </c>
      <c r="C18" s="131"/>
      <c r="D18" s="131"/>
      <c r="E18" s="132"/>
    </row>
    <row r="19" spans="1:6" x14ac:dyDescent="0.25">
      <c r="A19" s="133"/>
      <c r="B19" s="66"/>
      <c r="C19" s="6" t="s">
        <v>13</v>
      </c>
      <c r="D19" s="128" t="s">
        <v>14</v>
      </c>
      <c r="E19" s="129" t="s">
        <v>15</v>
      </c>
    </row>
    <row r="20" spans="1:6" x14ac:dyDescent="0.25">
      <c r="A20" s="8" t="s">
        <v>16</v>
      </c>
      <c r="B20" s="126"/>
      <c r="C20" s="134">
        <v>83.922625999999994</v>
      </c>
      <c r="D20" s="117"/>
      <c r="E20" s="20"/>
    </row>
    <row r="21" spans="1:6" ht="15.75" thickBot="1" x14ac:dyDescent="0.3">
      <c r="A21" s="9" t="s">
        <v>17</v>
      </c>
      <c r="B21" s="127"/>
      <c r="C21" s="135">
        <v>18.116517999999999</v>
      </c>
      <c r="D21" s="130"/>
      <c r="E21" s="22"/>
    </row>
    <row r="23" spans="1:6" ht="15.75" thickBot="1" x14ac:dyDescent="0.3">
      <c r="A23" s="5" t="s">
        <v>18</v>
      </c>
      <c r="B23" s="23"/>
      <c r="E23" s="24"/>
    </row>
    <row r="24" spans="1:6" x14ac:dyDescent="0.25">
      <c r="A24" s="14" t="s">
        <v>19</v>
      </c>
      <c r="B24" s="124" t="s">
        <v>87</v>
      </c>
    </row>
    <row r="25" spans="1:6" ht="15.75" thickBot="1" x14ac:dyDescent="0.3">
      <c r="A25" s="8" t="s">
        <v>20</v>
      </c>
      <c r="B25" s="125"/>
      <c r="C25" s="15"/>
      <c r="D25" s="15"/>
      <c r="E25" s="16"/>
    </row>
    <row r="26" spans="1:6" x14ac:dyDescent="0.25">
      <c r="A26" s="17"/>
      <c r="B26" s="68"/>
      <c r="C26" s="6" t="s">
        <v>13</v>
      </c>
      <c r="D26" s="128" t="s">
        <v>14</v>
      </c>
      <c r="E26" s="129" t="s">
        <v>15</v>
      </c>
    </row>
    <row r="27" spans="1:6" x14ac:dyDescent="0.25">
      <c r="A27" s="8" t="s">
        <v>21</v>
      </c>
      <c r="B27" s="126"/>
      <c r="C27" s="134">
        <v>83.922625999999994</v>
      </c>
      <c r="D27" s="19"/>
      <c r="E27" s="20"/>
    </row>
    <row r="28" spans="1:6" ht="15.75" thickBot="1" x14ac:dyDescent="0.3">
      <c r="A28" s="9" t="s">
        <v>22</v>
      </c>
      <c r="B28" s="127"/>
      <c r="C28" s="135">
        <v>18.116517999999999</v>
      </c>
      <c r="D28" s="21"/>
      <c r="E28" s="22"/>
    </row>
    <row r="29" spans="1:6" ht="15.75" thickBot="1" x14ac:dyDescent="0.3">
      <c r="B29" s="25"/>
      <c r="C29" s="26"/>
    </row>
    <row r="30" spans="1:6" x14ac:dyDescent="0.25">
      <c r="A30" s="27" t="s">
        <v>23</v>
      </c>
      <c r="B30" s="154" t="s">
        <v>24</v>
      </c>
      <c r="C30" s="154"/>
      <c r="D30" s="154"/>
      <c r="E30" s="154"/>
    </row>
    <row r="32" spans="1:6" ht="30" customHeight="1" x14ac:dyDescent="0.25">
      <c r="A32" s="28"/>
      <c r="B32" s="155" t="s">
        <v>25</v>
      </c>
      <c r="C32" s="155"/>
      <c r="D32" s="155" t="s">
        <v>26</v>
      </c>
      <c r="E32" s="155"/>
      <c r="F32" s="29" t="s">
        <v>27</v>
      </c>
    </row>
    <row r="33" spans="1:6" ht="30" customHeight="1" x14ac:dyDescent="0.25">
      <c r="A33" s="30" t="s">
        <v>28</v>
      </c>
      <c r="B33" s="150"/>
      <c r="C33" s="150"/>
      <c r="D33" s="150"/>
      <c r="E33" s="150"/>
      <c r="F33" s="31"/>
    </row>
    <row r="34" spans="1:6" ht="30" customHeight="1" x14ac:dyDescent="0.25">
      <c r="A34" s="32" t="s">
        <v>28</v>
      </c>
      <c r="B34" s="148"/>
      <c r="C34" s="148"/>
      <c r="D34" s="148"/>
      <c r="E34" s="148"/>
      <c r="F34" s="1"/>
    </row>
    <row r="35" spans="1:6" ht="30" customHeight="1" x14ac:dyDescent="0.25">
      <c r="A35" s="32" t="s">
        <v>28</v>
      </c>
      <c r="B35" s="148"/>
      <c r="C35" s="148"/>
      <c r="D35" s="148"/>
      <c r="E35" s="148"/>
      <c r="F35" s="1"/>
    </row>
    <row r="36" spans="1:6" ht="30" customHeight="1" x14ac:dyDescent="0.25">
      <c r="A36" s="32" t="s">
        <v>28</v>
      </c>
      <c r="B36" s="148"/>
      <c r="C36" s="148"/>
      <c r="D36" s="148"/>
      <c r="E36" s="148"/>
      <c r="F36" s="1"/>
    </row>
    <row r="37" spans="1:6" ht="30" customHeight="1" x14ac:dyDescent="0.25">
      <c r="A37" s="33" t="s">
        <v>28</v>
      </c>
      <c r="B37" s="149"/>
      <c r="C37" s="149"/>
      <c r="D37" s="149"/>
      <c r="E37" s="149"/>
      <c r="F37" s="34"/>
    </row>
    <row r="38" spans="1:6" x14ac:dyDescent="0.25">
      <c r="B38" s="35"/>
      <c r="C38" s="35"/>
      <c r="D38" s="35"/>
      <c r="E38" s="35"/>
      <c r="F38" s="35"/>
    </row>
    <row r="39" spans="1:6" x14ac:dyDescent="0.25">
      <c r="B39" s="35"/>
      <c r="C39" s="35"/>
      <c r="D39" s="35"/>
      <c r="E39" s="35"/>
      <c r="F39" s="35"/>
    </row>
    <row r="40" spans="1:6" x14ac:dyDescent="0.25">
      <c r="B40" s="35"/>
      <c r="C40" s="35"/>
      <c r="D40" s="35"/>
      <c r="E40" s="35"/>
      <c r="F40" s="35"/>
    </row>
    <row r="41" spans="1:6" x14ac:dyDescent="0.25">
      <c r="B41" s="35"/>
      <c r="C41" s="35"/>
      <c r="D41" s="35"/>
      <c r="E41" s="35"/>
      <c r="F41" s="35"/>
    </row>
    <row r="42" spans="1:6" x14ac:dyDescent="0.25">
      <c r="B42" s="35"/>
      <c r="C42" s="35"/>
      <c r="D42" s="35"/>
      <c r="E42" s="35"/>
      <c r="F42" s="35"/>
    </row>
    <row r="43" spans="1:6" x14ac:dyDescent="0.25">
      <c r="B43" s="35"/>
      <c r="C43" s="35"/>
      <c r="D43" s="35"/>
      <c r="E43" s="35"/>
      <c r="F43" s="35"/>
    </row>
    <row r="44" spans="1:6" x14ac:dyDescent="0.25">
      <c r="B44" s="35"/>
      <c r="C44" s="35"/>
      <c r="D44" s="35"/>
      <c r="E44" s="35"/>
      <c r="F44" s="35"/>
    </row>
    <row r="45" spans="1:6" x14ac:dyDescent="0.25">
      <c r="B45" s="35"/>
      <c r="C45" s="35"/>
      <c r="D45" s="35"/>
      <c r="E45" s="35"/>
      <c r="F45" s="35"/>
    </row>
    <row r="46" spans="1:6" x14ac:dyDescent="0.25">
      <c r="B46" s="35"/>
      <c r="C46" s="35"/>
      <c r="D46" s="35"/>
      <c r="E46" s="35"/>
      <c r="F46" s="35"/>
    </row>
  </sheetData>
  <mergeCells count="21">
    <mergeCell ref="A1:E1"/>
    <mergeCell ref="B4:C4"/>
    <mergeCell ref="B5:C5"/>
    <mergeCell ref="B6:C6"/>
    <mergeCell ref="B7:C7"/>
    <mergeCell ref="B10:E10"/>
    <mergeCell ref="B11:E11"/>
    <mergeCell ref="B12:E14"/>
    <mergeCell ref="B30:E30"/>
    <mergeCell ref="B32:C32"/>
    <mergeCell ref="D32:E32"/>
    <mergeCell ref="B36:C36"/>
    <mergeCell ref="D36:E36"/>
    <mergeCell ref="B37:C37"/>
    <mergeCell ref="D37:E37"/>
    <mergeCell ref="B33:C33"/>
    <mergeCell ref="D33:E33"/>
    <mergeCell ref="B34:C34"/>
    <mergeCell ref="D34:E34"/>
    <mergeCell ref="B35:C35"/>
    <mergeCell ref="D35:E35"/>
  </mergeCells>
  <dataValidations count="22">
    <dataValidation type="custom" allowBlank="1" showInputMessage="1" showErrorMessage="1" error="Must be blank if entered decimal degrees in first cell; otherwise, must be a  number between 0 and 60" prompt="Ending longitude seconds (0 to less than 60)_x000a_Leave blank if decimal degrees entered in previous cell" sqref="E28" xr:uid="{00000000-0002-0000-0000-000000000000}">
      <formula1>IF(C28=INT(C28),AND(E28&gt;=0,E28&lt;60),ISBLANK(E28))</formula1>
      <formula2>0</formula2>
    </dataValidation>
    <dataValidation type="custom" allowBlank="1" showInputMessage="1" showErrorMessage="1" error="Must be blank if entered decimal degrees in first cell; otherwise, must be a  number between 0 and 60" prompt="Starting longitude seconds (0 to less than 60)_x000a_Leave blank if decimal degrees entered in previous cell" sqref="E21" xr:uid="{00000000-0002-0000-0000-000001000000}">
      <formula1>IF(C21=INT(C21),AND(E21&gt;=0,E21&lt;60),ISBLANK(E21))</formula1>
      <formula2>0</formula2>
    </dataValidation>
    <dataValidation type="custom" allowBlank="1" showInputMessage="1" showErrorMessage="1" error="Must be blank if entered decimal degrees in first cell; otherwise, must be a  number between 0 and 60" prompt="Starting latitude seconds (0 to less than 60)_x000a_Leave blank if decimal degrees entered in previous cell" sqref="E20" xr:uid="{00000000-0002-0000-0000-000002000000}">
      <formula1>IF(C20=INT(C20),AND(E20&gt;=0,E20&lt;60),ISBLANK(E20))</formula1>
      <formula2>0</formula2>
    </dataValidation>
    <dataValidation allowBlank="1" showInputMessage="1" showErrorMessage="1" promptTitle="Identify associated stations" prompt="Enter the station number (from the expedition in the previous cell) of the station with which this station should be associated" sqref="D33:D37" xr:uid="{00000000-0002-0000-0000-000003000000}">
      <formula1>0</formula1>
      <formula2>0</formula2>
    </dataValidation>
    <dataValidation allowBlank="1" showInputMessage="1" showErrorMessage="1" promptTitle="Identify associated stations" prompt="Explain the reason for the association given in this row" sqref="F33:F37" xr:uid="{00000000-0002-0000-0000-000004000000}">
      <formula1>0</formula1>
      <formula2>0</formula2>
    </dataValidation>
    <dataValidation allowBlank="1" showInputMessage="1" showErrorMessage="1" promptTitle="Identify associated stations" prompt="If this station should be associated with any others, enter them here and explain the reason._x000a__x000a_Enter the Expedition ID of the associated station" sqref="B33:B37" xr:uid="{00000000-0002-0000-0000-000005000000}">
      <formula1>0</formula1>
      <formula2>0</formula2>
    </dataValidation>
    <dataValidation type="list" allowBlank="1" showInputMessage="1" showErrorMessage="1" error="Must choose a value from the list" prompt="Choose from drop down list" sqref="B10" xr:uid="{00000000-0002-0000-0000-000006000000}">
      <formula1>StationTypes</formula1>
      <formula2>0</formula2>
    </dataValidation>
    <dataValidation allowBlank="1" showInputMessage="1" showErrorMessage="1" prompt="Any general comments about the station.  Free text." sqref="B12 B15:E15" xr:uid="{00000000-0002-0000-0000-000007000000}">
      <formula1>0</formula1>
      <formula2>0</formula2>
    </dataValidation>
    <dataValidation type="list" allowBlank="1" showInputMessage="1" showErrorMessage="1" error="Must choose a value from the list" prompt="Choose a description from the drop down list" sqref="B11" xr:uid="{00000000-0002-0000-0000-000008000000}">
      <formula1>GeneralConditions</formula1>
      <formula2>0</formula2>
    </dataValidation>
    <dataValidation type="decimal" allowBlank="1" showInputMessage="1" showErrorMessage="1" error="Must be blank if entered decimal degrees in first cell; otherwise, must be a whole number between 0 and 59" prompt="Starting latitude minutes 0 to 59 or 0,0 to 59,99_x000a_Leave blank if decimal degrees entered in previous cell" sqref="D27:D28" xr:uid="{00000000-0002-0000-0000-000009000000}">
      <formula1>0</formula1>
      <formula2>59.99</formula2>
    </dataValidation>
    <dataValidation type="decimal" allowBlank="1" showInputMessage="1" showErrorMessage="1" error="Must be a valid latitude between -90 and 90" promptTitle="Latitude at start time" prompt="Enter DD MM SS.sss in the three cells, or DD.dddd in this cell (then leave others blank)._x000a_For southern latitudes, enter a negative value for degrees (minutes and seconds, if entered, remain positive)." sqref="C20 C27" xr:uid="{00000000-0002-0000-0000-00000B000000}">
      <formula1>-90</formula1>
      <formula2>90</formula2>
    </dataValidation>
    <dataValidation type="decimal" allowBlank="1" showInputMessage="1" showErrorMessage="1" error="Must be a valid longitude between -180 and 360" promptTitle="Longitude at start time" prompt="Enter DD MM SS.sss in the three cells, or DD.dddd in this cell (then leave others blank)._x000a_For western longitudes, enter either a value between 180 and 360, or make the degrees between 0 and -180 (minutes and seconds, if entered, remain positive)." sqref="C21 C28" xr:uid="{00000000-0002-0000-0000-00000C000000}">
      <formula1>-180</formula1>
      <formula2>180</formula2>
    </dataValidation>
    <dataValidation type="whole" allowBlank="1" showInputMessage="1" showErrorMessage="1" error="Must be a valid hour, whole number 0-23" prompt="Number between 0 and 23_x000a_Hour the work began" sqref="B29" xr:uid="{00000000-0002-0000-0000-00000D000000}">
      <formula1>0</formula1>
      <formula2>23</formula2>
    </dataValidation>
    <dataValidation type="list" allowBlank="1" showInputMessage="1" showErrorMessage="1" sqref="C29 B30:E30" xr:uid="{00000000-0002-0000-0000-00000E000000}">
      <formula1>TimeZones</formula1>
      <formula2>0</formula2>
    </dataValidation>
    <dataValidation type="time" allowBlank="1" showInputMessage="1" showErrorMessage="1" errorTitle="End Time for Ice Station" error="Must be a valid time between 00:00 and 23:59" promptTitle="End Time for Ice Station" prompt="Number between 00:00 and 23:59_x000a_" sqref="B25" xr:uid="{00000000-0002-0000-0000-00000F000000}">
      <formula1>0</formula1>
      <formula2>0.999305555555556</formula2>
    </dataValidation>
    <dataValidation type="whole" allowBlank="1" showInputMessage="1" showErrorMessage="1" error="Value must be a number between 1 and 99" promptTitle="It's the Nth day at the station" prompt="Number between 1 and 99_x000a_If the station lasts less than one day, enter 1." sqref="B6" xr:uid="{00000000-0002-0000-0000-000010000000}">
      <formula1>1</formula1>
      <formula2>99</formula2>
    </dataValidation>
    <dataValidation type="whole" allowBlank="1" showInputMessage="1" showErrorMessage="1" error="Value must be a number between 1 and 99" promptTitle="Unique number for this station" prompt="Generally number sequentially._x000a__x000a_On a cruise, each floe is typically a station.  On fast ice, two distinctly different locations might be given different station numbers, just agree with coworkers._x000a__x000a_Number between 1 and 99" sqref="B5" xr:uid="{00000000-0002-0000-0000-000011000000}">
      <formula1>1</formula1>
      <formula2>99</formula2>
    </dataValidation>
    <dataValidation type="custom" allowBlank="1" showInputMessage="1" showErrorMessage="1" errorTitle="Must enter an ID" promptTitle="Enter a unique expedition ID" prompt="Text with no spaces_x000a_Examples: FS08 or KF_April2010" sqref="B4" xr:uid="{00000000-0002-0000-0000-000012000000}">
      <formula1>ISERROR(FIND(" ",B4))</formula1>
      <formula2>0</formula2>
    </dataValidation>
    <dataValidation type="time" allowBlank="1" showInputMessage="1" showErrorMessage="1" errorTitle="Start time for Ice Station" error="Must be a valid time between 00:00 and 23:59" promptTitle="Start time for Ice Station" prompt="Number between 00:00 and 23:59_x000a_" sqref="B23" xr:uid="{00000000-0002-0000-0000-000013000000}">
      <formula1>0</formula1>
      <formula2>0.999305555555556</formula2>
    </dataValidation>
    <dataValidation type="time" allowBlank="1" showInputMessage="1" showErrorMessage="1" errorTitle="Ice Station Starting Time" error="Must be a valid time between 00:00 and 23:59" promptTitle="Ice Station Starting Time" prompt="Number between 00:00 and 23:59_x000a_" sqref="B18" xr:uid="{00000000-0002-0000-0000-000014000000}">
      <formula1>0</formula1>
      <formula2>0.999305555555556</formula2>
    </dataValidation>
    <dataValidation allowBlank="1" showInputMessage="1" showErrorMessage="1" error="Value must be a number between 1 and 99" promptTitle="Observer" prompt="Give name of observer." sqref="B7:C7" xr:uid="{00000000-0002-0000-0000-000015000000}">
      <formula1>0</formula1>
      <formula2>0</formula2>
    </dataValidation>
    <dataValidation type="custom" allowBlank="1" showInputMessage="1" showErrorMessage="1" error="Must be blank if entered decimal degrees in first cell; otherwise, must be a  number between 0 and 60" prompt="Ending latitude seconds (0 to less than 60)_x000a_Leave blank if decimal degrees entered in previous cell" sqref="E27" xr:uid="{00000000-0002-0000-0000-000016000000}">
      <formula1>IF(#REF!=INT(#REF!),AND(E27&gt;=0,E27&lt;60),ISBLANK(E27))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A1:AMJ134"/>
  <sheetViews>
    <sheetView zoomScale="80" zoomScaleNormal="80" workbookViewId="0">
      <selection activeCell="H36" sqref="H36"/>
    </sheetView>
  </sheetViews>
  <sheetFormatPr defaultColWidth="9.140625" defaultRowHeight="15" x14ac:dyDescent="0.25"/>
  <cols>
    <col min="1" max="1" width="29.42578125" style="2" customWidth="1"/>
    <col min="2" max="8" width="15.7109375" style="2" customWidth="1"/>
    <col min="9" max="9" width="36.7109375" style="2" customWidth="1"/>
    <col min="10" max="10" width="9.140625" style="2"/>
    <col min="11" max="13" width="15.7109375" style="2" customWidth="1"/>
    <col min="14" max="14" width="36.7109375" style="2" customWidth="1"/>
    <col min="15" max="1024" width="9.140625" style="2"/>
  </cols>
  <sheetData>
    <row r="1" spans="1:13" ht="31.5" x14ac:dyDescent="0.5">
      <c r="A1" s="165" t="s">
        <v>37</v>
      </c>
      <c r="B1" s="165"/>
      <c r="C1" s="165"/>
      <c r="D1" s="165"/>
    </row>
    <row r="2" spans="1:13" x14ac:dyDescent="0.25">
      <c r="A2" s="44" t="s">
        <v>29</v>
      </c>
      <c r="B2" s="166" t="str">
        <f>CONCATENATE(ExpID,"-",StnNum,"-",StnDay)</f>
        <v>MOSAiC--</v>
      </c>
      <c r="C2" s="166"/>
      <c r="D2" s="45"/>
    </row>
    <row r="3" spans="1:13" x14ac:dyDescent="0.25">
      <c r="A3" s="44" t="s">
        <v>30</v>
      </c>
      <c r="B3" s="167" t="s">
        <v>86</v>
      </c>
      <c r="C3" s="167"/>
      <c r="D3" s="46"/>
    </row>
    <row r="4" spans="1:13" x14ac:dyDescent="0.25">
      <c r="A4" s="44" t="s">
        <v>31</v>
      </c>
      <c r="B4" s="168" t="str">
        <f>ObsDate</f>
        <v>05.05.2020</v>
      </c>
      <c r="C4" s="168"/>
      <c r="D4" s="46"/>
    </row>
    <row r="5" spans="1:13" x14ac:dyDescent="0.25">
      <c r="A5" s="47" t="s">
        <v>32</v>
      </c>
      <c r="B5" s="169"/>
      <c r="C5" s="169"/>
      <c r="D5" s="46"/>
    </row>
    <row r="6" spans="1:13" x14ac:dyDescent="0.25">
      <c r="A6" s="47" t="s">
        <v>5</v>
      </c>
      <c r="B6" s="161" t="s">
        <v>85</v>
      </c>
      <c r="C6" s="162"/>
      <c r="D6" s="46"/>
      <c r="E6" s="37"/>
    </row>
    <row r="7" spans="1:13" ht="30" customHeight="1" x14ac:dyDescent="0.25">
      <c r="A7" s="48" t="s">
        <v>33</v>
      </c>
      <c r="B7" s="163"/>
      <c r="C7" s="163"/>
      <c r="D7" s="163"/>
    </row>
    <row r="9" spans="1:13" x14ac:dyDescent="0.25">
      <c r="A9" s="5" t="s">
        <v>38</v>
      </c>
    </row>
    <row r="10" spans="1:13" x14ac:dyDescent="0.25">
      <c r="A10" s="49" t="s">
        <v>39</v>
      </c>
      <c r="B10" s="50"/>
      <c r="K10" s="164" t="s">
        <v>40</v>
      </c>
      <c r="L10" s="164"/>
      <c r="M10" s="42">
        <v>311</v>
      </c>
    </row>
    <row r="11" spans="1:13" x14ac:dyDescent="0.25">
      <c r="A11" s="49" t="s">
        <v>41</v>
      </c>
      <c r="B11" s="50"/>
      <c r="K11" s="164" t="s">
        <v>42</v>
      </c>
      <c r="L11" s="164"/>
      <c r="M11" s="19">
        <v>5</v>
      </c>
    </row>
    <row r="12" spans="1:13" x14ac:dyDescent="0.25">
      <c r="A12" s="49" t="s">
        <v>43</v>
      </c>
      <c r="B12" s="50"/>
      <c r="K12" s="49" t="s">
        <v>44</v>
      </c>
      <c r="L12" s="49"/>
      <c r="M12" s="51">
        <v>311</v>
      </c>
    </row>
    <row r="13" spans="1:13" x14ac:dyDescent="0.25">
      <c r="A13" s="49" t="s">
        <v>34</v>
      </c>
      <c r="B13" s="50"/>
    </row>
    <row r="14" spans="1:13" x14ac:dyDescent="0.25">
      <c r="A14" s="49" t="s">
        <v>36</v>
      </c>
      <c r="B14" s="50">
        <v>290</v>
      </c>
    </row>
    <row r="15" spans="1:13" x14ac:dyDescent="0.25">
      <c r="A15" s="49" t="s">
        <v>35</v>
      </c>
      <c r="B15" s="50">
        <v>36</v>
      </c>
    </row>
    <row r="17" spans="1:14" s="41" customFormat="1" ht="45" x14ac:dyDescent="0.25">
      <c r="A17" s="52" t="s">
        <v>45</v>
      </c>
      <c r="B17" s="52" t="s">
        <v>46</v>
      </c>
      <c r="C17" s="52" t="s">
        <v>47</v>
      </c>
      <c r="D17" s="52" t="s">
        <v>48</v>
      </c>
      <c r="E17" s="52" t="s">
        <v>49</v>
      </c>
      <c r="F17" s="52" t="s">
        <v>50</v>
      </c>
      <c r="G17" s="52" t="s">
        <v>51</v>
      </c>
      <c r="H17" s="52" t="s">
        <v>52</v>
      </c>
      <c r="I17" s="52" t="s">
        <v>9</v>
      </c>
      <c r="K17" s="52" t="s">
        <v>53</v>
      </c>
      <c r="L17" s="52" t="s">
        <v>54</v>
      </c>
      <c r="M17" s="52" t="s">
        <v>55</v>
      </c>
      <c r="N17" s="52" t="s">
        <v>9</v>
      </c>
    </row>
    <row r="18" spans="1:14" x14ac:dyDescent="0.25">
      <c r="A18" s="118"/>
      <c r="B18" s="119">
        <v>0</v>
      </c>
      <c r="C18" s="119">
        <v>5</v>
      </c>
      <c r="D18" s="120">
        <v>9.5</v>
      </c>
      <c r="E18" s="120"/>
      <c r="F18" s="120"/>
      <c r="G18" s="119"/>
      <c r="H18" s="120"/>
      <c r="I18" s="122"/>
      <c r="K18" s="53"/>
      <c r="L18" s="50"/>
      <c r="M18" s="50"/>
      <c r="N18" s="54"/>
    </row>
    <row r="19" spans="1:14" x14ac:dyDescent="0.25">
      <c r="A19" s="118"/>
      <c r="B19" s="119">
        <v>5</v>
      </c>
      <c r="C19" s="119">
        <v>10</v>
      </c>
      <c r="D19" s="120">
        <v>8.1</v>
      </c>
      <c r="E19" s="120"/>
      <c r="F19" s="120"/>
      <c r="G19" s="119"/>
      <c r="H19" s="120"/>
      <c r="I19" s="122"/>
      <c r="K19" s="53"/>
      <c r="L19" s="50"/>
      <c r="M19" s="50"/>
      <c r="N19" s="54"/>
    </row>
    <row r="20" spans="1:14" x14ac:dyDescent="0.25">
      <c r="A20" s="118"/>
      <c r="B20" s="119">
        <v>10</v>
      </c>
      <c r="C20" s="119">
        <v>15.000000000000002</v>
      </c>
      <c r="D20" s="120">
        <v>7.9</v>
      </c>
      <c r="E20" s="120"/>
      <c r="F20" s="120"/>
      <c r="G20" s="119"/>
      <c r="H20" s="120"/>
      <c r="I20" s="122"/>
      <c r="K20" s="53"/>
      <c r="L20" s="50"/>
      <c r="M20" s="50"/>
      <c r="N20" s="54"/>
    </row>
    <row r="21" spans="1:14" x14ac:dyDescent="0.25">
      <c r="A21" s="118"/>
      <c r="B21" s="119">
        <v>15.000000000000002</v>
      </c>
      <c r="C21" s="119">
        <v>20</v>
      </c>
      <c r="D21" s="120">
        <v>7.3</v>
      </c>
      <c r="E21" s="120"/>
      <c r="F21" s="120"/>
      <c r="G21" s="119"/>
      <c r="H21" s="120"/>
      <c r="I21" s="122"/>
      <c r="K21" s="53"/>
      <c r="L21" s="50"/>
      <c r="M21" s="50"/>
      <c r="N21" s="54"/>
    </row>
    <row r="22" spans="1:14" x14ac:dyDescent="0.25">
      <c r="A22" s="118"/>
      <c r="B22" s="119">
        <v>20</v>
      </c>
      <c r="C22" s="119">
        <v>25</v>
      </c>
      <c r="D22" s="120">
        <v>8</v>
      </c>
      <c r="E22" s="120"/>
      <c r="F22" s="120"/>
      <c r="G22" s="119"/>
      <c r="H22" s="120"/>
      <c r="I22" s="122"/>
      <c r="K22" s="53"/>
      <c r="L22" s="50"/>
      <c r="M22" s="50"/>
      <c r="N22" s="54"/>
    </row>
    <row r="23" spans="1:14" x14ac:dyDescent="0.25">
      <c r="A23" s="118"/>
      <c r="B23" s="119">
        <v>25</v>
      </c>
      <c r="C23" s="119">
        <v>30.5</v>
      </c>
      <c r="D23" s="120">
        <v>7.3</v>
      </c>
      <c r="E23" s="120"/>
      <c r="F23" s="120"/>
      <c r="G23" s="119"/>
      <c r="H23" s="120"/>
      <c r="I23" s="122"/>
      <c r="K23" s="53"/>
      <c r="L23" s="50"/>
      <c r="M23" s="50"/>
      <c r="N23" s="54"/>
    </row>
    <row r="24" spans="1:14" x14ac:dyDescent="0.25">
      <c r="A24" s="118"/>
      <c r="B24" s="119">
        <v>30.5</v>
      </c>
      <c r="C24" s="119">
        <v>35.5</v>
      </c>
      <c r="D24" s="120">
        <v>7.2</v>
      </c>
      <c r="E24" s="120"/>
      <c r="F24" s="120"/>
      <c r="G24" s="119"/>
      <c r="H24" s="120"/>
      <c r="I24" s="122"/>
      <c r="K24" s="53"/>
      <c r="L24" s="50"/>
      <c r="M24" s="50"/>
      <c r="N24" s="54"/>
    </row>
    <row r="25" spans="1:14" x14ac:dyDescent="0.25">
      <c r="A25" s="118"/>
      <c r="B25" s="119">
        <v>35.5</v>
      </c>
      <c r="C25" s="119">
        <v>40.5</v>
      </c>
      <c r="D25" s="120">
        <v>6</v>
      </c>
      <c r="E25" s="120"/>
      <c r="F25" s="120"/>
      <c r="G25" s="119"/>
      <c r="H25" s="120"/>
      <c r="I25" s="122"/>
      <c r="K25" s="53"/>
      <c r="L25" s="50"/>
      <c r="M25" s="50"/>
      <c r="N25" s="54"/>
    </row>
    <row r="26" spans="1:14" x14ac:dyDescent="0.25">
      <c r="A26" s="118"/>
      <c r="B26" s="119">
        <v>40.5</v>
      </c>
      <c r="C26" s="119">
        <v>46</v>
      </c>
      <c r="D26" s="120">
        <v>4.9000000000000004</v>
      </c>
      <c r="E26" s="120"/>
      <c r="F26" s="120"/>
      <c r="G26" s="119"/>
      <c r="H26" s="120"/>
      <c r="I26" s="122"/>
      <c r="K26" s="53"/>
      <c r="L26" s="50"/>
      <c r="M26" s="50"/>
      <c r="N26" s="54"/>
    </row>
    <row r="27" spans="1:14" x14ac:dyDescent="0.25">
      <c r="A27" s="118"/>
      <c r="B27" s="119">
        <v>46</v>
      </c>
      <c r="C27" s="119">
        <v>51</v>
      </c>
      <c r="D27" s="120">
        <v>4.8</v>
      </c>
      <c r="E27" s="120"/>
      <c r="F27" s="120"/>
      <c r="G27" s="119"/>
      <c r="H27" s="120"/>
      <c r="I27" s="122"/>
      <c r="K27" s="53"/>
      <c r="L27" s="50"/>
      <c r="M27" s="50"/>
      <c r="N27" s="54"/>
    </row>
    <row r="28" spans="1:14" x14ac:dyDescent="0.25">
      <c r="A28" s="118"/>
      <c r="B28" s="119">
        <v>51</v>
      </c>
      <c r="C28" s="119">
        <v>56.000000000000007</v>
      </c>
      <c r="D28" s="120">
        <v>3.9</v>
      </c>
      <c r="E28" s="120"/>
      <c r="F28" s="120"/>
      <c r="G28" s="119"/>
      <c r="H28" s="120"/>
      <c r="I28" s="122"/>
      <c r="K28" s="53"/>
      <c r="L28" s="50"/>
      <c r="M28" s="50"/>
      <c r="N28" s="54"/>
    </row>
    <row r="29" spans="1:14" x14ac:dyDescent="0.25">
      <c r="A29" s="118"/>
      <c r="B29" s="119">
        <v>56.000000000000007</v>
      </c>
      <c r="C29" s="119">
        <v>61.000000000000007</v>
      </c>
      <c r="D29" s="120">
        <v>3.6</v>
      </c>
      <c r="E29" s="120"/>
      <c r="F29" s="120"/>
      <c r="G29" s="119"/>
      <c r="H29" s="120"/>
      <c r="I29" s="122"/>
      <c r="K29" s="53"/>
      <c r="L29" s="50"/>
      <c r="M29" s="50"/>
      <c r="N29" s="54"/>
    </row>
    <row r="30" spans="1:14" x14ac:dyDescent="0.25">
      <c r="A30" s="118"/>
      <c r="B30" s="119">
        <v>61.000000000000007</v>
      </c>
      <c r="C30" s="119">
        <v>66.000000000000014</v>
      </c>
      <c r="D30" s="120">
        <v>4</v>
      </c>
      <c r="E30" s="120"/>
      <c r="F30" s="120"/>
      <c r="G30" s="119"/>
      <c r="H30" s="120"/>
      <c r="I30" s="122"/>
      <c r="K30" s="53"/>
      <c r="L30" s="50"/>
      <c r="M30" s="50"/>
      <c r="N30" s="54"/>
    </row>
    <row r="31" spans="1:14" x14ac:dyDescent="0.25">
      <c r="A31" s="118"/>
      <c r="B31" s="119">
        <v>66.000000000000014</v>
      </c>
      <c r="C31" s="119">
        <v>71.000000000000014</v>
      </c>
      <c r="D31" s="120">
        <v>4.7</v>
      </c>
      <c r="E31" s="120"/>
      <c r="F31" s="120"/>
      <c r="G31" s="119"/>
      <c r="H31" s="120"/>
      <c r="I31" s="122"/>
      <c r="K31" s="53"/>
      <c r="L31" s="50"/>
      <c r="M31" s="50"/>
      <c r="N31" s="54"/>
    </row>
    <row r="32" spans="1:14" x14ac:dyDescent="0.25">
      <c r="A32" s="118"/>
      <c r="B32" s="119">
        <v>71.000000000000014</v>
      </c>
      <c r="C32" s="119">
        <v>76.000000000000028</v>
      </c>
      <c r="D32" s="120">
        <v>4.5</v>
      </c>
      <c r="E32" s="120"/>
      <c r="F32" s="120"/>
      <c r="G32" s="119"/>
      <c r="H32" s="120"/>
      <c r="I32" s="122"/>
      <c r="K32" s="53"/>
      <c r="L32" s="50"/>
      <c r="M32" s="50"/>
      <c r="N32" s="54"/>
    </row>
    <row r="33" spans="1:14" x14ac:dyDescent="0.25">
      <c r="A33" s="118"/>
      <c r="B33" s="119">
        <v>76.000000000000028</v>
      </c>
      <c r="C33" s="119">
        <v>81.000000000000028</v>
      </c>
      <c r="D33" s="120">
        <v>4.3</v>
      </c>
      <c r="E33" s="120"/>
      <c r="F33" s="120"/>
      <c r="G33" s="119"/>
      <c r="H33" s="120"/>
      <c r="I33" s="122"/>
      <c r="K33" s="53"/>
      <c r="L33" s="50"/>
      <c r="M33" s="50"/>
      <c r="N33" s="54"/>
    </row>
    <row r="34" spans="1:14" x14ac:dyDescent="0.25">
      <c r="A34" s="118"/>
      <c r="B34" s="119">
        <v>81.000000000000028</v>
      </c>
      <c r="C34" s="119">
        <v>86.000000000000028</v>
      </c>
      <c r="D34" s="120">
        <v>4.2</v>
      </c>
      <c r="E34" s="120"/>
      <c r="F34" s="120"/>
      <c r="G34" s="119"/>
      <c r="H34" s="120"/>
      <c r="I34" s="122"/>
      <c r="K34" s="53"/>
      <c r="L34" s="50"/>
      <c r="M34" s="50"/>
      <c r="N34" s="54"/>
    </row>
    <row r="35" spans="1:14" x14ac:dyDescent="0.25">
      <c r="A35" s="118"/>
      <c r="B35" s="119">
        <v>86.000000000000028</v>
      </c>
      <c r="C35" s="119">
        <v>91.000000000000043</v>
      </c>
      <c r="D35" s="120">
        <v>4.4000000000000004</v>
      </c>
      <c r="E35" s="120"/>
      <c r="F35" s="120"/>
      <c r="G35" s="119"/>
      <c r="H35" s="120"/>
      <c r="I35" s="122"/>
      <c r="K35" s="53"/>
      <c r="L35" s="50"/>
      <c r="M35" s="50"/>
      <c r="N35" s="54"/>
    </row>
    <row r="36" spans="1:14" x14ac:dyDescent="0.25">
      <c r="A36" s="118"/>
      <c r="B36" s="119">
        <v>91.000000000000043</v>
      </c>
      <c r="C36" s="119">
        <v>96.000000000000043</v>
      </c>
      <c r="D36" s="120">
        <v>4.2</v>
      </c>
      <c r="E36" s="120"/>
      <c r="F36" s="120"/>
      <c r="G36" s="119"/>
      <c r="H36" s="120"/>
      <c r="I36" s="122"/>
      <c r="K36" s="53"/>
      <c r="L36" s="50"/>
      <c r="M36" s="50"/>
      <c r="N36" s="54"/>
    </row>
    <row r="37" spans="1:14" x14ac:dyDescent="0.25">
      <c r="A37" s="118"/>
      <c r="B37" s="119">
        <v>96.000000000000043</v>
      </c>
      <c r="C37" s="119">
        <v>100.50000000000003</v>
      </c>
      <c r="D37" s="120">
        <v>4.8</v>
      </c>
      <c r="E37" s="120"/>
      <c r="F37" s="120"/>
      <c r="G37" s="119"/>
      <c r="H37" s="120"/>
      <c r="I37" s="122"/>
      <c r="K37" s="53"/>
      <c r="L37" s="50"/>
      <c r="M37" s="50"/>
      <c r="N37" s="54"/>
    </row>
    <row r="38" spans="1:14" x14ac:dyDescent="0.25">
      <c r="A38" s="118"/>
      <c r="B38" s="119">
        <v>100.50000000000003</v>
      </c>
      <c r="C38" s="119">
        <v>105.50000000000004</v>
      </c>
      <c r="D38" s="120">
        <v>4.5999999999999996</v>
      </c>
      <c r="E38" s="120"/>
      <c r="F38" s="120"/>
      <c r="G38" s="119"/>
      <c r="H38" s="120"/>
      <c r="I38" s="122"/>
      <c r="K38" s="53"/>
      <c r="L38" s="50"/>
      <c r="M38" s="50"/>
      <c r="N38" s="54"/>
    </row>
    <row r="39" spans="1:14" x14ac:dyDescent="0.25">
      <c r="A39" s="118"/>
      <c r="B39" s="119">
        <v>105.50000000000004</v>
      </c>
      <c r="C39" s="119">
        <v>110.50000000000004</v>
      </c>
      <c r="D39" s="120">
        <v>5.5</v>
      </c>
      <c r="E39" s="120"/>
      <c r="F39" s="120"/>
      <c r="G39" s="119"/>
      <c r="H39" s="120"/>
      <c r="I39" s="122"/>
      <c r="K39" s="53"/>
      <c r="L39" s="50"/>
      <c r="M39" s="50"/>
      <c r="N39" s="54"/>
    </row>
    <row r="40" spans="1:14" x14ac:dyDescent="0.25">
      <c r="A40" s="118"/>
      <c r="B40" s="119">
        <v>110.50000000000004</v>
      </c>
      <c r="C40" s="119">
        <v>115.50000000000004</v>
      </c>
      <c r="D40" s="120">
        <v>6.1</v>
      </c>
      <c r="E40" s="120"/>
      <c r="F40" s="120"/>
      <c r="G40" s="119"/>
      <c r="H40" s="120"/>
      <c r="I40" s="122"/>
      <c r="K40" s="53"/>
      <c r="L40" s="50"/>
      <c r="M40" s="50"/>
      <c r="N40" s="54"/>
    </row>
    <row r="41" spans="1:14" x14ac:dyDescent="0.25">
      <c r="A41" s="118"/>
      <c r="B41" s="119">
        <v>115.50000000000004</v>
      </c>
      <c r="C41" s="119">
        <v>120.00000000000004</v>
      </c>
      <c r="D41" s="120">
        <v>5.4</v>
      </c>
      <c r="E41" s="120"/>
      <c r="F41" s="120"/>
      <c r="G41" s="119"/>
      <c r="H41" s="120"/>
      <c r="I41" s="122"/>
      <c r="K41" s="53"/>
      <c r="L41" s="50"/>
      <c r="M41" s="50"/>
      <c r="N41" s="54"/>
    </row>
    <row r="42" spans="1:14" x14ac:dyDescent="0.25">
      <c r="A42" s="118"/>
      <c r="B42" s="119">
        <v>120.00000000000004</v>
      </c>
      <c r="C42" s="119">
        <v>125.00000000000004</v>
      </c>
      <c r="D42" s="120">
        <v>5.3</v>
      </c>
      <c r="E42" s="120"/>
      <c r="F42" s="120"/>
      <c r="G42" s="119"/>
      <c r="H42" s="120"/>
      <c r="I42" s="122"/>
      <c r="K42" s="53"/>
      <c r="L42" s="50"/>
      <c r="M42" s="50"/>
      <c r="N42" s="54"/>
    </row>
    <row r="43" spans="1:14" x14ac:dyDescent="0.25">
      <c r="A43" s="118"/>
      <c r="B43" s="119">
        <v>125.00000000000004</v>
      </c>
      <c r="C43" s="119">
        <v>130.00000000000006</v>
      </c>
      <c r="D43" s="120">
        <v>7.5</v>
      </c>
      <c r="E43" s="120"/>
      <c r="F43" s="120"/>
      <c r="G43" s="119"/>
      <c r="H43" s="120"/>
      <c r="I43" s="122"/>
      <c r="K43" s="53"/>
      <c r="L43" s="50"/>
      <c r="M43" s="50"/>
      <c r="N43" s="54"/>
    </row>
    <row r="44" spans="1:14" x14ac:dyDescent="0.25">
      <c r="A44" s="118"/>
      <c r="B44" s="119">
        <v>130.00000000000006</v>
      </c>
      <c r="C44" s="119">
        <v>135.00000000000006</v>
      </c>
      <c r="D44" s="120">
        <v>5.6</v>
      </c>
      <c r="E44" s="120"/>
      <c r="F44" s="120"/>
      <c r="G44" s="119"/>
      <c r="H44" s="120"/>
      <c r="I44" s="122"/>
      <c r="K44" s="53"/>
      <c r="L44" s="50"/>
      <c r="M44" s="50"/>
      <c r="N44" s="54"/>
    </row>
    <row r="45" spans="1:14" x14ac:dyDescent="0.25">
      <c r="A45" s="118"/>
      <c r="B45" s="119">
        <v>135.00000000000006</v>
      </c>
      <c r="C45" s="119">
        <v>140.00000000000006</v>
      </c>
      <c r="D45" s="120">
        <v>5.5</v>
      </c>
      <c r="E45" s="120"/>
      <c r="F45" s="120"/>
      <c r="G45" s="119"/>
      <c r="H45" s="120"/>
      <c r="I45" s="122"/>
      <c r="K45" s="53"/>
      <c r="L45" s="50"/>
      <c r="M45" s="50"/>
      <c r="N45" s="54"/>
    </row>
    <row r="46" spans="1:14" x14ac:dyDescent="0.25">
      <c r="A46" s="118"/>
      <c r="B46" s="119">
        <v>140.00000000000006</v>
      </c>
      <c r="C46" s="119">
        <v>145.00000000000006</v>
      </c>
      <c r="D46" s="120">
        <v>7.8</v>
      </c>
      <c r="E46" s="120"/>
      <c r="F46" s="120"/>
      <c r="G46" s="119"/>
      <c r="H46" s="120"/>
      <c r="I46" s="122"/>
      <c r="K46" s="53"/>
      <c r="L46" s="50"/>
      <c r="M46" s="50"/>
      <c r="N46" s="54"/>
    </row>
    <row r="47" spans="1:14" x14ac:dyDescent="0.25">
      <c r="A47" s="118"/>
      <c r="B47" s="119">
        <v>145.00000000000006</v>
      </c>
      <c r="C47" s="119">
        <v>150.00000000000006</v>
      </c>
      <c r="D47" s="120">
        <v>7.3</v>
      </c>
      <c r="E47" s="120"/>
      <c r="F47" s="120"/>
      <c r="G47" s="119"/>
      <c r="H47" s="120"/>
      <c r="I47" s="122"/>
      <c r="K47" s="53"/>
      <c r="L47" s="50"/>
      <c r="M47" s="50"/>
      <c r="N47" s="54"/>
    </row>
    <row r="48" spans="1:14" x14ac:dyDescent="0.25">
      <c r="A48" s="118"/>
      <c r="B48" s="119"/>
      <c r="C48" s="119"/>
      <c r="D48" s="120"/>
      <c r="E48" s="120"/>
      <c r="F48" s="121"/>
      <c r="G48" s="119"/>
      <c r="H48" s="120"/>
      <c r="I48" s="122"/>
      <c r="K48" s="53"/>
      <c r="L48" s="50"/>
      <c r="M48" s="50"/>
      <c r="N48" s="54"/>
    </row>
    <row r="49" spans="1:14" x14ac:dyDescent="0.25">
      <c r="A49" s="118"/>
      <c r="B49" s="119"/>
      <c r="C49" s="119"/>
      <c r="D49" s="120"/>
      <c r="E49" s="120"/>
      <c r="F49" s="121"/>
      <c r="G49" s="119"/>
      <c r="H49" s="120"/>
      <c r="I49" s="122"/>
      <c r="K49" s="53"/>
      <c r="L49" s="50"/>
      <c r="M49" s="50"/>
      <c r="N49" s="54"/>
    </row>
    <row r="50" spans="1:14" x14ac:dyDescent="0.25">
      <c r="A50" s="118"/>
      <c r="B50" s="119"/>
      <c r="C50" s="119"/>
      <c r="D50" s="120"/>
      <c r="E50" s="120"/>
      <c r="F50" s="121"/>
      <c r="G50" s="119"/>
      <c r="H50" s="120"/>
      <c r="I50" s="122"/>
      <c r="K50" s="53"/>
      <c r="L50" s="50"/>
      <c r="M50" s="50"/>
      <c r="N50" s="54"/>
    </row>
    <row r="51" spans="1:14" x14ac:dyDescent="0.25">
      <c r="A51" s="118"/>
      <c r="B51" s="123"/>
      <c r="C51" s="123"/>
      <c r="D51" s="123"/>
      <c r="E51" s="123"/>
      <c r="F51" s="123"/>
      <c r="G51" s="123"/>
      <c r="H51" s="123"/>
      <c r="I51" s="123"/>
    </row>
    <row r="52" spans="1:14" x14ac:dyDescent="0.25">
      <c r="A52" s="123"/>
      <c r="B52" s="123"/>
      <c r="C52" s="123"/>
      <c r="D52" s="123"/>
      <c r="E52" s="123"/>
      <c r="F52" s="123"/>
      <c r="G52" s="123"/>
      <c r="H52" s="123"/>
      <c r="I52" s="123"/>
    </row>
    <row r="53" spans="1:14" x14ac:dyDescent="0.25">
      <c r="A53" s="123"/>
      <c r="B53" s="123"/>
      <c r="C53" s="123"/>
      <c r="D53" s="123"/>
      <c r="E53" s="123"/>
      <c r="F53" s="123"/>
      <c r="G53" s="123"/>
      <c r="H53" s="123"/>
      <c r="I53" s="123"/>
    </row>
    <row r="54" spans="1:14" x14ac:dyDescent="0.25">
      <c r="A54" s="123"/>
      <c r="B54" s="123"/>
      <c r="C54" s="123"/>
      <c r="D54" s="123"/>
      <c r="E54" s="123"/>
      <c r="F54" s="123"/>
      <c r="G54" s="123"/>
      <c r="H54" s="123"/>
      <c r="I54" s="123"/>
    </row>
    <row r="55" spans="1:14" x14ac:dyDescent="0.25">
      <c r="A55" s="123"/>
      <c r="B55" s="123"/>
      <c r="C55" s="123"/>
      <c r="D55" s="123"/>
      <c r="E55" s="123"/>
      <c r="F55" s="123"/>
      <c r="G55" s="123"/>
      <c r="H55" s="123"/>
      <c r="I55" s="123"/>
    </row>
    <row r="56" spans="1:14" x14ac:dyDescent="0.25">
      <c r="A56" s="123"/>
      <c r="B56" s="123"/>
      <c r="C56" s="123"/>
      <c r="D56" s="123"/>
      <c r="E56" s="123"/>
      <c r="F56" s="123"/>
      <c r="G56" s="123"/>
      <c r="H56" s="123"/>
      <c r="I56" s="123"/>
    </row>
    <row r="57" spans="1:14" x14ac:dyDescent="0.25">
      <c r="A57" s="123"/>
      <c r="B57" s="123"/>
      <c r="C57" s="123"/>
      <c r="D57" s="123"/>
      <c r="E57" s="123"/>
      <c r="F57" s="123"/>
      <c r="G57" s="123"/>
      <c r="H57" s="123"/>
      <c r="I57" s="123"/>
    </row>
    <row r="58" spans="1:14" x14ac:dyDescent="0.25">
      <c r="A58" s="123"/>
      <c r="B58" s="123"/>
      <c r="C58" s="123"/>
      <c r="D58" s="123"/>
      <c r="E58" s="123"/>
      <c r="F58" s="123"/>
      <c r="G58" s="123"/>
      <c r="H58" s="123"/>
      <c r="I58" s="123"/>
    </row>
    <row r="59" spans="1:14" x14ac:dyDescent="0.25">
      <c r="A59" s="123"/>
      <c r="B59" s="123"/>
      <c r="C59" s="123"/>
      <c r="D59" s="123"/>
      <c r="E59" s="123"/>
      <c r="F59" s="123"/>
      <c r="G59" s="123"/>
      <c r="H59" s="123"/>
      <c r="I59" s="123"/>
    </row>
    <row r="60" spans="1:14" x14ac:dyDescent="0.25">
      <c r="A60" s="123"/>
      <c r="B60" s="123"/>
      <c r="C60" s="123"/>
      <c r="D60" s="123"/>
      <c r="E60" s="123"/>
      <c r="F60" s="123"/>
      <c r="G60" s="123"/>
      <c r="H60" s="123"/>
      <c r="I60" s="123"/>
    </row>
    <row r="61" spans="1:14" x14ac:dyDescent="0.25">
      <c r="A61" s="123"/>
      <c r="B61" s="123"/>
      <c r="C61" s="123"/>
      <c r="D61" s="123"/>
      <c r="E61" s="123"/>
      <c r="F61" s="123"/>
      <c r="G61" s="123"/>
      <c r="H61" s="123"/>
      <c r="I61" s="123"/>
    </row>
    <row r="62" spans="1:14" x14ac:dyDescent="0.25">
      <c r="A62" s="123"/>
      <c r="B62" s="123"/>
      <c r="C62" s="123"/>
      <c r="D62" s="123"/>
      <c r="E62" s="123"/>
      <c r="F62" s="123"/>
      <c r="G62" s="123"/>
      <c r="H62" s="123"/>
      <c r="I62" s="123"/>
    </row>
    <row r="63" spans="1:14" x14ac:dyDescent="0.25">
      <c r="A63" s="123"/>
      <c r="B63" s="123"/>
      <c r="C63" s="123"/>
      <c r="D63" s="123"/>
      <c r="E63" s="123"/>
      <c r="F63" s="123"/>
      <c r="G63" s="123"/>
      <c r="H63" s="123"/>
      <c r="I63" s="123"/>
    </row>
    <row r="64" spans="1:14" x14ac:dyDescent="0.25">
      <c r="A64" s="123"/>
      <c r="B64" s="123"/>
      <c r="C64" s="123"/>
      <c r="D64" s="123"/>
      <c r="E64" s="123"/>
      <c r="F64" s="123"/>
      <c r="G64" s="123"/>
      <c r="H64" s="123"/>
      <c r="I64" s="123"/>
    </row>
    <row r="65" spans="1:9" x14ac:dyDescent="0.25">
      <c r="A65" s="123"/>
      <c r="B65" s="123"/>
      <c r="C65" s="123"/>
      <c r="D65" s="123"/>
      <c r="E65" s="123"/>
      <c r="F65" s="123"/>
      <c r="G65" s="123"/>
      <c r="H65" s="123"/>
      <c r="I65" s="123"/>
    </row>
    <row r="66" spans="1:9" x14ac:dyDescent="0.25">
      <c r="A66" s="123"/>
      <c r="B66" s="123"/>
      <c r="C66" s="123"/>
      <c r="D66" s="123"/>
      <c r="E66" s="123"/>
      <c r="F66" s="123"/>
      <c r="G66" s="123"/>
      <c r="H66" s="123"/>
      <c r="I66" s="123"/>
    </row>
    <row r="67" spans="1:9" x14ac:dyDescent="0.25">
      <c r="A67" s="123"/>
      <c r="B67" s="123"/>
      <c r="C67" s="123"/>
      <c r="D67" s="123"/>
      <c r="E67" s="123"/>
      <c r="F67" s="123"/>
      <c r="G67" s="123"/>
      <c r="H67" s="123"/>
      <c r="I67" s="123"/>
    </row>
    <row r="68" spans="1:9" x14ac:dyDescent="0.25">
      <c r="A68" s="123"/>
      <c r="B68" s="123"/>
      <c r="C68" s="123"/>
      <c r="D68" s="123"/>
      <c r="E68" s="123"/>
      <c r="F68" s="123"/>
      <c r="G68" s="123"/>
      <c r="H68" s="123"/>
      <c r="I68" s="123"/>
    </row>
    <row r="69" spans="1:9" x14ac:dyDescent="0.25">
      <c r="A69" s="123"/>
      <c r="B69" s="123"/>
      <c r="C69" s="123"/>
      <c r="D69" s="123"/>
      <c r="E69" s="123"/>
      <c r="F69" s="123"/>
      <c r="G69" s="123"/>
      <c r="H69" s="123"/>
      <c r="I69" s="123"/>
    </row>
    <row r="70" spans="1:9" x14ac:dyDescent="0.25">
      <c r="A70" s="123"/>
      <c r="B70" s="123"/>
      <c r="C70" s="123"/>
      <c r="D70" s="123"/>
      <c r="E70" s="123"/>
      <c r="F70" s="123"/>
      <c r="G70" s="123"/>
      <c r="H70" s="123"/>
      <c r="I70" s="123"/>
    </row>
    <row r="71" spans="1:9" x14ac:dyDescent="0.25">
      <c r="A71" s="123"/>
      <c r="B71" s="123"/>
      <c r="C71" s="123"/>
      <c r="D71" s="123"/>
      <c r="E71" s="123"/>
      <c r="F71" s="123"/>
      <c r="G71" s="123"/>
      <c r="H71" s="123"/>
      <c r="I71" s="123"/>
    </row>
    <row r="72" spans="1:9" x14ac:dyDescent="0.25">
      <c r="A72" s="123"/>
      <c r="B72" s="123"/>
      <c r="C72" s="123"/>
      <c r="D72" s="123"/>
      <c r="E72" s="123"/>
      <c r="F72" s="123"/>
      <c r="G72" s="123"/>
      <c r="H72" s="123"/>
      <c r="I72" s="123"/>
    </row>
    <row r="73" spans="1:9" x14ac:dyDescent="0.25">
      <c r="A73" s="123"/>
      <c r="B73" s="123"/>
      <c r="C73" s="123"/>
      <c r="D73" s="123"/>
      <c r="E73" s="123"/>
      <c r="F73" s="123"/>
      <c r="G73" s="123"/>
      <c r="H73" s="123"/>
      <c r="I73" s="123"/>
    </row>
    <row r="74" spans="1:9" x14ac:dyDescent="0.25">
      <c r="A74" s="123"/>
      <c r="B74" s="123"/>
      <c r="C74" s="123"/>
      <c r="D74" s="123"/>
      <c r="E74" s="123"/>
      <c r="F74" s="123"/>
      <c r="G74" s="123"/>
      <c r="H74" s="123"/>
      <c r="I74" s="123"/>
    </row>
    <row r="75" spans="1:9" x14ac:dyDescent="0.25">
      <c r="A75" s="123"/>
      <c r="B75" s="123"/>
      <c r="C75" s="123"/>
      <c r="D75" s="123"/>
      <c r="E75" s="123"/>
      <c r="F75" s="123"/>
      <c r="G75" s="123"/>
      <c r="H75" s="123"/>
      <c r="I75" s="123"/>
    </row>
    <row r="76" spans="1:9" x14ac:dyDescent="0.25">
      <c r="A76" s="123"/>
      <c r="B76" s="123"/>
      <c r="C76" s="123"/>
      <c r="D76" s="123"/>
      <c r="E76" s="123"/>
      <c r="F76" s="123"/>
      <c r="G76" s="123"/>
      <c r="H76" s="123"/>
      <c r="I76" s="123"/>
    </row>
    <row r="77" spans="1:9" x14ac:dyDescent="0.25">
      <c r="A77" s="123"/>
      <c r="B77" s="123"/>
      <c r="C77" s="123"/>
      <c r="D77" s="123"/>
      <c r="E77" s="123"/>
      <c r="F77" s="123"/>
      <c r="G77" s="123"/>
      <c r="H77" s="123"/>
      <c r="I77" s="123"/>
    </row>
    <row r="78" spans="1:9" x14ac:dyDescent="0.25">
      <c r="A78" s="123"/>
      <c r="B78" s="123"/>
      <c r="C78" s="123"/>
      <c r="D78" s="123"/>
      <c r="E78" s="123"/>
      <c r="F78" s="123"/>
      <c r="G78" s="123"/>
      <c r="H78" s="123"/>
      <c r="I78" s="123"/>
    </row>
    <row r="79" spans="1:9" x14ac:dyDescent="0.25">
      <c r="A79" s="123"/>
      <c r="B79" s="123"/>
      <c r="C79" s="123"/>
      <c r="D79" s="123"/>
      <c r="E79" s="123"/>
      <c r="F79" s="123"/>
      <c r="G79" s="123"/>
      <c r="H79" s="123"/>
      <c r="I79" s="123"/>
    </row>
    <row r="80" spans="1:9" x14ac:dyDescent="0.25">
      <c r="A80" s="123"/>
      <c r="B80" s="123"/>
      <c r="C80" s="123"/>
      <c r="D80" s="123"/>
      <c r="E80" s="123"/>
      <c r="F80" s="123"/>
      <c r="G80" s="123"/>
      <c r="H80" s="123"/>
      <c r="I80" s="123"/>
    </row>
    <row r="81" spans="1:9" x14ac:dyDescent="0.25">
      <c r="A81" s="123"/>
      <c r="B81" s="123"/>
      <c r="C81" s="123"/>
      <c r="D81" s="123"/>
      <c r="E81" s="123"/>
      <c r="F81" s="123"/>
      <c r="G81" s="123"/>
      <c r="H81" s="123"/>
      <c r="I81" s="123"/>
    </row>
    <row r="82" spans="1:9" x14ac:dyDescent="0.25">
      <c r="A82" s="123"/>
      <c r="B82" s="123"/>
      <c r="C82" s="123"/>
      <c r="D82" s="123"/>
      <c r="E82" s="123"/>
      <c r="F82" s="123"/>
      <c r="G82" s="123"/>
      <c r="H82" s="123"/>
      <c r="I82" s="123"/>
    </row>
    <row r="83" spans="1:9" x14ac:dyDescent="0.25">
      <c r="A83" s="123"/>
      <c r="B83" s="123"/>
      <c r="C83" s="123"/>
      <c r="D83" s="123"/>
      <c r="E83" s="123"/>
      <c r="F83" s="123"/>
      <c r="G83" s="123"/>
      <c r="H83" s="123"/>
      <c r="I83" s="123"/>
    </row>
    <row r="84" spans="1:9" x14ac:dyDescent="0.25">
      <c r="A84" s="123"/>
      <c r="B84" s="123"/>
      <c r="C84" s="123"/>
      <c r="D84" s="123"/>
      <c r="E84" s="123"/>
      <c r="F84" s="123"/>
      <c r="G84" s="123"/>
      <c r="H84" s="123"/>
      <c r="I84" s="123"/>
    </row>
    <row r="85" spans="1:9" x14ac:dyDescent="0.25">
      <c r="A85" s="123"/>
      <c r="B85" s="123"/>
      <c r="C85" s="123"/>
      <c r="D85" s="123"/>
      <c r="E85" s="123"/>
      <c r="F85" s="123"/>
      <c r="G85" s="123"/>
      <c r="H85" s="123"/>
      <c r="I85" s="123"/>
    </row>
    <row r="86" spans="1:9" x14ac:dyDescent="0.25">
      <c r="A86" s="123"/>
      <c r="B86" s="123"/>
      <c r="C86" s="123"/>
      <c r="D86" s="123"/>
      <c r="E86" s="123"/>
      <c r="F86" s="123"/>
      <c r="G86" s="123"/>
      <c r="H86" s="123"/>
      <c r="I86" s="123"/>
    </row>
    <row r="87" spans="1:9" x14ac:dyDescent="0.25">
      <c r="A87" s="123"/>
      <c r="B87" s="123"/>
      <c r="C87" s="123"/>
      <c r="D87" s="123"/>
      <c r="E87" s="123"/>
      <c r="F87" s="123"/>
      <c r="G87" s="123"/>
      <c r="H87" s="123"/>
      <c r="I87" s="123"/>
    </row>
    <row r="88" spans="1:9" x14ac:dyDescent="0.25">
      <c r="A88" s="123"/>
      <c r="B88" s="123"/>
      <c r="C88" s="123"/>
      <c r="D88" s="123"/>
      <c r="E88" s="123"/>
      <c r="F88" s="123"/>
      <c r="G88" s="123"/>
      <c r="H88" s="123"/>
      <c r="I88" s="123"/>
    </row>
    <row r="89" spans="1:9" x14ac:dyDescent="0.25">
      <c r="A89" s="123"/>
      <c r="B89" s="123"/>
      <c r="C89" s="123"/>
      <c r="D89" s="123"/>
      <c r="E89" s="123"/>
      <c r="F89" s="123"/>
      <c r="G89" s="123"/>
      <c r="H89" s="123"/>
      <c r="I89" s="123"/>
    </row>
    <row r="90" spans="1:9" x14ac:dyDescent="0.25">
      <c r="A90" s="123"/>
      <c r="B90" s="123"/>
      <c r="C90" s="123"/>
      <c r="D90" s="123"/>
      <c r="E90" s="123"/>
      <c r="F90" s="123"/>
      <c r="G90" s="123"/>
      <c r="H90" s="123"/>
      <c r="I90" s="123"/>
    </row>
    <row r="91" spans="1:9" x14ac:dyDescent="0.25">
      <c r="A91" s="123"/>
      <c r="B91" s="123"/>
      <c r="C91" s="123"/>
      <c r="D91" s="123"/>
      <c r="E91" s="123"/>
      <c r="F91" s="123"/>
      <c r="G91" s="123"/>
      <c r="H91" s="123"/>
      <c r="I91" s="123"/>
    </row>
    <row r="92" spans="1:9" x14ac:dyDescent="0.25">
      <c r="A92" s="123"/>
      <c r="B92" s="123"/>
      <c r="C92" s="123"/>
      <c r="D92" s="123"/>
      <c r="E92" s="123"/>
      <c r="F92" s="123"/>
      <c r="G92" s="123"/>
      <c r="H92" s="123"/>
      <c r="I92" s="123"/>
    </row>
    <row r="93" spans="1:9" x14ac:dyDescent="0.25">
      <c r="A93" s="123"/>
      <c r="B93" s="123"/>
      <c r="C93" s="123"/>
      <c r="D93" s="123"/>
      <c r="E93" s="123"/>
      <c r="F93" s="123"/>
      <c r="G93" s="123"/>
      <c r="H93" s="123"/>
      <c r="I93" s="123"/>
    </row>
    <row r="94" spans="1:9" x14ac:dyDescent="0.25">
      <c r="A94" s="123"/>
      <c r="B94" s="123"/>
      <c r="C94" s="123"/>
      <c r="D94" s="123"/>
      <c r="E94" s="123"/>
      <c r="F94" s="123"/>
      <c r="G94" s="123"/>
      <c r="H94" s="123"/>
      <c r="I94" s="123"/>
    </row>
    <row r="95" spans="1:9" x14ac:dyDescent="0.25">
      <c r="A95" s="123"/>
      <c r="B95" s="123"/>
      <c r="C95" s="123"/>
      <c r="D95" s="123"/>
      <c r="E95" s="123"/>
      <c r="F95" s="123"/>
      <c r="G95" s="123"/>
      <c r="H95" s="123"/>
      <c r="I95" s="123"/>
    </row>
    <row r="96" spans="1:9" x14ac:dyDescent="0.25">
      <c r="A96" s="123"/>
      <c r="B96" s="123"/>
      <c r="C96" s="123"/>
      <c r="D96" s="123"/>
      <c r="E96" s="123"/>
      <c r="F96" s="123"/>
      <c r="G96" s="123"/>
      <c r="H96" s="123"/>
      <c r="I96" s="123"/>
    </row>
    <row r="97" spans="1:9" x14ac:dyDescent="0.25">
      <c r="A97" s="123"/>
      <c r="B97" s="123"/>
      <c r="C97" s="123"/>
      <c r="D97" s="123"/>
      <c r="E97" s="123"/>
      <c r="F97" s="123"/>
      <c r="G97" s="123"/>
      <c r="H97" s="123"/>
      <c r="I97" s="123"/>
    </row>
    <row r="98" spans="1:9" x14ac:dyDescent="0.25">
      <c r="A98" s="123"/>
      <c r="B98" s="123"/>
      <c r="C98" s="123"/>
      <c r="D98" s="123"/>
      <c r="E98" s="123"/>
      <c r="F98" s="123"/>
      <c r="G98" s="123"/>
      <c r="H98" s="123"/>
      <c r="I98" s="123"/>
    </row>
    <row r="99" spans="1:9" x14ac:dyDescent="0.25">
      <c r="A99" s="123"/>
      <c r="B99" s="123"/>
      <c r="C99" s="123"/>
      <c r="D99" s="123"/>
      <c r="E99" s="123"/>
      <c r="F99" s="123"/>
      <c r="G99" s="123"/>
      <c r="H99" s="123"/>
      <c r="I99" s="123"/>
    </row>
    <row r="100" spans="1:9" x14ac:dyDescent="0.25">
      <c r="A100" s="123"/>
      <c r="B100" s="123"/>
      <c r="C100" s="123"/>
      <c r="D100" s="123"/>
      <c r="E100" s="123"/>
      <c r="F100" s="123"/>
      <c r="G100" s="123"/>
      <c r="H100" s="123"/>
      <c r="I100" s="123"/>
    </row>
    <row r="101" spans="1:9" x14ac:dyDescent="0.25">
      <c r="A101" s="123"/>
      <c r="B101" s="123"/>
      <c r="C101" s="123"/>
      <c r="D101" s="123"/>
      <c r="E101" s="123"/>
      <c r="F101" s="123"/>
      <c r="G101" s="123"/>
      <c r="H101" s="123"/>
      <c r="I101" s="123"/>
    </row>
    <row r="102" spans="1:9" x14ac:dyDescent="0.25">
      <c r="A102" s="123"/>
      <c r="B102" s="123"/>
      <c r="C102" s="123"/>
      <c r="D102" s="123"/>
      <c r="E102" s="123"/>
      <c r="F102" s="123"/>
      <c r="G102" s="123"/>
      <c r="H102" s="123"/>
      <c r="I102" s="123"/>
    </row>
    <row r="103" spans="1:9" x14ac:dyDescent="0.25">
      <c r="A103" s="123"/>
      <c r="B103" s="123"/>
      <c r="C103" s="123"/>
      <c r="D103" s="123"/>
      <c r="E103" s="123"/>
      <c r="F103" s="123"/>
      <c r="G103" s="123"/>
      <c r="H103" s="123"/>
      <c r="I103" s="123"/>
    </row>
    <row r="104" spans="1:9" x14ac:dyDescent="0.25">
      <c r="A104" s="123"/>
      <c r="B104" s="123"/>
      <c r="C104" s="123"/>
      <c r="D104" s="123"/>
      <c r="E104" s="123"/>
      <c r="F104" s="123"/>
      <c r="G104" s="123"/>
      <c r="H104" s="123"/>
      <c r="I104" s="123"/>
    </row>
    <row r="105" spans="1:9" x14ac:dyDescent="0.25">
      <c r="A105" s="123"/>
      <c r="B105" s="123"/>
      <c r="C105" s="123"/>
      <c r="D105" s="123"/>
      <c r="E105" s="123"/>
      <c r="F105" s="123"/>
      <c r="G105" s="123"/>
      <c r="H105" s="123"/>
      <c r="I105" s="123"/>
    </row>
    <row r="106" spans="1:9" x14ac:dyDescent="0.25">
      <c r="A106" s="123"/>
      <c r="B106" s="123"/>
      <c r="C106" s="123"/>
      <c r="D106" s="123"/>
      <c r="E106" s="123"/>
      <c r="F106" s="123"/>
      <c r="G106" s="123"/>
      <c r="H106" s="123"/>
      <c r="I106" s="123"/>
    </row>
    <row r="107" spans="1:9" x14ac:dyDescent="0.25">
      <c r="A107" s="123"/>
      <c r="B107" s="123"/>
      <c r="C107" s="123"/>
      <c r="D107" s="123"/>
      <c r="E107" s="123"/>
      <c r="F107" s="123"/>
      <c r="G107" s="123"/>
      <c r="H107" s="123"/>
      <c r="I107" s="123"/>
    </row>
    <row r="108" spans="1:9" x14ac:dyDescent="0.25">
      <c r="A108" s="123"/>
      <c r="B108" s="123"/>
      <c r="C108" s="123"/>
      <c r="D108" s="123"/>
      <c r="E108" s="123"/>
      <c r="F108" s="123"/>
      <c r="G108" s="123"/>
      <c r="H108" s="123"/>
      <c r="I108" s="123"/>
    </row>
    <row r="109" spans="1:9" x14ac:dyDescent="0.25">
      <c r="A109" s="123"/>
      <c r="B109" s="123"/>
      <c r="C109" s="123"/>
      <c r="D109" s="123"/>
      <c r="E109" s="123"/>
      <c r="F109" s="123"/>
      <c r="G109" s="123"/>
      <c r="H109" s="123"/>
      <c r="I109" s="123"/>
    </row>
    <row r="110" spans="1:9" x14ac:dyDescent="0.25">
      <c r="A110" s="123"/>
      <c r="B110" s="123"/>
      <c r="C110" s="123"/>
      <c r="D110" s="123"/>
      <c r="E110" s="123"/>
      <c r="F110" s="123"/>
      <c r="G110" s="123"/>
      <c r="H110" s="123"/>
      <c r="I110" s="123"/>
    </row>
    <row r="111" spans="1:9" x14ac:dyDescent="0.25">
      <c r="A111" s="123"/>
      <c r="B111" s="123"/>
      <c r="C111" s="123"/>
      <c r="D111" s="123"/>
      <c r="E111" s="123"/>
      <c r="F111" s="123"/>
      <c r="G111" s="123"/>
      <c r="H111" s="123"/>
      <c r="I111" s="123"/>
    </row>
    <row r="112" spans="1:9" x14ac:dyDescent="0.25">
      <c r="A112" s="123"/>
      <c r="B112" s="123"/>
      <c r="C112" s="123"/>
      <c r="D112" s="123"/>
      <c r="E112" s="123"/>
      <c r="F112" s="123"/>
      <c r="G112" s="123"/>
      <c r="H112" s="123"/>
      <c r="I112" s="123"/>
    </row>
    <row r="113" spans="1:9" x14ac:dyDescent="0.25">
      <c r="A113" s="123"/>
      <c r="B113" s="123"/>
      <c r="C113" s="123"/>
      <c r="D113" s="123"/>
      <c r="E113" s="123"/>
      <c r="F113" s="123"/>
      <c r="G113" s="123"/>
      <c r="H113" s="123"/>
      <c r="I113" s="123"/>
    </row>
    <row r="114" spans="1:9" x14ac:dyDescent="0.25">
      <c r="A114" s="123"/>
      <c r="B114" s="123"/>
      <c r="C114" s="123"/>
      <c r="D114" s="123"/>
      <c r="E114" s="123"/>
      <c r="F114" s="123"/>
      <c r="G114" s="123"/>
      <c r="H114" s="123"/>
      <c r="I114" s="123"/>
    </row>
    <row r="115" spans="1:9" x14ac:dyDescent="0.25">
      <c r="A115" s="123"/>
      <c r="B115" s="123"/>
      <c r="C115" s="123"/>
      <c r="D115" s="123"/>
      <c r="E115" s="123"/>
      <c r="F115" s="123"/>
      <c r="G115" s="123"/>
      <c r="H115" s="123"/>
      <c r="I115" s="123"/>
    </row>
    <row r="116" spans="1:9" x14ac:dyDescent="0.25">
      <c r="A116" s="123"/>
      <c r="B116" s="123"/>
      <c r="C116" s="123"/>
      <c r="D116" s="123"/>
      <c r="E116" s="123"/>
      <c r="F116" s="123"/>
      <c r="G116" s="123"/>
      <c r="H116" s="123"/>
      <c r="I116" s="123"/>
    </row>
    <row r="117" spans="1:9" x14ac:dyDescent="0.25">
      <c r="A117" s="123"/>
      <c r="B117" s="123"/>
      <c r="C117" s="123"/>
      <c r="D117" s="123"/>
      <c r="E117" s="123"/>
      <c r="F117" s="123"/>
      <c r="G117" s="123"/>
      <c r="H117" s="123"/>
      <c r="I117" s="123"/>
    </row>
    <row r="118" spans="1:9" x14ac:dyDescent="0.25">
      <c r="A118" s="123"/>
      <c r="B118" s="123"/>
      <c r="C118" s="123"/>
      <c r="D118" s="123"/>
      <c r="E118" s="123"/>
      <c r="F118" s="123"/>
      <c r="G118" s="123"/>
      <c r="H118" s="123"/>
      <c r="I118" s="123"/>
    </row>
    <row r="119" spans="1:9" x14ac:dyDescent="0.25">
      <c r="A119" s="123"/>
      <c r="B119" s="123"/>
      <c r="C119" s="123"/>
      <c r="D119" s="123"/>
      <c r="E119" s="123"/>
      <c r="F119" s="123"/>
      <c r="G119" s="123"/>
      <c r="H119" s="123"/>
      <c r="I119" s="123"/>
    </row>
    <row r="120" spans="1:9" x14ac:dyDescent="0.25">
      <c r="A120" s="123"/>
      <c r="B120" s="123"/>
      <c r="C120" s="123"/>
      <c r="D120" s="123"/>
      <c r="E120" s="123"/>
      <c r="F120" s="123"/>
      <c r="G120" s="123"/>
      <c r="H120" s="123"/>
      <c r="I120" s="123"/>
    </row>
    <row r="121" spans="1:9" x14ac:dyDescent="0.25">
      <c r="A121" s="123"/>
      <c r="B121" s="123"/>
      <c r="C121" s="123"/>
      <c r="D121" s="123"/>
      <c r="E121" s="123"/>
      <c r="F121" s="123"/>
      <c r="G121" s="123"/>
      <c r="H121" s="123"/>
      <c r="I121" s="123"/>
    </row>
    <row r="122" spans="1:9" x14ac:dyDescent="0.25">
      <c r="A122" s="123"/>
      <c r="B122" s="123"/>
      <c r="C122" s="123"/>
      <c r="D122" s="123"/>
      <c r="E122" s="123"/>
      <c r="F122" s="123"/>
      <c r="G122" s="123"/>
      <c r="H122" s="123"/>
      <c r="I122" s="123"/>
    </row>
    <row r="123" spans="1:9" x14ac:dyDescent="0.25">
      <c r="A123" s="123"/>
      <c r="B123" s="123"/>
      <c r="C123" s="123"/>
      <c r="D123" s="123"/>
      <c r="E123" s="123"/>
      <c r="F123" s="123"/>
      <c r="G123" s="123"/>
      <c r="H123" s="123"/>
      <c r="I123" s="123"/>
    </row>
    <row r="124" spans="1:9" x14ac:dyDescent="0.25">
      <c r="A124" s="123"/>
      <c r="B124" s="123"/>
      <c r="C124" s="123"/>
      <c r="D124" s="123"/>
      <c r="E124" s="123"/>
      <c r="F124" s="123"/>
      <c r="G124" s="123"/>
      <c r="H124" s="123"/>
      <c r="I124" s="123"/>
    </row>
    <row r="125" spans="1:9" x14ac:dyDescent="0.25">
      <c r="A125" s="123"/>
      <c r="B125" s="123"/>
      <c r="C125" s="123"/>
      <c r="D125" s="123"/>
      <c r="E125" s="123"/>
      <c r="F125" s="123"/>
      <c r="G125" s="123"/>
      <c r="H125" s="123"/>
      <c r="I125" s="123"/>
    </row>
    <row r="126" spans="1:9" x14ac:dyDescent="0.25">
      <c r="A126" s="123"/>
      <c r="B126" s="123"/>
      <c r="C126" s="123"/>
      <c r="D126" s="123"/>
      <c r="E126" s="123"/>
      <c r="F126" s="123"/>
      <c r="G126" s="123"/>
      <c r="H126" s="123"/>
      <c r="I126" s="123"/>
    </row>
    <row r="127" spans="1:9" x14ac:dyDescent="0.25">
      <c r="A127" s="123"/>
      <c r="B127" s="123"/>
      <c r="C127" s="123"/>
      <c r="D127" s="123"/>
      <c r="E127" s="123"/>
      <c r="F127" s="123"/>
      <c r="G127" s="123"/>
      <c r="H127" s="123"/>
      <c r="I127" s="123"/>
    </row>
    <row r="128" spans="1:9" x14ac:dyDescent="0.25">
      <c r="A128" s="123"/>
      <c r="B128" s="123"/>
      <c r="C128" s="123"/>
      <c r="D128" s="123"/>
      <c r="E128" s="123"/>
      <c r="F128" s="123"/>
      <c r="G128" s="123"/>
      <c r="H128" s="123"/>
      <c r="I128" s="123"/>
    </row>
    <row r="129" spans="1:9" x14ac:dyDescent="0.25">
      <c r="A129" s="123"/>
      <c r="B129" s="123"/>
      <c r="C129" s="123"/>
      <c r="D129" s="123"/>
      <c r="E129" s="123"/>
      <c r="F129" s="123"/>
      <c r="G129" s="123"/>
      <c r="H129" s="123"/>
      <c r="I129" s="123"/>
    </row>
    <row r="130" spans="1:9" x14ac:dyDescent="0.25">
      <c r="A130" s="123"/>
      <c r="B130" s="123"/>
      <c r="C130" s="123"/>
      <c r="D130" s="123"/>
      <c r="E130" s="123"/>
      <c r="F130" s="123"/>
      <c r="G130" s="123"/>
      <c r="H130" s="123"/>
      <c r="I130" s="123"/>
    </row>
    <row r="131" spans="1:9" x14ac:dyDescent="0.25">
      <c r="A131" s="123"/>
      <c r="B131" s="123"/>
      <c r="C131" s="123"/>
      <c r="D131" s="123"/>
      <c r="E131" s="123"/>
      <c r="F131" s="123"/>
      <c r="G131" s="123"/>
      <c r="H131" s="123"/>
      <c r="I131" s="123"/>
    </row>
    <row r="132" spans="1:9" x14ac:dyDescent="0.25">
      <c r="A132" s="123"/>
      <c r="B132" s="123"/>
      <c r="C132" s="123"/>
      <c r="D132" s="123"/>
      <c r="E132" s="123"/>
      <c r="F132" s="123"/>
      <c r="G132" s="123"/>
      <c r="H132" s="123"/>
      <c r="I132" s="123"/>
    </row>
    <row r="133" spans="1:9" x14ac:dyDescent="0.25">
      <c r="A133" s="123"/>
      <c r="B133" s="123"/>
      <c r="C133" s="123"/>
      <c r="D133" s="123"/>
      <c r="E133" s="123"/>
      <c r="F133" s="123"/>
      <c r="G133" s="123"/>
      <c r="H133" s="123"/>
      <c r="I133" s="123"/>
    </row>
    <row r="134" spans="1:9" x14ac:dyDescent="0.25">
      <c r="A134" s="123"/>
      <c r="B134" s="123"/>
      <c r="C134" s="123"/>
      <c r="D134" s="123"/>
      <c r="E134" s="123"/>
      <c r="F134" s="123"/>
      <c r="G134" s="123"/>
      <c r="H134" s="123"/>
      <c r="I134" s="123"/>
    </row>
  </sheetData>
  <mergeCells count="9">
    <mergeCell ref="B6:C6"/>
    <mergeCell ref="B7:D7"/>
    <mergeCell ref="K10:L10"/>
    <mergeCell ref="K11:L11"/>
    <mergeCell ref="A1:D1"/>
    <mergeCell ref="B2:C2"/>
    <mergeCell ref="B3:C3"/>
    <mergeCell ref="B4:C4"/>
    <mergeCell ref="B5:C5"/>
  </mergeCells>
  <pageMargins left="0.7" right="0.7" top="0.75" bottom="0.75" header="0.51180555555555496" footer="0.51180555555555496"/>
  <pageSetup paperSize="9" firstPageNumber="0" fitToHeight="0"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MJ71"/>
  <sheetViews>
    <sheetView zoomScale="80" zoomScaleNormal="80" workbookViewId="0">
      <selection activeCell="F16" sqref="F16"/>
    </sheetView>
  </sheetViews>
  <sheetFormatPr defaultColWidth="9.140625" defaultRowHeight="15" x14ac:dyDescent="0.25"/>
  <cols>
    <col min="1" max="1" width="23.7109375" style="2" customWidth="1"/>
    <col min="2" max="2" width="16.42578125" style="2" customWidth="1"/>
    <col min="3" max="3" width="12.7109375" style="2" customWidth="1"/>
    <col min="4" max="4" width="29.42578125" style="2" customWidth="1"/>
    <col min="5" max="5" width="18.7109375" style="2" customWidth="1"/>
    <col min="6" max="6" width="20.28515625" style="2" customWidth="1"/>
    <col min="7" max="7" width="18.7109375" style="2" customWidth="1"/>
    <col min="8" max="8" width="36.7109375" style="2" customWidth="1"/>
    <col min="9" max="1024" width="9.140625" style="2"/>
  </cols>
  <sheetData>
    <row r="1" spans="1:9" ht="33.75" x14ac:dyDescent="0.5">
      <c r="A1" s="172" t="s">
        <v>56</v>
      </c>
      <c r="B1" s="172"/>
      <c r="C1" s="172"/>
      <c r="D1" s="172"/>
    </row>
    <row r="2" spans="1:9" x14ac:dyDescent="0.25">
      <c r="A2" s="55" t="s">
        <v>29</v>
      </c>
      <c r="B2" s="173" t="s">
        <v>84</v>
      </c>
      <c r="C2" s="173"/>
      <c r="D2" s="36"/>
    </row>
    <row r="3" spans="1:9" x14ac:dyDescent="0.25">
      <c r="A3" s="56" t="s">
        <v>30</v>
      </c>
      <c r="B3" s="174" t="s">
        <v>86</v>
      </c>
      <c r="C3" s="174"/>
      <c r="D3" s="40"/>
    </row>
    <row r="4" spans="1:9" x14ac:dyDescent="0.25">
      <c r="A4" s="56" t="s">
        <v>31</v>
      </c>
      <c r="B4" s="175">
        <v>43943</v>
      </c>
      <c r="C4" s="175"/>
      <c r="D4" s="40"/>
    </row>
    <row r="5" spans="1:9" x14ac:dyDescent="0.25">
      <c r="A5" s="57" t="s">
        <v>32</v>
      </c>
      <c r="B5" s="176"/>
      <c r="C5" s="176"/>
      <c r="D5" s="40"/>
    </row>
    <row r="6" spans="1:9" x14ac:dyDescent="0.25">
      <c r="A6" s="57" t="s">
        <v>5</v>
      </c>
      <c r="B6" s="161" t="s">
        <v>85</v>
      </c>
      <c r="C6" s="162"/>
      <c r="D6" s="40"/>
    </row>
    <row r="7" spans="1:9" x14ac:dyDescent="0.25">
      <c r="A7" s="170" t="s">
        <v>57</v>
      </c>
      <c r="B7" s="170"/>
      <c r="C7" s="58" t="s">
        <v>58</v>
      </c>
      <c r="D7" s="40"/>
      <c r="E7" s="59"/>
      <c r="F7" s="37"/>
      <c r="G7" s="37"/>
      <c r="H7" s="39"/>
      <c r="I7" s="38"/>
    </row>
    <row r="8" spans="1:9" ht="30" customHeight="1" x14ac:dyDescent="0.25">
      <c r="A8" s="60" t="s">
        <v>33</v>
      </c>
      <c r="B8" s="171"/>
      <c r="C8" s="171"/>
      <c r="D8" s="171"/>
    </row>
    <row r="10" spans="1:9" ht="15.75" thickBot="1" x14ac:dyDescent="0.3">
      <c r="A10" s="5" t="s">
        <v>59</v>
      </c>
      <c r="D10" s="5" t="s">
        <v>38</v>
      </c>
    </row>
    <row r="11" spans="1:9" x14ac:dyDescent="0.25">
      <c r="A11" s="6" t="s">
        <v>60</v>
      </c>
      <c r="B11" s="138"/>
      <c r="D11" s="6" t="s">
        <v>39</v>
      </c>
      <c r="E11" s="61"/>
    </row>
    <row r="12" spans="1:9" x14ac:dyDescent="0.25">
      <c r="A12" s="8" t="s">
        <v>61</v>
      </c>
      <c r="B12" s="139"/>
      <c r="D12" s="8" t="s">
        <v>41</v>
      </c>
      <c r="E12" s="62"/>
    </row>
    <row r="13" spans="1:9" x14ac:dyDescent="0.25">
      <c r="A13" s="8" t="s">
        <v>62</v>
      </c>
      <c r="B13" s="139"/>
      <c r="D13" s="8" t="s">
        <v>43</v>
      </c>
      <c r="E13" s="140"/>
    </row>
    <row r="14" spans="1:9" ht="15.75" thickBot="1" x14ac:dyDescent="0.3">
      <c r="A14" s="9" t="s">
        <v>63</v>
      </c>
      <c r="B14" s="63"/>
      <c r="D14" s="8" t="s">
        <v>34</v>
      </c>
      <c r="E14" s="140"/>
    </row>
    <row r="15" spans="1:9" x14ac:dyDescent="0.25">
      <c r="D15" s="8" t="s">
        <v>36</v>
      </c>
      <c r="E15" s="140">
        <v>290</v>
      </c>
    </row>
    <row r="16" spans="1:9" x14ac:dyDescent="0.25">
      <c r="D16" s="9" t="s">
        <v>35</v>
      </c>
      <c r="E16" s="141">
        <v>36</v>
      </c>
    </row>
    <row r="18" spans="1:8" x14ac:dyDescent="0.25">
      <c r="D18" s="6" t="s">
        <v>40</v>
      </c>
      <c r="E18" s="64"/>
      <c r="F18" s="65"/>
      <c r="G18" s="66"/>
    </row>
    <row r="19" spans="1:8" x14ac:dyDescent="0.25">
      <c r="D19" s="8" t="s">
        <v>42</v>
      </c>
      <c r="E19" s="67"/>
      <c r="F19" s="18"/>
      <c r="G19" s="68"/>
    </row>
    <row r="20" spans="1:8" x14ac:dyDescent="0.25">
      <c r="D20" s="9" t="s">
        <v>44</v>
      </c>
      <c r="E20" s="69"/>
      <c r="F20" s="69"/>
      <c r="G20" s="70"/>
    </row>
    <row r="21" spans="1:8" ht="15.75" thickBot="1" x14ac:dyDescent="0.3"/>
    <row r="22" spans="1:8" ht="15.75" thickBot="1" x14ac:dyDescent="0.3">
      <c r="A22" s="71" t="s">
        <v>64</v>
      </c>
      <c r="B22" s="72" t="s">
        <v>65</v>
      </c>
      <c r="D22" s="71" t="s">
        <v>53</v>
      </c>
      <c r="E22" s="73" t="s">
        <v>66</v>
      </c>
      <c r="F22" s="73" t="s">
        <v>67</v>
      </c>
      <c r="G22" s="73" t="s">
        <v>68</v>
      </c>
      <c r="H22" s="72" t="s">
        <v>9</v>
      </c>
    </row>
    <row r="23" spans="1:8" x14ac:dyDescent="0.25">
      <c r="A23" s="137">
        <v>2.5</v>
      </c>
      <c r="B23" s="137">
        <v>-4.8</v>
      </c>
      <c r="D23" s="74"/>
      <c r="E23" s="75"/>
      <c r="F23" s="75"/>
      <c r="G23" s="75"/>
      <c r="H23" s="43"/>
    </row>
    <row r="24" spans="1:8" x14ac:dyDescent="0.25">
      <c r="A24" s="117">
        <v>12</v>
      </c>
      <c r="B24" s="117">
        <v>-4.2</v>
      </c>
      <c r="D24" s="74"/>
      <c r="E24" s="77"/>
      <c r="F24" s="77"/>
      <c r="G24" s="77"/>
      <c r="H24" s="19"/>
    </row>
    <row r="25" spans="1:8" x14ac:dyDescent="0.25">
      <c r="A25" s="117">
        <v>22.5</v>
      </c>
      <c r="B25" s="117">
        <v>-4</v>
      </c>
      <c r="D25" s="74"/>
      <c r="E25" s="77"/>
      <c r="F25" s="77"/>
      <c r="G25" s="77"/>
      <c r="H25" s="19"/>
    </row>
    <row r="26" spans="1:8" x14ac:dyDescent="0.25">
      <c r="A26" s="117">
        <v>32.5</v>
      </c>
      <c r="B26" s="117">
        <v>-3.8</v>
      </c>
      <c r="D26" s="74"/>
      <c r="E26" s="77"/>
      <c r="F26" s="77"/>
      <c r="G26" s="77"/>
      <c r="H26" s="19"/>
    </row>
    <row r="27" spans="1:8" x14ac:dyDescent="0.25">
      <c r="A27" s="117">
        <v>42.500000000000007</v>
      </c>
      <c r="B27" s="117">
        <v>-3.6</v>
      </c>
      <c r="D27" s="74"/>
      <c r="E27" s="77"/>
      <c r="F27" s="77"/>
      <c r="G27" s="77"/>
      <c r="H27" s="19"/>
    </row>
    <row r="28" spans="1:8" x14ac:dyDescent="0.25">
      <c r="A28" s="117">
        <v>52.5</v>
      </c>
      <c r="B28" s="117">
        <v>-3</v>
      </c>
      <c r="D28" s="74"/>
      <c r="E28" s="77"/>
      <c r="F28" s="77"/>
      <c r="G28" s="77"/>
      <c r="H28" s="19"/>
    </row>
    <row r="29" spans="1:8" x14ac:dyDescent="0.25">
      <c r="A29" s="117">
        <v>62.5</v>
      </c>
      <c r="B29" s="117">
        <v>-3</v>
      </c>
      <c r="D29" s="74"/>
      <c r="E29" s="77"/>
      <c r="F29" s="77"/>
      <c r="G29" s="77"/>
      <c r="H29" s="19"/>
    </row>
    <row r="30" spans="1:8" x14ac:dyDescent="0.25">
      <c r="A30" s="117">
        <v>72.5</v>
      </c>
      <c r="B30" s="117">
        <v>-2.8</v>
      </c>
      <c r="D30" s="74"/>
      <c r="E30" s="77"/>
      <c r="F30" s="77"/>
      <c r="G30" s="77"/>
      <c r="H30" s="19"/>
    </row>
    <row r="31" spans="1:8" x14ac:dyDescent="0.25">
      <c r="A31" s="117">
        <v>82.5</v>
      </c>
      <c r="B31" s="117">
        <v>-2.6</v>
      </c>
      <c r="D31" s="74"/>
      <c r="E31" s="77"/>
      <c r="F31" s="77"/>
      <c r="G31" s="77"/>
      <c r="H31" s="19"/>
    </row>
    <row r="32" spans="1:8" x14ac:dyDescent="0.25">
      <c r="A32" s="117">
        <v>92.5</v>
      </c>
      <c r="B32" s="117">
        <v>-2.4</v>
      </c>
      <c r="D32" s="74"/>
      <c r="E32" s="77"/>
      <c r="F32" s="77"/>
      <c r="G32" s="77"/>
      <c r="H32" s="19"/>
    </row>
    <row r="33" spans="1:8" x14ac:dyDescent="0.25">
      <c r="A33" s="117">
        <v>102.49999999999999</v>
      </c>
      <c r="B33" s="117">
        <v>-2.4</v>
      </c>
      <c r="D33" s="74"/>
      <c r="E33" s="77"/>
      <c r="F33" s="77"/>
      <c r="G33" s="77"/>
      <c r="H33" s="19"/>
    </row>
    <row r="34" spans="1:8" x14ac:dyDescent="0.25">
      <c r="A34" s="117">
        <v>112.5</v>
      </c>
      <c r="B34" s="117">
        <v>-2</v>
      </c>
      <c r="D34" s="74"/>
      <c r="E34" s="77"/>
      <c r="F34" s="77"/>
      <c r="G34" s="77"/>
      <c r="H34" s="19"/>
    </row>
    <row r="35" spans="1:8" x14ac:dyDescent="0.25">
      <c r="A35" s="117">
        <v>122.50000000000001</v>
      </c>
      <c r="B35" s="117">
        <v>-2.1</v>
      </c>
      <c r="D35" s="74"/>
      <c r="E35" s="77"/>
      <c r="F35" s="77"/>
      <c r="G35" s="77"/>
      <c r="H35" s="19"/>
    </row>
    <row r="36" spans="1:8" x14ac:dyDescent="0.25">
      <c r="A36" s="117">
        <v>132.50000000000003</v>
      </c>
      <c r="B36" s="117">
        <v>-1.9</v>
      </c>
      <c r="D36" s="74"/>
      <c r="E36" s="77"/>
      <c r="F36" s="77"/>
      <c r="G36" s="77"/>
      <c r="H36" s="19"/>
    </row>
    <row r="37" spans="1:8" x14ac:dyDescent="0.25">
      <c r="A37" s="117">
        <v>142.50000000000003</v>
      </c>
      <c r="B37" s="117">
        <v>-2</v>
      </c>
      <c r="D37" s="74"/>
      <c r="E37" s="77"/>
      <c r="F37" s="77"/>
      <c r="G37" s="77"/>
      <c r="H37" s="19"/>
    </row>
    <row r="38" spans="1:8" x14ac:dyDescent="0.25">
      <c r="A38" s="117">
        <v>149</v>
      </c>
      <c r="B38" s="117">
        <v>-1.9</v>
      </c>
      <c r="D38" s="74"/>
      <c r="E38" s="77"/>
      <c r="F38" s="77"/>
      <c r="G38" s="77"/>
      <c r="H38" s="19"/>
    </row>
    <row r="39" spans="1:8" x14ac:dyDescent="0.25">
      <c r="A39" s="117"/>
      <c r="B39" s="117"/>
      <c r="D39" s="74"/>
      <c r="E39" s="77"/>
      <c r="F39" s="77"/>
      <c r="G39" s="77"/>
      <c r="H39" s="19"/>
    </row>
    <row r="40" spans="1:8" x14ac:dyDescent="0.25">
      <c r="A40" s="117"/>
      <c r="B40" s="117"/>
      <c r="D40" s="76"/>
      <c r="E40" s="77"/>
      <c r="F40" s="77"/>
      <c r="G40" s="77"/>
      <c r="H40" s="19"/>
    </row>
    <row r="41" spans="1:8" x14ac:dyDescent="0.25">
      <c r="A41" s="117"/>
      <c r="B41" s="117"/>
      <c r="D41" s="76"/>
      <c r="E41" s="77"/>
      <c r="F41" s="77"/>
      <c r="G41" s="77"/>
      <c r="H41" s="19"/>
    </row>
    <row r="42" spans="1:8" x14ac:dyDescent="0.25">
      <c r="A42" s="117"/>
      <c r="B42" s="117"/>
      <c r="D42" s="76"/>
      <c r="E42" s="77"/>
      <c r="F42" s="77"/>
      <c r="G42" s="77"/>
      <c r="H42" s="19"/>
    </row>
    <row r="43" spans="1:8" x14ac:dyDescent="0.25">
      <c r="A43" s="117"/>
      <c r="B43" s="117"/>
      <c r="D43" s="76"/>
      <c r="E43" s="77"/>
      <c r="F43" s="77"/>
      <c r="G43" s="77"/>
      <c r="H43" s="19"/>
    </row>
    <row r="44" spans="1:8" x14ac:dyDescent="0.25">
      <c r="A44" s="117"/>
      <c r="B44" s="117"/>
      <c r="D44" s="76"/>
      <c r="E44" s="77"/>
      <c r="F44" s="77"/>
      <c r="G44" s="77"/>
      <c r="H44" s="19"/>
    </row>
    <row r="45" spans="1:8" x14ac:dyDescent="0.25">
      <c r="A45" s="117"/>
      <c r="B45" s="117"/>
      <c r="D45" s="76"/>
      <c r="E45" s="77"/>
      <c r="F45" s="77"/>
      <c r="G45" s="77"/>
      <c r="H45" s="19"/>
    </row>
    <row r="46" spans="1:8" x14ac:dyDescent="0.25">
      <c r="A46" s="117"/>
      <c r="B46" s="117"/>
      <c r="D46" s="76"/>
      <c r="E46" s="77"/>
      <c r="F46" s="77"/>
      <c r="G46" s="77"/>
      <c r="H46" s="19"/>
    </row>
    <row r="47" spans="1:8" x14ac:dyDescent="0.25">
      <c r="A47" s="117"/>
      <c r="B47" s="117"/>
      <c r="D47" s="76"/>
      <c r="E47" s="77"/>
      <c r="F47" s="77"/>
      <c r="G47" s="77"/>
      <c r="H47" s="19"/>
    </row>
    <row r="48" spans="1:8" x14ac:dyDescent="0.25">
      <c r="A48" s="117"/>
      <c r="B48" s="117"/>
    </row>
    <row r="49" spans="1:2" x14ac:dyDescent="0.25">
      <c r="A49" s="117"/>
      <c r="B49" s="117"/>
    </row>
    <row r="50" spans="1:2" x14ac:dyDescent="0.25">
      <c r="A50" s="117"/>
      <c r="B50" s="117"/>
    </row>
    <row r="51" spans="1:2" x14ac:dyDescent="0.25">
      <c r="A51" s="117"/>
      <c r="B51" s="117"/>
    </row>
    <row r="52" spans="1:2" x14ac:dyDescent="0.25">
      <c r="A52" s="117"/>
      <c r="B52" s="117"/>
    </row>
    <row r="53" spans="1:2" x14ac:dyDescent="0.25">
      <c r="A53" s="117"/>
      <c r="B53" s="117"/>
    </row>
    <row r="54" spans="1:2" x14ac:dyDescent="0.25">
      <c r="A54" s="117"/>
      <c r="B54" s="117"/>
    </row>
    <row r="55" spans="1:2" x14ac:dyDescent="0.25">
      <c r="A55" s="117"/>
      <c r="B55" s="117"/>
    </row>
    <row r="56" spans="1:2" x14ac:dyDescent="0.25">
      <c r="A56" s="117"/>
      <c r="B56" s="117"/>
    </row>
    <row r="57" spans="1:2" x14ac:dyDescent="0.25">
      <c r="A57" s="117"/>
      <c r="B57" s="117"/>
    </row>
    <row r="58" spans="1:2" x14ac:dyDescent="0.25">
      <c r="A58" s="117"/>
      <c r="B58" s="117"/>
    </row>
    <row r="59" spans="1:2" x14ac:dyDescent="0.25">
      <c r="A59" s="117"/>
      <c r="B59" s="117"/>
    </row>
    <row r="60" spans="1:2" x14ac:dyDescent="0.25">
      <c r="A60" s="117"/>
      <c r="B60" s="117"/>
    </row>
    <row r="61" spans="1:2" x14ac:dyDescent="0.25">
      <c r="A61" s="117"/>
      <c r="B61" s="117"/>
    </row>
    <row r="62" spans="1:2" x14ac:dyDescent="0.25">
      <c r="A62" s="117"/>
      <c r="B62" s="117"/>
    </row>
    <row r="63" spans="1:2" x14ac:dyDescent="0.25">
      <c r="A63" s="117"/>
      <c r="B63" s="117"/>
    </row>
    <row r="64" spans="1:2" x14ac:dyDescent="0.25">
      <c r="A64" s="117"/>
      <c r="B64" s="117"/>
    </row>
    <row r="65" spans="1:2" x14ac:dyDescent="0.25">
      <c r="A65" s="117"/>
      <c r="B65" s="117"/>
    </row>
    <row r="66" spans="1:2" x14ac:dyDescent="0.25">
      <c r="A66" s="117"/>
      <c r="B66" s="117"/>
    </row>
    <row r="67" spans="1:2" x14ac:dyDescent="0.25">
      <c r="A67" s="117"/>
      <c r="B67" s="117"/>
    </row>
    <row r="68" spans="1:2" x14ac:dyDescent="0.25">
      <c r="A68" s="117"/>
      <c r="B68" s="117"/>
    </row>
    <row r="69" spans="1:2" x14ac:dyDescent="0.25">
      <c r="A69" s="117"/>
      <c r="B69" s="117"/>
    </row>
    <row r="70" spans="1:2" x14ac:dyDescent="0.25">
      <c r="A70" s="117"/>
      <c r="B70" s="117"/>
    </row>
    <row r="71" spans="1:2" x14ac:dyDescent="0.25">
      <c r="A71" s="117"/>
      <c r="B71" s="117"/>
    </row>
  </sheetData>
  <mergeCells count="8">
    <mergeCell ref="B6:C6"/>
    <mergeCell ref="A7:B7"/>
    <mergeCell ref="B8:D8"/>
    <mergeCell ref="A1:D1"/>
    <mergeCell ref="B2:C2"/>
    <mergeCell ref="B3:C3"/>
    <mergeCell ref="B4:C4"/>
    <mergeCell ref="B5:C5"/>
  </mergeCells>
  <dataValidations disablePrompts="1" count="1">
    <dataValidation type="list" allowBlank="1" showInputMessage="1" showErrorMessage="1" sqref="C7" xr:uid="{00000000-0002-0000-0400-000000000000}">
      <formula1>Yes_No</formula1>
      <formula2>0</formula2>
    </dataValidation>
  </dataValidations>
  <pageMargins left="0.7" right="0.7" top="0.75" bottom="0.75" header="0.51180555555555496" footer="0.51180555555555496"/>
  <pageSetup paperSize="9" firstPageNumber="0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1E5E7-D576-4F74-AF4F-9C1A7CBE94ED}">
  <sheetPr>
    <tabColor rgb="FF92D050"/>
    <pageSetUpPr fitToPage="1"/>
  </sheetPr>
  <dimension ref="A1:L64"/>
  <sheetViews>
    <sheetView zoomScale="75" zoomScaleNormal="75" workbookViewId="0">
      <selection activeCell="E68" sqref="E68"/>
    </sheetView>
  </sheetViews>
  <sheetFormatPr defaultColWidth="9.140625" defaultRowHeight="15" x14ac:dyDescent="0.25"/>
  <cols>
    <col min="1" max="1" width="21.7109375" style="79" customWidth="1"/>
    <col min="2" max="3" width="15.7109375" style="79" customWidth="1"/>
    <col min="4" max="5" width="18.7109375" style="79" customWidth="1"/>
    <col min="6" max="6" width="19.5703125" style="79" bestFit="1" customWidth="1"/>
    <col min="7" max="7" width="19.85546875" style="79" bestFit="1" customWidth="1"/>
    <col min="8" max="8" width="19.5703125" style="79" bestFit="1" customWidth="1"/>
    <col min="9" max="9" width="36.7109375" style="80" customWidth="1"/>
    <col min="10" max="16384" width="9.140625" style="79"/>
  </cols>
  <sheetData>
    <row r="1" spans="1:9" ht="34.5" thickBot="1" x14ac:dyDescent="0.55000000000000004">
      <c r="A1" s="180" t="s">
        <v>69</v>
      </c>
      <c r="B1" s="180"/>
      <c r="C1" s="180"/>
      <c r="D1" s="78"/>
    </row>
    <row r="2" spans="1:9" x14ac:dyDescent="0.25">
      <c r="A2" s="81" t="s">
        <v>29</v>
      </c>
      <c r="B2" s="181" t="s">
        <v>84</v>
      </c>
      <c r="C2" s="181"/>
      <c r="D2" s="82"/>
    </row>
    <row r="3" spans="1:9" x14ac:dyDescent="0.25">
      <c r="A3" s="83" t="s">
        <v>30</v>
      </c>
      <c r="B3" s="182" t="s">
        <v>86</v>
      </c>
      <c r="C3" s="182"/>
      <c r="D3" s="84"/>
    </row>
    <row r="4" spans="1:9" x14ac:dyDescent="0.25">
      <c r="A4" s="83" t="s">
        <v>31</v>
      </c>
      <c r="B4" s="175">
        <v>43956</v>
      </c>
      <c r="C4" s="175"/>
      <c r="D4" s="84"/>
    </row>
    <row r="5" spans="1:9" x14ac:dyDescent="0.25">
      <c r="A5" s="85" t="s">
        <v>32</v>
      </c>
      <c r="B5" s="183"/>
      <c r="C5" s="183"/>
      <c r="D5" s="84"/>
    </row>
    <row r="6" spans="1:9" x14ac:dyDescent="0.25">
      <c r="A6" s="85" t="s">
        <v>5</v>
      </c>
      <c r="B6" s="161" t="s">
        <v>85</v>
      </c>
      <c r="C6" s="162"/>
      <c r="D6" s="84"/>
      <c r="E6" s="86"/>
      <c r="F6" s="86"/>
      <c r="G6" s="87"/>
      <c r="H6" s="88"/>
    </row>
    <row r="7" spans="1:9" ht="30" customHeight="1" thickBot="1" x14ac:dyDescent="0.3">
      <c r="A7" s="89" t="s">
        <v>33</v>
      </c>
      <c r="B7" s="177"/>
      <c r="C7" s="178"/>
      <c r="D7" s="179"/>
      <c r="F7" s="79" t="s">
        <v>70</v>
      </c>
      <c r="G7" s="112">
        <v>-15.9</v>
      </c>
    </row>
    <row r="8" spans="1:9" x14ac:dyDescent="0.25">
      <c r="F8" s="79" t="s">
        <v>71</v>
      </c>
      <c r="G8" s="112">
        <v>0.82599999999999996</v>
      </c>
    </row>
    <row r="9" spans="1:9" ht="15.75" thickBot="1" x14ac:dyDescent="0.3">
      <c r="A9" s="90" t="s">
        <v>38</v>
      </c>
    </row>
    <row r="10" spans="1:9" x14ac:dyDescent="0.25">
      <c r="A10" s="91" t="s">
        <v>35</v>
      </c>
      <c r="B10" s="142">
        <v>36</v>
      </c>
      <c r="F10" s="93" t="s">
        <v>53</v>
      </c>
      <c r="G10" s="94" t="s">
        <v>54</v>
      </c>
      <c r="H10" s="94" t="s">
        <v>55</v>
      </c>
      <c r="I10" s="95" t="s">
        <v>9</v>
      </c>
    </row>
    <row r="11" spans="1:9" x14ac:dyDescent="0.25">
      <c r="A11" s="96" t="s">
        <v>36</v>
      </c>
      <c r="B11" s="143">
        <v>290</v>
      </c>
      <c r="F11" s="97"/>
      <c r="G11" s="98"/>
      <c r="H11" s="99"/>
      <c r="I11" s="100"/>
    </row>
    <row r="12" spans="1:9" x14ac:dyDescent="0.25">
      <c r="A12" s="96" t="s">
        <v>72</v>
      </c>
      <c r="B12" s="143"/>
      <c r="F12" s="97"/>
      <c r="G12" s="99"/>
      <c r="H12" s="101"/>
      <c r="I12" s="102"/>
    </row>
    <row r="13" spans="1:9" x14ac:dyDescent="0.25">
      <c r="A13" s="96" t="s">
        <v>34</v>
      </c>
      <c r="B13" s="143"/>
      <c r="F13" s="97"/>
      <c r="G13" s="99"/>
      <c r="H13" s="99"/>
      <c r="I13" s="102"/>
    </row>
    <row r="14" spans="1:9" ht="15.75" thickBot="1" x14ac:dyDescent="0.3">
      <c r="A14" s="103" t="s">
        <v>73</v>
      </c>
      <c r="B14" s="104"/>
      <c r="F14" s="97"/>
      <c r="G14" s="99"/>
      <c r="H14" s="99"/>
      <c r="I14" s="102"/>
    </row>
    <row r="15" spans="1:9" x14ac:dyDescent="0.25">
      <c r="F15" s="97"/>
      <c r="G15" s="99"/>
      <c r="H15" s="99"/>
      <c r="I15" s="102"/>
    </row>
    <row r="16" spans="1:9" ht="15.75" thickBot="1" x14ac:dyDescent="0.3">
      <c r="A16" s="90" t="s">
        <v>74</v>
      </c>
      <c r="F16" s="97"/>
      <c r="G16" s="99"/>
      <c r="H16" s="99"/>
      <c r="I16" s="102"/>
    </row>
    <row r="17" spans="1:12" x14ac:dyDescent="0.25">
      <c r="A17" s="91" t="s">
        <v>75</v>
      </c>
      <c r="B17" s="92">
        <v>7</v>
      </c>
      <c r="F17" s="97"/>
      <c r="G17" s="99"/>
      <c r="H17" s="99"/>
      <c r="I17" s="102"/>
    </row>
    <row r="18" spans="1:12" ht="15.75" thickBot="1" x14ac:dyDescent="0.3">
      <c r="A18" s="105" t="s">
        <v>76</v>
      </c>
      <c r="B18" s="106">
        <f>POWER(B17/2,2)*3.14</f>
        <v>38.465000000000003</v>
      </c>
      <c r="F18" s="97"/>
      <c r="G18" s="99"/>
      <c r="H18" s="99"/>
      <c r="I18" s="102"/>
    </row>
    <row r="19" spans="1:12" ht="15.75" thickBot="1" x14ac:dyDescent="0.3">
      <c r="B19" s="107"/>
      <c r="F19" s="108"/>
      <c r="G19" s="109"/>
      <c r="H19" s="109"/>
      <c r="I19" s="110"/>
    </row>
    <row r="21" spans="1:12" ht="15.75" thickBot="1" x14ac:dyDescent="0.3"/>
    <row r="22" spans="1:12" s="111" customFormat="1" ht="45" x14ac:dyDescent="0.25">
      <c r="A22" s="113" t="s">
        <v>46</v>
      </c>
      <c r="B22" s="114" t="s">
        <v>47</v>
      </c>
      <c r="C22" s="114" t="s">
        <v>77</v>
      </c>
      <c r="D22" s="114" t="s">
        <v>78</v>
      </c>
      <c r="E22" s="114" t="s">
        <v>79</v>
      </c>
      <c r="F22" s="114" t="s">
        <v>80</v>
      </c>
      <c r="G22" s="114" t="s">
        <v>81</v>
      </c>
      <c r="H22" s="114" t="s">
        <v>82</v>
      </c>
      <c r="I22" s="115" t="s">
        <v>9</v>
      </c>
      <c r="J22" s="116" t="s">
        <v>48</v>
      </c>
      <c r="K22" s="116" t="s">
        <v>49</v>
      </c>
      <c r="L22" s="116" t="s">
        <v>83</v>
      </c>
    </row>
    <row r="23" spans="1:12" x14ac:dyDescent="0.25">
      <c r="A23" s="144">
        <v>0</v>
      </c>
      <c r="B23" s="144">
        <v>5</v>
      </c>
      <c r="C23" s="145"/>
      <c r="D23" s="145"/>
      <c r="E23" s="146"/>
      <c r="F23" s="144"/>
      <c r="G23" s="144">
        <f>AVERAGE(A23:B23)</f>
        <v>2.5</v>
      </c>
      <c r="H23" s="145">
        <v>895.80000000000007</v>
      </c>
      <c r="I23" s="147"/>
      <c r="J23" s="145">
        <v>8.5</v>
      </c>
      <c r="K23" s="145"/>
      <c r="L23" s="145">
        <v>15.9</v>
      </c>
    </row>
    <row r="24" spans="1:12" x14ac:dyDescent="0.25">
      <c r="A24" s="145">
        <v>5</v>
      </c>
      <c r="B24" s="145">
        <v>10</v>
      </c>
      <c r="C24" s="145"/>
      <c r="D24" s="145"/>
      <c r="E24" s="145"/>
      <c r="F24" s="145"/>
      <c r="G24" s="144">
        <f t="shared" ref="G24:G62" si="0">AVERAGE(A24:B24)</f>
        <v>7.5</v>
      </c>
      <c r="H24" s="145">
        <v>901.4</v>
      </c>
      <c r="I24" s="147"/>
      <c r="J24" s="145">
        <v>3</v>
      </c>
      <c r="K24" s="145"/>
      <c r="L24" s="145">
        <v>15.9</v>
      </c>
    </row>
    <row r="25" spans="1:12" x14ac:dyDescent="0.25">
      <c r="A25" s="144">
        <v>10</v>
      </c>
      <c r="B25" s="144">
        <v>15.000000000000002</v>
      </c>
      <c r="C25" s="145"/>
      <c r="D25" s="145"/>
      <c r="E25" s="145"/>
      <c r="F25" s="145"/>
      <c r="G25" s="144">
        <f t="shared" si="0"/>
        <v>12.5</v>
      </c>
      <c r="H25" s="145">
        <v>897.4</v>
      </c>
      <c r="I25" s="147"/>
      <c r="J25" s="145">
        <v>2.9</v>
      </c>
      <c r="K25" s="145"/>
      <c r="L25" s="145">
        <v>15.9</v>
      </c>
    </row>
    <row r="26" spans="1:12" x14ac:dyDescent="0.25">
      <c r="A26" s="145">
        <v>15.000000000000002</v>
      </c>
      <c r="B26" s="145">
        <v>20</v>
      </c>
      <c r="C26" s="145"/>
      <c r="D26" s="145"/>
      <c r="E26" s="145"/>
      <c r="F26" s="144"/>
      <c r="G26" s="144">
        <f t="shared" si="0"/>
        <v>17.5</v>
      </c>
      <c r="H26" s="145">
        <v>910.69999999999993</v>
      </c>
      <c r="I26" s="147"/>
      <c r="J26" s="145">
        <v>10</v>
      </c>
      <c r="K26" s="145"/>
      <c r="L26" s="145">
        <v>15.9</v>
      </c>
    </row>
    <row r="27" spans="1:12" x14ac:dyDescent="0.25">
      <c r="A27" s="144">
        <v>20</v>
      </c>
      <c r="B27" s="144">
        <v>25</v>
      </c>
      <c r="C27" s="145"/>
      <c r="D27" s="145"/>
      <c r="E27" s="145"/>
      <c r="F27" s="145"/>
      <c r="G27" s="144">
        <f t="shared" si="0"/>
        <v>22.5</v>
      </c>
      <c r="H27" s="145">
        <v>884.7</v>
      </c>
      <c r="I27" s="147"/>
      <c r="J27" s="145">
        <v>2.5</v>
      </c>
      <c r="K27" s="145"/>
      <c r="L27" s="145">
        <v>15.9</v>
      </c>
    </row>
    <row r="28" spans="1:12" x14ac:dyDescent="0.25">
      <c r="A28" s="144">
        <v>25</v>
      </c>
      <c r="B28" s="145">
        <v>30</v>
      </c>
      <c r="C28" s="145"/>
      <c r="D28" s="145"/>
      <c r="E28" s="145"/>
      <c r="F28" s="145"/>
      <c r="G28" s="144">
        <f t="shared" si="0"/>
        <v>27.5</v>
      </c>
      <c r="H28" s="145">
        <v>901.90000000000009</v>
      </c>
      <c r="I28" s="147"/>
      <c r="J28" s="145">
        <v>3.3</v>
      </c>
      <c r="K28" s="145"/>
      <c r="L28" s="145">
        <v>15.9</v>
      </c>
    </row>
    <row r="29" spans="1:12" x14ac:dyDescent="0.25">
      <c r="A29" s="145">
        <v>30</v>
      </c>
      <c r="B29" s="144">
        <v>35</v>
      </c>
      <c r="C29" s="145"/>
      <c r="D29" s="145"/>
      <c r="E29" s="145"/>
      <c r="F29" s="144"/>
      <c r="G29" s="144">
        <f t="shared" si="0"/>
        <v>32.5</v>
      </c>
      <c r="H29" s="145">
        <v>899.4</v>
      </c>
      <c r="I29" s="147"/>
      <c r="J29" s="145">
        <v>2.5</v>
      </c>
      <c r="K29" s="145"/>
      <c r="L29" s="145">
        <v>15.9</v>
      </c>
    </row>
    <row r="30" spans="1:12" x14ac:dyDescent="0.25">
      <c r="A30" s="144">
        <v>35</v>
      </c>
      <c r="B30" s="145">
        <v>40</v>
      </c>
      <c r="C30" s="145"/>
      <c r="D30" s="145"/>
      <c r="E30" s="145"/>
      <c r="F30" s="145"/>
      <c r="G30" s="144">
        <f t="shared" si="0"/>
        <v>37.5</v>
      </c>
      <c r="H30" s="145">
        <v>908.5</v>
      </c>
      <c r="I30" s="147"/>
      <c r="J30" s="145">
        <v>2.8</v>
      </c>
      <c r="K30" s="145"/>
      <c r="L30" s="145">
        <v>15.9</v>
      </c>
    </row>
    <row r="31" spans="1:12" x14ac:dyDescent="0.25">
      <c r="A31" s="145">
        <v>40</v>
      </c>
      <c r="B31" s="144">
        <v>44.999999999999993</v>
      </c>
      <c r="C31" s="145"/>
      <c r="D31" s="145"/>
      <c r="E31" s="145"/>
      <c r="F31" s="145"/>
      <c r="G31" s="144">
        <f t="shared" si="0"/>
        <v>42.5</v>
      </c>
      <c r="H31" s="145">
        <v>899.59999999999991</v>
      </c>
      <c r="I31" s="147"/>
      <c r="J31" s="145">
        <v>2.2999999999999998</v>
      </c>
      <c r="K31" s="145"/>
      <c r="L31" s="145">
        <v>15.9</v>
      </c>
    </row>
    <row r="32" spans="1:12" x14ac:dyDescent="0.25">
      <c r="A32" s="144">
        <v>44.999999999999993</v>
      </c>
      <c r="B32" s="145">
        <v>49.999999999999993</v>
      </c>
      <c r="C32" s="145"/>
      <c r="D32" s="145"/>
      <c r="E32" s="145"/>
      <c r="F32" s="144"/>
      <c r="G32" s="144">
        <f t="shared" si="0"/>
        <v>47.499999999999993</v>
      </c>
      <c r="H32" s="145">
        <v>908.2</v>
      </c>
      <c r="I32" s="147"/>
      <c r="J32" s="145">
        <v>2.4</v>
      </c>
      <c r="K32" s="145"/>
      <c r="L32" s="145">
        <v>15.9</v>
      </c>
    </row>
    <row r="33" spans="1:12" x14ac:dyDescent="0.25">
      <c r="A33" s="144">
        <v>49.999999999999993</v>
      </c>
      <c r="B33" s="144">
        <v>54.999999999999993</v>
      </c>
      <c r="C33" s="145"/>
      <c r="D33" s="145"/>
      <c r="E33" s="145"/>
      <c r="F33" s="145"/>
      <c r="G33" s="144">
        <f t="shared" si="0"/>
        <v>52.499999999999993</v>
      </c>
      <c r="H33" s="145">
        <v>881.19999999999993</v>
      </c>
      <c r="I33" s="147"/>
      <c r="J33" s="145">
        <v>1.9</v>
      </c>
      <c r="K33" s="145"/>
      <c r="L33" s="145">
        <v>15.9</v>
      </c>
    </row>
    <row r="34" spans="1:12" x14ac:dyDescent="0.25">
      <c r="A34" s="145">
        <v>54.999999999999993</v>
      </c>
      <c r="B34" s="145">
        <v>60</v>
      </c>
      <c r="C34" s="145"/>
      <c r="D34" s="145"/>
      <c r="E34" s="145"/>
      <c r="F34" s="145"/>
      <c r="G34" s="144">
        <f t="shared" si="0"/>
        <v>57.5</v>
      </c>
      <c r="H34" s="145">
        <v>874.19999999999993</v>
      </c>
      <c r="I34" s="147"/>
      <c r="J34" s="145">
        <v>1.2</v>
      </c>
      <c r="K34" s="145"/>
      <c r="L34" s="145">
        <v>15.9</v>
      </c>
    </row>
    <row r="35" spans="1:12" x14ac:dyDescent="0.25">
      <c r="A35" s="145">
        <v>60</v>
      </c>
      <c r="B35" s="145">
        <v>65</v>
      </c>
      <c r="C35" s="145"/>
      <c r="D35" s="145"/>
      <c r="E35" s="145"/>
      <c r="F35" s="144"/>
      <c r="G35" s="144">
        <f t="shared" si="0"/>
        <v>62.5</v>
      </c>
      <c r="H35" s="145">
        <v>916.69999999999993</v>
      </c>
      <c r="I35" s="147"/>
      <c r="J35" s="145">
        <v>1.1000000000000001</v>
      </c>
      <c r="K35" s="145"/>
      <c r="L35" s="145">
        <v>15.9</v>
      </c>
    </row>
    <row r="36" spans="1:12" x14ac:dyDescent="0.25">
      <c r="A36" s="145">
        <v>65</v>
      </c>
      <c r="B36" s="145">
        <v>70</v>
      </c>
      <c r="C36" s="145"/>
      <c r="D36" s="145"/>
      <c r="E36" s="145"/>
      <c r="F36" s="145"/>
      <c r="G36" s="144">
        <f t="shared" si="0"/>
        <v>67.5</v>
      </c>
      <c r="H36" s="145">
        <v>918.3</v>
      </c>
      <c r="I36" s="147"/>
      <c r="J36" s="145">
        <v>1.2</v>
      </c>
      <c r="K36" s="145"/>
      <c r="L36" s="145">
        <v>15.9</v>
      </c>
    </row>
    <row r="37" spans="1:12" x14ac:dyDescent="0.25">
      <c r="A37" s="145">
        <v>70</v>
      </c>
      <c r="B37" s="145">
        <v>75.000000000000014</v>
      </c>
      <c r="C37" s="145"/>
      <c r="D37" s="145"/>
      <c r="E37" s="145"/>
      <c r="F37" s="145"/>
      <c r="G37" s="144">
        <f t="shared" si="0"/>
        <v>72.5</v>
      </c>
      <c r="H37" s="145">
        <v>914.3</v>
      </c>
      <c r="I37" s="147"/>
      <c r="J37" s="145">
        <v>1.2</v>
      </c>
      <c r="K37" s="145"/>
      <c r="L37" s="145">
        <v>15.9</v>
      </c>
    </row>
    <row r="38" spans="1:12" x14ac:dyDescent="0.25">
      <c r="A38" s="145">
        <v>75.000000000000014</v>
      </c>
      <c r="B38" s="145">
        <v>80.000000000000014</v>
      </c>
      <c r="C38" s="145"/>
      <c r="D38" s="145"/>
      <c r="E38" s="145"/>
      <c r="F38" s="144"/>
      <c r="G38" s="144">
        <f t="shared" si="0"/>
        <v>77.500000000000014</v>
      </c>
      <c r="H38" s="145">
        <v>888.3</v>
      </c>
      <c r="I38" s="147"/>
      <c r="J38" s="145">
        <v>1.1000000000000001</v>
      </c>
      <c r="K38" s="145"/>
      <c r="L38" s="145">
        <v>15.9</v>
      </c>
    </row>
    <row r="39" spans="1:12" x14ac:dyDescent="0.25">
      <c r="A39" s="145">
        <v>80.000000000000014</v>
      </c>
      <c r="B39" s="145">
        <v>84.500000000000014</v>
      </c>
      <c r="C39" s="145"/>
      <c r="D39" s="145"/>
      <c r="E39" s="145"/>
      <c r="F39" s="145"/>
      <c r="G39" s="144">
        <f t="shared" si="0"/>
        <v>82.250000000000014</v>
      </c>
      <c r="H39" s="145">
        <v>867.3</v>
      </c>
      <c r="I39" s="147"/>
      <c r="J39" s="145">
        <v>1</v>
      </c>
      <c r="K39" s="145"/>
      <c r="L39" s="145">
        <v>15.9</v>
      </c>
    </row>
    <row r="40" spans="1:12" x14ac:dyDescent="0.25">
      <c r="A40" s="145">
        <v>84.500000000000014</v>
      </c>
      <c r="B40" s="145">
        <v>89.500000000000028</v>
      </c>
      <c r="C40" s="145"/>
      <c r="D40" s="145"/>
      <c r="E40" s="145"/>
      <c r="F40" s="145"/>
      <c r="G40" s="144">
        <f t="shared" si="0"/>
        <v>87.000000000000028</v>
      </c>
      <c r="H40" s="145">
        <v>869</v>
      </c>
      <c r="I40" s="147"/>
      <c r="J40" s="145">
        <v>1.2</v>
      </c>
      <c r="K40" s="145"/>
      <c r="L40" s="145">
        <v>15.9</v>
      </c>
    </row>
    <row r="41" spans="1:12" x14ac:dyDescent="0.25">
      <c r="A41" s="144">
        <v>89.500000000000028</v>
      </c>
      <c r="B41" s="144">
        <v>94.500000000000028</v>
      </c>
      <c r="C41" s="145"/>
      <c r="D41" s="145"/>
      <c r="E41" s="146"/>
      <c r="F41" s="144"/>
      <c r="G41" s="144">
        <f t="shared" si="0"/>
        <v>92.000000000000028</v>
      </c>
      <c r="H41" s="145">
        <v>912</v>
      </c>
      <c r="I41" s="147"/>
      <c r="J41" s="145">
        <v>1.2</v>
      </c>
      <c r="K41" s="145"/>
      <c r="L41" s="145">
        <v>15.9</v>
      </c>
    </row>
    <row r="42" spans="1:12" x14ac:dyDescent="0.25">
      <c r="A42" s="145">
        <v>94.500000000000028</v>
      </c>
      <c r="B42" s="145">
        <v>99.500000000000028</v>
      </c>
      <c r="C42" s="145"/>
      <c r="D42" s="145"/>
      <c r="E42" s="145"/>
      <c r="F42" s="145"/>
      <c r="G42" s="144">
        <f t="shared" si="0"/>
        <v>97.000000000000028</v>
      </c>
      <c r="H42" s="145">
        <v>917</v>
      </c>
      <c r="I42" s="147"/>
      <c r="J42" s="145">
        <v>1.9</v>
      </c>
      <c r="K42" s="145"/>
      <c r="L42" s="145">
        <v>15.9</v>
      </c>
    </row>
    <row r="43" spans="1:12" x14ac:dyDescent="0.25">
      <c r="A43" s="144">
        <v>99.500000000000028</v>
      </c>
      <c r="B43" s="144">
        <v>104.50000000000004</v>
      </c>
      <c r="C43" s="145"/>
      <c r="D43" s="145"/>
      <c r="E43" s="145"/>
      <c r="F43" s="145"/>
      <c r="G43" s="144">
        <f t="shared" si="0"/>
        <v>102.00000000000003</v>
      </c>
      <c r="H43" s="145">
        <v>915.69999999999993</v>
      </c>
      <c r="I43" s="147"/>
      <c r="J43" s="145">
        <v>2.2999999999999998</v>
      </c>
      <c r="K43" s="145"/>
      <c r="L43" s="145">
        <v>15.9</v>
      </c>
    </row>
    <row r="44" spans="1:12" x14ac:dyDescent="0.25">
      <c r="A44" s="144">
        <v>104.50000000000004</v>
      </c>
      <c r="B44" s="145">
        <v>108.50000000000004</v>
      </c>
      <c r="C44" s="145"/>
      <c r="D44" s="145"/>
      <c r="E44" s="145"/>
      <c r="F44" s="145"/>
      <c r="G44" s="144">
        <f t="shared" si="0"/>
        <v>106.50000000000004</v>
      </c>
      <c r="H44" s="145">
        <v>915.8</v>
      </c>
      <c r="I44" s="147"/>
      <c r="J44" s="145">
        <v>2.2999999999999998</v>
      </c>
      <c r="K44" s="145"/>
      <c r="L44" s="145">
        <v>15.9</v>
      </c>
    </row>
    <row r="45" spans="1:12" x14ac:dyDescent="0.25">
      <c r="A45" s="145">
        <v>108.50000000000004</v>
      </c>
      <c r="B45" s="144">
        <v>113.50000000000004</v>
      </c>
      <c r="C45" s="145"/>
      <c r="D45" s="145"/>
      <c r="E45" s="145"/>
      <c r="F45" s="145"/>
      <c r="G45" s="144">
        <f t="shared" si="0"/>
        <v>111.00000000000004</v>
      </c>
      <c r="H45" s="145">
        <v>920.4</v>
      </c>
      <c r="I45" s="147"/>
      <c r="J45" s="145">
        <v>2.2999999999999998</v>
      </c>
      <c r="K45" s="145"/>
      <c r="L45" s="145">
        <v>15.9</v>
      </c>
    </row>
    <row r="46" spans="1:12" x14ac:dyDescent="0.25">
      <c r="A46" s="144">
        <v>113.50000000000004</v>
      </c>
      <c r="B46" s="145">
        <v>118.50000000000006</v>
      </c>
      <c r="C46" s="145"/>
      <c r="D46" s="145"/>
      <c r="E46" s="145"/>
      <c r="F46" s="145"/>
      <c r="G46" s="144">
        <f t="shared" si="0"/>
        <v>116.00000000000006</v>
      </c>
      <c r="H46" s="145">
        <v>921.69999999999993</v>
      </c>
      <c r="I46" s="147"/>
      <c r="J46" s="145">
        <v>2</v>
      </c>
      <c r="K46" s="145"/>
      <c r="L46" s="145">
        <v>15.9</v>
      </c>
    </row>
    <row r="47" spans="1:12" x14ac:dyDescent="0.25">
      <c r="A47" s="144">
        <v>118.50000000000006</v>
      </c>
      <c r="B47" s="144">
        <v>123.50000000000006</v>
      </c>
      <c r="C47" s="145"/>
      <c r="D47" s="145"/>
      <c r="E47" s="145"/>
      <c r="F47" s="145"/>
      <c r="G47" s="144">
        <f t="shared" si="0"/>
        <v>121.00000000000006</v>
      </c>
      <c r="H47" s="145">
        <v>917.1</v>
      </c>
      <c r="I47" s="147"/>
      <c r="J47" s="145">
        <v>2.1</v>
      </c>
      <c r="K47" s="145"/>
      <c r="L47" s="145">
        <v>15.9</v>
      </c>
    </row>
    <row r="48" spans="1:12" x14ac:dyDescent="0.25">
      <c r="A48" s="145">
        <v>123.50000000000006</v>
      </c>
      <c r="B48" s="145">
        <v>128.50000000000006</v>
      </c>
      <c r="C48" s="145"/>
      <c r="D48" s="145"/>
      <c r="E48" s="145"/>
      <c r="F48" s="145"/>
      <c r="G48" s="144">
        <f t="shared" si="0"/>
        <v>126.00000000000006</v>
      </c>
      <c r="H48" s="145">
        <v>918.3</v>
      </c>
      <c r="I48" s="147"/>
      <c r="J48" s="145">
        <v>2.2999999999999998</v>
      </c>
      <c r="K48" s="145"/>
      <c r="L48" s="145">
        <v>15.9</v>
      </c>
    </row>
    <row r="49" spans="1:12" x14ac:dyDescent="0.25">
      <c r="A49" s="144">
        <v>128.50000000000006</v>
      </c>
      <c r="B49" s="144">
        <v>134.00000000000006</v>
      </c>
      <c r="C49" s="145"/>
      <c r="D49" s="145"/>
      <c r="E49" s="145"/>
      <c r="F49" s="145"/>
      <c r="G49" s="144">
        <f t="shared" si="0"/>
        <v>131.25000000000006</v>
      </c>
      <c r="H49" s="145">
        <v>896.80000000000007</v>
      </c>
      <c r="I49" s="147"/>
      <c r="J49" s="145">
        <v>2.2999999999999998</v>
      </c>
      <c r="K49" s="145"/>
      <c r="L49" s="145">
        <v>15.9</v>
      </c>
    </row>
    <row r="50" spans="1:12" x14ac:dyDescent="0.25">
      <c r="A50" s="144">
        <v>134.00000000000006</v>
      </c>
      <c r="B50" s="145">
        <v>139.00000000000006</v>
      </c>
      <c r="C50" s="145"/>
      <c r="D50" s="145"/>
      <c r="E50" s="145"/>
      <c r="F50" s="145"/>
      <c r="G50" s="144">
        <f t="shared" si="0"/>
        <v>136.50000000000006</v>
      </c>
      <c r="H50" s="145">
        <v>893</v>
      </c>
      <c r="I50" s="147"/>
      <c r="J50" s="145">
        <v>1.5</v>
      </c>
      <c r="K50" s="145"/>
      <c r="L50" s="145">
        <v>15.9</v>
      </c>
    </row>
    <row r="51" spans="1:12" x14ac:dyDescent="0.25">
      <c r="A51" s="145">
        <v>139.00000000000006</v>
      </c>
      <c r="B51" s="144">
        <v>144.00000000000006</v>
      </c>
      <c r="C51" s="145"/>
      <c r="D51" s="145"/>
      <c r="E51" s="145"/>
      <c r="F51" s="145"/>
      <c r="G51" s="144">
        <f t="shared" si="0"/>
        <v>141.50000000000006</v>
      </c>
      <c r="H51" s="145">
        <v>914</v>
      </c>
      <c r="I51" s="147"/>
      <c r="J51" s="145">
        <v>2.2000000000000002</v>
      </c>
      <c r="K51" s="145"/>
      <c r="L51" s="145">
        <v>15.9</v>
      </c>
    </row>
    <row r="52" spans="1:12" x14ac:dyDescent="0.25">
      <c r="A52" s="144">
        <v>144.00000000000006</v>
      </c>
      <c r="B52" s="145">
        <v>150.00000000000006</v>
      </c>
      <c r="C52" s="145"/>
      <c r="D52" s="145"/>
      <c r="E52" s="145"/>
      <c r="F52" s="145"/>
      <c r="G52" s="144">
        <f t="shared" si="0"/>
        <v>147.00000000000006</v>
      </c>
      <c r="H52" s="145">
        <v>896.4</v>
      </c>
      <c r="I52" s="147"/>
      <c r="J52" s="145">
        <v>2.5</v>
      </c>
      <c r="K52" s="145"/>
      <c r="L52" s="145">
        <v>15.9</v>
      </c>
    </row>
    <row r="53" spans="1:12" x14ac:dyDescent="0.25">
      <c r="A53" s="144">
        <v>150.00000000000006</v>
      </c>
      <c r="B53" s="144">
        <v>152.00000000000006</v>
      </c>
      <c r="C53" s="145"/>
      <c r="D53" s="145"/>
      <c r="E53" s="145"/>
      <c r="F53" s="145"/>
      <c r="G53" s="144">
        <f t="shared" si="0"/>
        <v>151.00000000000006</v>
      </c>
      <c r="H53" s="145">
        <v>889.2</v>
      </c>
      <c r="I53" s="147"/>
      <c r="J53" s="145">
        <v>2.5</v>
      </c>
      <c r="K53" s="145"/>
      <c r="L53" s="145">
        <v>15.9</v>
      </c>
    </row>
    <row r="54" spans="1:12" x14ac:dyDescent="0.25">
      <c r="I54" s="79"/>
    </row>
    <row r="55" spans="1:12" x14ac:dyDescent="0.25">
      <c r="I55" s="79"/>
    </row>
    <row r="56" spans="1:12" x14ac:dyDescent="0.25">
      <c r="I56" s="79"/>
    </row>
    <row r="57" spans="1:12" x14ac:dyDescent="0.25">
      <c r="I57" s="79"/>
    </row>
    <row r="58" spans="1:12" x14ac:dyDescent="0.25">
      <c r="I58" s="79"/>
    </row>
    <row r="59" spans="1:12" x14ac:dyDescent="0.25">
      <c r="I59" s="79"/>
    </row>
    <row r="60" spans="1:12" x14ac:dyDescent="0.25">
      <c r="I60" s="79"/>
    </row>
    <row r="61" spans="1:12" x14ac:dyDescent="0.25">
      <c r="I61" s="79"/>
    </row>
    <row r="62" spans="1:12" x14ac:dyDescent="0.25">
      <c r="I62" s="79"/>
    </row>
    <row r="63" spans="1:12" x14ac:dyDescent="0.25">
      <c r="I63" s="79"/>
    </row>
    <row r="64" spans="1:12" x14ac:dyDescent="0.25">
      <c r="I64" s="79"/>
    </row>
  </sheetData>
  <mergeCells count="7">
    <mergeCell ref="B7:D7"/>
    <mergeCell ref="A1:C1"/>
    <mergeCell ref="B2:C2"/>
    <mergeCell ref="B3:C3"/>
    <mergeCell ref="B4:C4"/>
    <mergeCell ref="B5:C5"/>
    <mergeCell ref="B6:C6"/>
  </mergeCells>
  <phoneticPr fontId="18" type="noConversion"/>
  <pageMargins left="0.7" right="0.7" top="0.75" bottom="0.75" header="0.3" footer="0.3"/>
  <pageSetup paperSize="9" scale="66" fitToHeight="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9</vt:i4>
      </vt:variant>
    </vt:vector>
  </HeadingPairs>
  <TitlesOfParts>
    <vt:vector size="13" baseType="lpstr">
      <vt:lpstr>Station Overview</vt:lpstr>
      <vt:lpstr>Salinity Core</vt:lpstr>
      <vt:lpstr>Temperature Core</vt:lpstr>
      <vt:lpstr>Density Core</vt:lpstr>
      <vt:lpstr>asdfasdf</vt:lpstr>
      <vt:lpstr>ExpID</vt:lpstr>
      <vt:lpstr>ObsDate</vt:lpstr>
      <vt:lpstr>'Density Core'!Print_Area</vt:lpstr>
      <vt:lpstr>'Salinity Core'!Print_Area</vt:lpstr>
      <vt:lpstr>'Station Overview'!Print_Area</vt:lpstr>
      <vt:lpstr>'Temperature Core'!Print_Area</vt:lpstr>
      <vt:lpstr>StnDay</vt:lpstr>
      <vt:lpstr>StnNum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Are Bjørdal</dc:creator>
  <dc:description/>
  <cp:lastModifiedBy>Evgenii Salganik</cp:lastModifiedBy>
  <cp:revision>5</cp:revision>
  <cp:lastPrinted>2011-02-07T12:20:41Z</cp:lastPrinted>
  <dcterms:created xsi:type="dcterms:W3CDTF">2011-01-27T20:27:49Z</dcterms:created>
  <dcterms:modified xsi:type="dcterms:W3CDTF">2026-05-17T08:15:09Z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_NewReviewCycle">
    <vt:lpwstr/>
  </property>
  <property fmtid="{D5CDD505-2E9C-101B-9397-08002B2CF9AE}" pid="9" name="contentStatus">
    <vt:lpwstr>Rev. September 2011</vt:lpwstr>
  </property>
</Properties>
</file>