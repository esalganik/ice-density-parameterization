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Ridges\Data\"/>
    </mc:Choice>
  </mc:AlternateContent>
  <xr:revisionPtr revIDLastSave="0" documentId="13_ncr:1_{AD3A20C8-A058-49CE-B342-3D049FA8C77D}" xr6:coauthVersionLast="47" xr6:coauthVersionMax="47" xr10:uidLastSave="{00000000-0000-0000-0000-000000000000}"/>
  <bookViews>
    <workbookView xWindow="-105" yWindow="0" windowWidth="19410" windowHeight="20985" tabRatio="932" activeTab="3" xr2:uid="{00000000-000D-0000-FFFF-FFFF00000000}"/>
  </bookViews>
  <sheets>
    <sheet name="Station Overview" sheetId="1" r:id="rId1"/>
    <sheet name="Salinity Core" sheetId="4" r:id="rId2"/>
    <sheet name="Temperature Core" sheetId="5" r:id="rId3"/>
    <sheet name="Density Core" sheetId="14" r:id="rId4"/>
  </sheets>
  <externalReferences>
    <externalReference r:id="rId5"/>
    <externalReference r:id="rId6"/>
  </externalReferences>
  <definedNames>
    <definedName name="asdfasdf">'Station Overview'!$B$16</definedName>
    <definedName name="EM_IDs">OFFSET([1]Lists!$A$14:$A$26,0,0,[2]StationOverview!$J$8)</definedName>
    <definedName name="ExpID" localSheetId="3">'[1]Station Overview'!$B$4</definedName>
    <definedName name="ExpID">'Station Overview'!$B$4</definedName>
    <definedName name="GeneralConditions" localSheetId="3">[1]Lists!$C$2:$C$16</definedName>
    <definedName name="GeneralConditions">#REF!</definedName>
    <definedName name="ObsDate" localSheetId="3">'[1]Station Overview'!$B$17</definedName>
    <definedName name="ObsDate">'Station Overview'!$B$17</definedName>
    <definedName name="_xlnm.Print_Area" localSheetId="3">'Density Core'!$A$1:$I$36</definedName>
    <definedName name="_xlnm.Print_Area" localSheetId="1">'Salinity Core'!$A$1:$N$41</definedName>
    <definedName name="_xlnm.Print_Area" localSheetId="0">'Station Overview'!$A$1:$F$37</definedName>
    <definedName name="_xlnm.Print_Area" localSheetId="2">'Temperature Core'!$A$1:$H$46</definedName>
    <definedName name="SnowHardness" localSheetId="3">[1]Lists!$D$2:$D$9</definedName>
    <definedName name="SnowHardness">#REF!</definedName>
    <definedName name="SnowType" localSheetId="3">[1]Lists!$E$2:$E$13</definedName>
    <definedName name="SnowType">#REF!</definedName>
    <definedName name="StationTypes" localSheetId="3">[1]Lists!$B$2:$B$5</definedName>
    <definedName name="StationTypes">#REF!</definedName>
    <definedName name="StnDay" localSheetId="3">'[1]Station Overview'!$B$6</definedName>
    <definedName name="StnDay">'Station Overview'!$B$6</definedName>
    <definedName name="StnNum" localSheetId="3">'[1]Station Overview'!$B$5</definedName>
    <definedName name="StnNum">'Station Overview'!$B$5</definedName>
    <definedName name="TimeZones" localSheetId="3">[1]Lists!$A$2:$A$26</definedName>
    <definedName name="TimeZones">#REF!</definedName>
    <definedName name="Yes_No" localSheetId="3">[1]Lists!$F$2:$F$3</definedName>
    <definedName name="Yes_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4" i="14" l="1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B18" i="14" l="1"/>
  <c r="B4" i="4" l="1"/>
  <c r="B2" i="4"/>
</calcChain>
</file>

<file path=xl/sharedStrings.xml><?xml version="1.0" encoding="utf-8"?>
<sst xmlns="http://schemas.openxmlformats.org/spreadsheetml/2006/main" count="256" uniqueCount="194">
  <si>
    <t>Ice Station Daily Report</t>
  </si>
  <si>
    <t>Ice Station Name</t>
  </si>
  <si>
    <t>Expedition ID</t>
  </si>
  <si>
    <t>Station number</t>
  </si>
  <si>
    <t>Day at station</t>
  </si>
  <si>
    <t>Observer</t>
  </si>
  <si>
    <t>Station Description</t>
  </si>
  <si>
    <t>Station type</t>
  </si>
  <si>
    <t>General conditions</t>
  </si>
  <si>
    <t>Comments</t>
  </si>
  <si>
    <t>Starting Position</t>
  </si>
  <si>
    <t>Starting Date</t>
  </si>
  <si>
    <t>Starting Time</t>
  </si>
  <si>
    <t>Degrees</t>
  </si>
  <si>
    <t>Minutes</t>
  </si>
  <si>
    <t>Seconds</t>
  </si>
  <si>
    <t>Starting Latitude</t>
  </si>
  <si>
    <t>Starting Longitude</t>
  </si>
  <si>
    <t>Ending Position</t>
  </si>
  <si>
    <t>Ending Date</t>
  </si>
  <si>
    <t>Ending Time</t>
  </si>
  <si>
    <t>Ending Latitude</t>
  </si>
  <si>
    <t>Ending Longitude</t>
  </si>
  <si>
    <t>Time zone used</t>
  </si>
  <si>
    <t>UTC</t>
  </si>
  <si>
    <t>Exp. ID</t>
  </si>
  <si>
    <t>Stn. Number</t>
  </si>
  <si>
    <t>Explanation</t>
  </si>
  <si>
    <t>Associate with station</t>
  </si>
  <si>
    <t>Station</t>
  </si>
  <si>
    <t>Site</t>
  </si>
  <si>
    <t>Date</t>
  </si>
  <si>
    <t>Time</t>
  </si>
  <si>
    <t>General comments</t>
  </si>
  <si>
    <t>Freeboard [cm]</t>
  </si>
  <si>
    <t>Snow Thickness [cm]</t>
  </si>
  <si>
    <t>Ice Thickness [cm]</t>
  </si>
  <si>
    <t>Salinity Core</t>
  </si>
  <si>
    <t>Thickness:</t>
  </si>
  <si>
    <t>Bottom to Snow surface [cm]</t>
  </si>
  <si>
    <t>Total core length [cm]</t>
  </si>
  <si>
    <t>Bottom to Ice surface [cm]</t>
  </si>
  <si>
    <t># of pieces</t>
  </si>
  <si>
    <t>Bottom to Water [cm]</t>
  </si>
  <si>
    <t>Sum length of pieces</t>
  </si>
  <si>
    <t>Box Number</t>
  </si>
  <si>
    <t>Top [cm]</t>
  </si>
  <si>
    <t>Bottom [cm]</t>
  </si>
  <si>
    <t>Salinity</t>
  </si>
  <si>
    <t>Conductivity [mS/cm]</t>
  </si>
  <si>
    <t>Sample Temperature [°C]</t>
  </si>
  <si>
    <t>Section Length [cm]</t>
  </si>
  <si>
    <t>Density [kg/m³]</t>
  </si>
  <si>
    <t>Core piece section #</t>
  </si>
  <si>
    <t>At depth [cm]</t>
  </si>
  <si>
    <t>Lenght og piece [cm]</t>
  </si>
  <si>
    <t>Temperature Core</t>
  </si>
  <si>
    <t>Core Kept for Texture Analasis?</t>
  </si>
  <si>
    <t>No</t>
  </si>
  <si>
    <t>Temperatures:</t>
  </si>
  <si>
    <t>Air temp 1m [°C]</t>
  </si>
  <si>
    <t>Surface temp [°C]</t>
  </si>
  <si>
    <t>Snow-Ice temp [°C]</t>
  </si>
  <si>
    <t>Water temp [°C]</t>
  </si>
  <si>
    <t>Ice depth (from top) [cm]</t>
  </si>
  <si>
    <t>Temperature [°C]</t>
  </si>
  <si>
    <t>Depth at top [cm]</t>
  </si>
  <si>
    <t>Depth at bottom [cm]</t>
  </si>
  <si>
    <t>Lenght of piece [cm]</t>
  </si>
  <si>
    <t>Density Core</t>
  </si>
  <si>
    <t>temperature lab</t>
  </si>
  <si>
    <t>density parafine</t>
  </si>
  <si>
    <t>Under Water [cm]</t>
  </si>
  <si>
    <t>Total Thickness [cm]</t>
  </si>
  <si>
    <t>Sampling box: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</si>
  <si>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</si>
  <si>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rgb="FF000000"/>
        <rFont val="Calibri"/>
        <family val="2"/>
        <charset val="1"/>
      </rPr>
      <t>]</t>
    </r>
  </si>
  <si>
    <t>Box #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</si>
  <si>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</si>
  <si>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</si>
  <si>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</si>
  <si>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</si>
  <si>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</si>
  <si>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</si>
  <si>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t>E2</t>
  </si>
  <si>
    <t>E3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</si>
  <si>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</si>
  <si>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</si>
  <si>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</si>
  <si>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</si>
  <si>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</si>
  <si>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</si>
  <si>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</si>
  <si>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</si>
  <si>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</si>
  <si>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</si>
  <si>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</si>
  <si>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</si>
  <si>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</si>
  <si>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</si>
  <si>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</si>
  <si>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</si>
  <si>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</si>
  <si>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</si>
  <si>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</si>
  <si>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</si>
  <si>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</si>
  <si>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</si>
  <si>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</si>
  <si>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</si>
  <si>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</si>
  <si>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</si>
  <si>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</si>
  <si>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</si>
  <si>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</si>
  <si>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</si>
  <si>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</si>
  <si>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</si>
  <si>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</si>
  <si>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</si>
  <si>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</si>
  <si>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</si>
  <si>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</si>
  <si>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</si>
  <si>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</si>
  <si>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</si>
  <si>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</si>
  <si>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</si>
  <si>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</si>
  <si>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</si>
  <si>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</si>
  <si>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</si>
  <si>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R2</t>
  </si>
  <si>
    <t>R3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</si>
  <si>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</si>
  <si>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</si>
  <si>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</si>
  <si>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</si>
  <si>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</si>
  <si>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</si>
  <si>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</si>
  <si>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</si>
  <si>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</si>
  <si>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</si>
  <si>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</si>
  <si>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</si>
  <si>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</si>
  <si>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</si>
  <si>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</si>
  <si>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</si>
  <si>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</si>
  <si>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</si>
  <si>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</si>
  <si>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</si>
  <si>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</si>
  <si>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</si>
  <si>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</si>
  <si>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</si>
  <si>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</si>
  <si>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</si>
  <si>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</si>
  <si>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</si>
  <si>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</si>
  <si>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</si>
  <si>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</si>
  <si>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</si>
  <si>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</si>
  <si>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</si>
  <si>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</si>
  <si>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</si>
  <si>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</si>
  <si>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</si>
  <si>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</si>
  <si>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</si>
  <si>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</si>
  <si>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</si>
  <si>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</si>
  <si>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</si>
  <si>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</si>
  <si>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</si>
  <si>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</si>
  <si>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</si>
  <si>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</si>
  <si>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</si>
  <si>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</si>
  <si>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</si>
  <si>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MOSAiC</t>
  </si>
  <si>
    <t>Evgenii Salganik, Benjamin Lange</t>
  </si>
  <si>
    <t>Allis Ridge</t>
  </si>
  <si>
    <t>R59</t>
  </si>
  <si>
    <t>R60</t>
  </si>
  <si>
    <t>R57</t>
  </si>
  <si>
    <t>R58</t>
  </si>
  <si>
    <t>15.07.2020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</si>
</sst>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hh:mm;@"/>
    <numFmt numFmtId="165" formatCode="0.0000"/>
    <numFmt numFmtId="166" formatCode="0#"/>
    <numFmt numFmtId="167" formatCode="dd/mm/yyyy;@"/>
    <numFmt numFmtId="168" formatCode="0&quot; cm&quot;"/>
    <numFmt numFmtId="169" formatCode="_ * #,##0.00_ ;_ * \-#,##0.00_ ;_ * \-??_ ;_ @_ "/>
    <numFmt numFmtId="170" formatCode="0.0&quot; °C&quot;"/>
    <numFmt numFmtId="171" formatCode="&quot;Yes&quot;;&quot;Yes&quot;;&quot;No&quot;"/>
    <numFmt numFmtId="172" formatCode="0&quot; cm²&quot;"/>
  </numFmts>
  <fonts count="2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9C650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6"/>
      <color rgb="FF9C65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26"/>
      <color rgb="FF9C65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</font>
    <font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  <bgColor rgb="FFFCD5B5"/>
      </patternFill>
    </fill>
    <fill>
      <patternFill patternType="solid">
        <fgColor rgb="FFF2F2F2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FCD5B5"/>
        <bgColor rgb="FFFFEB9C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FCD5B5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9D9D9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9" fontId="14" fillId="0" borderId="0" applyBorder="0" applyProtection="0"/>
    <xf numFmtId="0" fontId="7" fillId="2" borderId="0" applyBorder="0" applyProtection="0"/>
    <xf numFmtId="0" fontId="13" fillId="3" borderId="1" applyProtection="0"/>
    <xf numFmtId="0" fontId="16" fillId="8" borderId="0" applyNumberFormat="0" applyBorder="0" applyAlignment="0" applyProtection="0"/>
    <xf numFmtId="0" fontId="5" fillId="0" borderId="0"/>
  </cellStyleXfs>
  <cellXfs count="193">
    <xf numFmtId="0" fontId="0" fillId="0" borderId="0" xfId="0"/>
    <xf numFmtId="0" fontId="0" fillId="6" borderId="5" xfId="0" applyFill="1" applyBorder="1" applyAlignment="1" applyProtection="1">
      <alignment horizontal="left"/>
      <protection locked="0"/>
    </xf>
    <xf numFmtId="0" fontId="0" fillId="4" borderId="0" xfId="0" applyFill="1"/>
    <xf numFmtId="0" fontId="8" fillId="4" borderId="0" xfId="0" applyFont="1" applyFill="1"/>
    <xf numFmtId="0" fontId="9" fillId="4" borderId="0" xfId="2" applyFont="1" applyFill="1" applyBorder="1" applyProtection="1"/>
    <xf numFmtId="0" fontId="10" fillId="4" borderId="0" xfId="0" applyFont="1" applyFill="1"/>
    <xf numFmtId="0" fontId="0" fillId="3" borderId="2" xfId="0" applyFill="1" applyBorder="1"/>
    <xf numFmtId="0" fontId="8" fillId="4" borderId="0" xfId="0" applyFont="1" applyFill="1" applyAlignment="1">
      <alignment wrapText="1"/>
    </xf>
    <xf numFmtId="0" fontId="0" fillId="3" borderId="4" xfId="0" applyFill="1" applyBorder="1"/>
    <xf numFmtId="0" fontId="0" fillId="3" borderId="6" xfId="0" applyFill="1" applyBorder="1"/>
    <xf numFmtId="0" fontId="0" fillId="3" borderId="4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3" borderId="8" xfId="0" applyFill="1" applyBorder="1"/>
    <xf numFmtId="0" fontId="0" fillId="6" borderId="9" xfId="0" applyFill="1" applyBorder="1"/>
    <xf numFmtId="164" fontId="0" fillId="6" borderId="10" xfId="0" applyNumberFormat="1" applyFill="1" applyBorder="1" applyProtection="1">
      <protection locked="0"/>
    </xf>
    <xf numFmtId="0" fontId="0" fillId="4" borderId="11" xfId="0" applyFill="1" applyBorder="1"/>
    <xf numFmtId="0" fontId="0" fillId="4" borderId="12" xfId="0" applyFill="1" applyBorder="1"/>
    <xf numFmtId="20" fontId="0" fillId="4" borderId="12" xfId="0" applyNumberFormat="1" applyFill="1" applyBorder="1"/>
    <xf numFmtId="0" fontId="0" fillId="4" borderId="4" xfId="0" applyFill="1" applyBorder="1"/>
    <xf numFmtId="0" fontId="0" fillId="4" borderId="9" xfId="0" applyFill="1" applyBorder="1"/>
    <xf numFmtId="0" fontId="0" fillId="3" borderId="13" xfId="0" applyFill="1" applyBorder="1"/>
    <xf numFmtId="0" fontId="0" fillId="3" borderId="14" xfId="0" applyFill="1" applyBorder="1"/>
    <xf numFmtId="165" fontId="0" fillId="3" borderId="9" xfId="0" applyNumberFormat="1" applyFill="1" applyBorder="1"/>
    <xf numFmtId="0" fontId="0" fillId="6" borderId="9" xfId="0" applyFill="1" applyBorder="1" applyProtection="1">
      <protection locked="0"/>
    </xf>
    <xf numFmtId="0" fontId="0" fillId="6" borderId="5" xfId="0" applyFill="1" applyBorder="1" applyProtection="1">
      <protection locked="0"/>
    </xf>
    <xf numFmtId="165" fontId="0" fillId="3" borderId="15" xfId="0" applyNumberFormat="1" applyFill="1" applyBorder="1"/>
    <xf numFmtId="0" fontId="0" fillId="6" borderId="15" xfId="0" applyFill="1" applyBorder="1" applyProtection="1">
      <protection locked="0"/>
    </xf>
    <xf numFmtId="0" fontId="0" fillId="6" borderId="7" xfId="0" applyFill="1" applyBorder="1" applyProtection="1">
      <protection locked="0"/>
    </xf>
    <xf numFmtId="164" fontId="0" fillId="4" borderId="0" xfId="0" applyNumberFormat="1" applyFill="1"/>
    <xf numFmtId="20" fontId="0" fillId="4" borderId="0" xfId="0" applyNumberFormat="1" applyFill="1"/>
    <xf numFmtId="166" fontId="0" fillId="4" borderId="0" xfId="0" applyNumberFormat="1" applyFill="1"/>
    <xf numFmtId="49" fontId="0" fillId="4" borderId="0" xfId="0" applyNumberFormat="1" applyFill="1"/>
    <xf numFmtId="0" fontId="0" fillId="7" borderId="16" xfId="0" applyFill="1" applyBorder="1"/>
    <xf numFmtId="0" fontId="0" fillId="4" borderId="16" xfId="0" applyFill="1" applyBorder="1" applyAlignment="1">
      <alignment vertical="top"/>
    </xf>
    <xf numFmtId="0" fontId="10" fillId="3" borderId="17" xfId="0" applyFont="1" applyFill="1" applyBorder="1" applyAlignment="1">
      <alignment vertical="top" wrapText="1"/>
    </xf>
    <xf numFmtId="49" fontId="0" fillId="3" borderId="19" xfId="0" applyNumberFormat="1" applyFill="1" applyBorder="1" applyAlignment="1">
      <alignment wrapText="1"/>
    </xf>
    <xf numFmtId="0" fontId="0" fillId="6" borderId="14" xfId="0" applyFill="1" applyBorder="1" applyAlignment="1" applyProtection="1">
      <alignment horizontal="left" wrapText="1"/>
      <protection locked="0"/>
    </xf>
    <xf numFmtId="49" fontId="0" fillId="3" borderId="4" xfId="0" applyNumberFormat="1" applyFill="1" applyBorder="1" applyAlignment="1">
      <alignment wrapText="1"/>
    </xf>
    <xf numFmtId="49" fontId="0" fillId="3" borderId="6" xfId="0" applyNumberFormat="1" applyFill="1" applyBorder="1" applyAlignment="1">
      <alignment wrapText="1"/>
    </xf>
    <xf numFmtId="0" fontId="0" fillId="6" borderId="7" xfId="0" applyFill="1" applyBorder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0" fontId="11" fillId="4" borderId="21" xfId="0" applyFont="1" applyFill="1" applyBorder="1" applyAlignment="1">
      <alignment vertical="top"/>
    </xf>
    <xf numFmtId="0" fontId="11" fillId="4" borderId="0" xfId="0" applyFont="1" applyFill="1" applyAlignment="1">
      <alignment vertical="top" wrapText="1"/>
    </xf>
    <xf numFmtId="0" fontId="11" fillId="4" borderId="0" xfId="0" applyFont="1" applyFill="1"/>
    <xf numFmtId="0" fontId="11" fillId="4" borderId="0" xfId="0" applyFont="1" applyFill="1" applyAlignment="1">
      <alignment horizontal="right"/>
    </xf>
    <xf numFmtId="0" fontId="11" fillId="4" borderId="22" xfId="0" applyFont="1" applyFill="1" applyBorder="1" applyAlignment="1">
      <alignment vertical="top"/>
    </xf>
    <xf numFmtId="0" fontId="0" fillId="4" borderId="0" xfId="0" applyFill="1" applyAlignment="1">
      <alignment wrapText="1"/>
    </xf>
    <xf numFmtId="168" fontId="0" fillId="6" borderId="9" xfId="0" applyNumberFormat="1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11" fillId="3" borderId="9" xfId="0" applyFont="1" applyFill="1" applyBorder="1"/>
    <xf numFmtId="0" fontId="11" fillId="4" borderId="25" xfId="0" applyFont="1" applyFill="1" applyBorder="1" applyAlignment="1">
      <alignment vertical="top"/>
    </xf>
    <xf numFmtId="0" fontId="11" fillId="4" borderId="26" xfId="0" applyFont="1" applyFill="1" applyBorder="1" applyAlignment="1">
      <alignment vertical="top"/>
    </xf>
    <xf numFmtId="0" fontId="11" fillId="3" borderId="27" xfId="0" applyFont="1" applyFill="1" applyBorder="1"/>
    <xf numFmtId="0" fontId="11" fillId="3" borderId="9" xfId="0" applyFont="1" applyFill="1" applyBorder="1" applyAlignment="1">
      <alignment vertical="top"/>
    </xf>
    <xf numFmtId="0" fontId="0" fillId="3" borderId="9" xfId="0" applyFill="1" applyBorder="1"/>
    <xf numFmtId="168" fontId="14" fillId="6" borderId="9" xfId="1" applyNumberFormat="1" applyFill="1" applyBorder="1" applyAlignment="1" applyProtection="1">
      <alignment horizontal="right"/>
      <protection locked="0"/>
    </xf>
    <xf numFmtId="168" fontId="0" fillId="3" borderId="9" xfId="0" applyNumberFormat="1" applyFill="1" applyBorder="1"/>
    <xf numFmtId="0" fontId="10" fillId="3" borderId="9" xfId="0" applyFont="1" applyFill="1" applyBorder="1" applyAlignment="1">
      <alignment horizontal="center" wrapText="1"/>
    </xf>
    <xf numFmtId="2" fontId="0" fillId="6" borderId="9" xfId="0" applyNumberFormat="1" applyFill="1" applyBorder="1" applyAlignment="1" applyProtection="1">
      <alignment horizontal="center"/>
      <protection locked="0"/>
    </xf>
    <xf numFmtId="49" fontId="0" fillId="6" borderId="9" xfId="0" applyNumberFormat="1" applyFill="1" applyBorder="1" applyAlignment="1" applyProtection="1">
      <alignment horizontal="left"/>
      <protection locked="0"/>
    </xf>
    <xf numFmtId="0" fontId="11" fillId="3" borderId="2" xfId="0" applyFont="1" applyFill="1" applyBorder="1"/>
    <xf numFmtId="0" fontId="11" fillId="3" borderId="4" xfId="0" applyFont="1" applyFill="1" applyBorder="1"/>
    <xf numFmtId="0" fontId="11" fillId="3" borderId="23" xfId="0" applyFont="1" applyFill="1" applyBorder="1"/>
    <xf numFmtId="49" fontId="11" fillId="6" borderId="28" xfId="0" applyNumberFormat="1" applyFont="1" applyFill="1" applyBorder="1" applyAlignment="1" applyProtection="1">
      <alignment horizontal="right"/>
      <protection locked="0"/>
    </xf>
    <xf numFmtId="171" fontId="11" fillId="4" borderId="0" xfId="0" applyNumberFormat="1" applyFont="1" applyFill="1" applyAlignment="1">
      <alignment vertical="top" wrapText="1"/>
    </xf>
    <xf numFmtId="0" fontId="11" fillId="3" borderId="6" xfId="0" applyFont="1" applyFill="1" applyBorder="1" applyAlignment="1">
      <alignment vertical="top"/>
    </xf>
    <xf numFmtId="168" fontId="0" fillId="6" borderId="3" xfId="0" applyNumberFormat="1" applyFill="1" applyBorder="1" applyAlignment="1" applyProtection="1">
      <alignment horizontal="right"/>
      <protection locked="0"/>
    </xf>
    <xf numFmtId="168" fontId="0" fillId="6" borderId="5" xfId="0" applyNumberFormat="1" applyFill="1" applyBorder="1" applyAlignment="1" applyProtection="1">
      <alignment horizontal="right"/>
      <protection locked="0"/>
    </xf>
    <xf numFmtId="170" fontId="0" fillId="6" borderId="7" xfId="0" applyNumberFormat="1" applyFill="1" applyBorder="1" applyAlignment="1" applyProtection="1">
      <alignment horizontal="right"/>
      <protection locked="0"/>
    </xf>
    <xf numFmtId="168" fontId="0" fillId="6" borderId="20" xfId="0" applyNumberFormat="1" applyFill="1" applyBorder="1" applyAlignment="1" applyProtection="1">
      <alignment horizontal="right"/>
      <protection locked="0"/>
    </xf>
    <xf numFmtId="0" fontId="0" fillId="4" borderId="20" xfId="0" applyFill="1" applyBorder="1"/>
    <xf numFmtId="0" fontId="0" fillId="4" borderId="3" xfId="0" applyFill="1" applyBorder="1"/>
    <xf numFmtId="1" fontId="0" fillId="6" borderId="9" xfId="0" applyNumberFormat="1" applyFill="1" applyBorder="1" applyAlignment="1" applyProtection="1">
      <alignment horizontal="right"/>
      <protection locked="0"/>
    </xf>
    <xf numFmtId="0" fontId="0" fillId="4" borderId="5" xfId="0" applyFill="1" applyBorder="1"/>
    <xf numFmtId="0" fontId="0" fillId="4" borderId="15" xfId="0" applyFill="1" applyBorder="1"/>
    <xf numFmtId="168" fontId="0" fillId="3" borderId="7" xfId="0" applyNumberForma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10" fillId="3" borderId="18" xfId="0" applyFont="1" applyFill="1" applyBorder="1"/>
    <xf numFmtId="0" fontId="0" fillId="6" borderId="13" xfId="0" applyFill="1" applyBorder="1" applyAlignment="1" applyProtection="1">
      <alignment horizontal="center"/>
      <protection locked="0"/>
    </xf>
    <xf numFmtId="168" fontId="0" fillId="6" borderId="13" xfId="0" applyNumberFormat="1" applyFill="1" applyBorder="1" applyAlignment="1" applyProtection="1">
      <alignment horizontal="right"/>
      <protection locked="0"/>
    </xf>
    <xf numFmtId="0" fontId="0" fillId="6" borderId="9" xfId="0" applyFill="1" applyBorder="1" applyAlignment="1" applyProtection="1">
      <alignment horizontal="center"/>
      <protection locked="0"/>
    </xf>
    <xf numFmtId="168" fontId="0" fillId="6" borderId="9" xfId="0" applyNumberFormat="1" applyFill="1" applyBorder="1" applyAlignment="1" applyProtection="1">
      <alignment horizontal="right"/>
      <protection locked="0"/>
    </xf>
    <xf numFmtId="0" fontId="16" fillId="10" borderId="0" xfId="4" applyFill="1" applyBorder="1"/>
    <xf numFmtId="0" fontId="5" fillId="10" borderId="0" xfId="5" applyFill="1"/>
    <xf numFmtId="0" fontId="5" fillId="10" borderId="0" xfId="5" applyFill="1" applyAlignment="1">
      <alignment horizontal="left"/>
    </xf>
    <xf numFmtId="0" fontId="18" fillId="11" borderId="2" xfId="5" applyFont="1" applyFill="1" applyBorder="1"/>
    <xf numFmtId="0" fontId="18" fillId="10" borderId="21" xfId="5" applyFont="1" applyFill="1" applyBorder="1" applyAlignment="1">
      <alignment vertical="top"/>
    </xf>
    <xf numFmtId="0" fontId="18" fillId="11" borderId="4" xfId="5" applyFont="1" applyFill="1" applyBorder="1"/>
    <xf numFmtId="0" fontId="18" fillId="10" borderId="22" xfId="5" applyFont="1" applyFill="1" applyBorder="1" applyAlignment="1">
      <alignment vertical="top"/>
    </xf>
    <xf numFmtId="0" fontId="18" fillId="11" borderId="23" xfId="5" applyFont="1" applyFill="1" applyBorder="1"/>
    <xf numFmtId="0" fontId="18" fillId="10" borderId="0" xfId="5" applyFont="1" applyFill="1" applyAlignment="1">
      <alignment vertical="top" wrapText="1"/>
    </xf>
    <xf numFmtId="0" fontId="18" fillId="10" borderId="0" xfId="5" applyFont="1" applyFill="1" applyAlignment="1">
      <alignment horizontal="right"/>
    </xf>
    <xf numFmtId="0" fontId="18" fillId="10" borderId="0" xfId="5" applyFont="1" applyFill="1"/>
    <xf numFmtId="0" fontId="18" fillId="11" borderId="6" xfId="5" applyFont="1" applyFill="1" applyBorder="1" applyAlignment="1">
      <alignment vertical="top"/>
    </xf>
    <xf numFmtId="0" fontId="15" fillId="10" borderId="0" xfId="5" applyFont="1" applyFill="1"/>
    <xf numFmtId="0" fontId="5" fillId="11" borderId="8" xfId="5" applyFill="1" applyBorder="1"/>
    <xf numFmtId="168" fontId="5" fillId="12" borderId="3" xfId="5" applyNumberFormat="1" applyFill="1" applyBorder="1" applyAlignment="1">
      <alignment horizontal="right"/>
    </xf>
    <xf numFmtId="0" fontId="15" fillId="11" borderId="2" xfId="5" applyFont="1" applyFill="1" applyBorder="1" applyAlignment="1">
      <alignment horizontal="center"/>
    </xf>
    <xf numFmtId="0" fontId="15" fillId="11" borderId="20" xfId="5" applyFont="1" applyFill="1" applyBorder="1" applyAlignment="1">
      <alignment horizontal="center"/>
    </xf>
    <xf numFmtId="0" fontId="15" fillId="11" borderId="3" xfId="5" applyFont="1" applyFill="1" applyBorder="1" applyAlignment="1">
      <alignment horizontal="center"/>
    </xf>
    <xf numFmtId="0" fontId="5" fillId="11" borderId="32" xfId="5" applyFill="1" applyBorder="1"/>
    <xf numFmtId="0" fontId="5" fillId="12" borderId="4" xfId="5" applyFill="1" applyBorder="1" applyAlignment="1">
      <alignment horizontal="center"/>
    </xf>
    <xf numFmtId="168" fontId="5" fillId="12" borderId="10" xfId="5" applyNumberFormat="1" applyFill="1" applyBorder="1" applyAlignment="1">
      <alignment horizontal="right"/>
    </xf>
    <xf numFmtId="168" fontId="5" fillId="12" borderId="9" xfId="5" applyNumberFormat="1" applyFill="1" applyBorder="1" applyAlignment="1">
      <alignment horizontal="right"/>
    </xf>
    <xf numFmtId="0" fontId="5" fillId="12" borderId="33" xfId="5" applyFill="1" applyBorder="1" applyAlignment="1">
      <alignment horizontal="left"/>
    </xf>
    <xf numFmtId="168" fontId="5" fillId="12" borderId="13" xfId="5" applyNumberFormat="1" applyFill="1" applyBorder="1" applyAlignment="1">
      <alignment horizontal="right"/>
    </xf>
    <xf numFmtId="0" fontId="5" fillId="12" borderId="5" xfId="5" applyFill="1" applyBorder="1" applyAlignment="1">
      <alignment horizontal="left"/>
    </xf>
    <xf numFmtId="0" fontId="5" fillId="11" borderId="34" xfId="5" applyFill="1" applyBorder="1"/>
    <xf numFmtId="168" fontId="5" fillId="12" borderId="7" xfId="5" applyNumberFormat="1" applyFill="1" applyBorder="1" applyAlignment="1">
      <alignment horizontal="right"/>
    </xf>
    <xf numFmtId="0" fontId="5" fillId="11" borderId="6" xfId="5" applyFill="1" applyBorder="1"/>
    <xf numFmtId="172" fontId="20" fillId="12" borderId="35" xfId="5" applyNumberFormat="1" applyFont="1" applyFill="1" applyBorder="1" applyAlignment="1">
      <alignment horizontal="right"/>
    </xf>
    <xf numFmtId="165" fontId="5" fillId="10" borderId="0" xfId="5" applyNumberFormat="1" applyFill="1" applyAlignment="1">
      <alignment horizontal="right"/>
    </xf>
    <xf numFmtId="0" fontId="5" fillId="12" borderId="6" xfId="5" applyFill="1" applyBorder="1" applyAlignment="1">
      <alignment horizontal="center"/>
    </xf>
    <xf numFmtId="168" fontId="5" fillId="12" borderId="15" xfId="5" applyNumberFormat="1" applyFill="1" applyBorder="1" applyAlignment="1">
      <alignment horizontal="right"/>
    </xf>
    <xf numFmtId="0" fontId="5" fillId="12" borderId="7" xfId="5" applyFill="1" applyBorder="1" applyAlignment="1">
      <alignment horizontal="left"/>
    </xf>
    <xf numFmtId="0" fontId="15" fillId="10" borderId="0" xfId="5" applyFont="1" applyFill="1" applyAlignment="1">
      <alignment horizontal="center"/>
    </xf>
    <xf numFmtId="0" fontId="5" fillId="12" borderId="9" xfId="5" applyFill="1" applyBorder="1"/>
    <xf numFmtId="0" fontId="5" fillId="12" borderId="9" xfId="5" applyFill="1" applyBorder="1" applyAlignment="1">
      <alignment horizontal="left"/>
    </xf>
    <xf numFmtId="0" fontId="4" fillId="12" borderId="9" xfId="5" applyFont="1" applyFill="1" applyBorder="1"/>
    <xf numFmtId="0" fontId="4" fillId="12" borderId="9" xfId="5" applyFont="1" applyFill="1" applyBorder="1" applyAlignment="1">
      <alignment horizontal="left"/>
    </xf>
    <xf numFmtId="0" fontId="3" fillId="12" borderId="9" xfId="5" applyFont="1" applyFill="1" applyBorder="1"/>
    <xf numFmtId="0" fontId="3" fillId="12" borderId="9" xfId="5" applyFont="1" applyFill="1" applyBorder="1" applyAlignment="1">
      <alignment horizontal="left"/>
    </xf>
    <xf numFmtId="0" fontId="2" fillId="12" borderId="9" xfId="5" applyFont="1" applyFill="1" applyBorder="1" applyAlignment="1">
      <alignment horizontal="left"/>
    </xf>
    <xf numFmtId="0" fontId="1" fillId="12" borderId="9" xfId="5" applyFont="1" applyFill="1" applyBorder="1" applyAlignment="1">
      <alignment horizontal="left"/>
    </xf>
    <xf numFmtId="0" fontId="23" fillId="12" borderId="9" xfId="5" applyFont="1" applyFill="1" applyBorder="1"/>
    <xf numFmtId="0" fontId="23" fillId="10" borderId="0" xfId="5" applyFont="1" applyFill="1"/>
    <xf numFmtId="0" fontId="15" fillId="11" borderId="36" xfId="5" applyFont="1" applyFill="1" applyBorder="1" applyAlignment="1">
      <alignment horizontal="center"/>
    </xf>
    <xf numFmtId="0" fontId="15" fillId="11" borderId="37" xfId="5" applyFont="1" applyFill="1" applyBorder="1" applyAlignment="1">
      <alignment horizontal="center"/>
    </xf>
    <xf numFmtId="0" fontId="15" fillId="11" borderId="38" xfId="5" applyFont="1" applyFill="1" applyBorder="1" applyAlignment="1">
      <alignment horizontal="center"/>
    </xf>
    <xf numFmtId="0" fontId="15" fillId="11" borderId="27" xfId="5" applyFont="1" applyFill="1" applyBorder="1" applyAlignment="1">
      <alignment horizontal="center" wrapText="1"/>
    </xf>
    <xf numFmtId="168" fontId="23" fillId="12" borderId="9" xfId="5" applyNumberFormat="1" applyFont="1" applyFill="1" applyBorder="1"/>
    <xf numFmtId="2" fontId="4" fillId="12" borderId="9" xfId="5" applyNumberFormat="1" applyFont="1" applyFill="1" applyBorder="1"/>
    <xf numFmtId="168" fontId="4" fillId="12" borderId="9" xfId="5" applyNumberFormat="1" applyFont="1" applyFill="1" applyBorder="1"/>
    <xf numFmtId="2" fontId="5" fillId="12" borderId="9" xfId="5" applyNumberFormat="1" applyFill="1" applyBorder="1"/>
    <xf numFmtId="168" fontId="3" fillId="12" borderId="9" xfId="5" applyNumberFormat="1" applyFont="1" applyFill="1" applyBorder="1"/>
    <xf numFmtId="0" fontId="1" fillId="12" borderId="9" xfId="5" applyFont="1" applyFill="1" applyBorder="1"/>
    <xf numFmtId="168" fontId="23" fillId="12" borderId="3" xfId="5" applyNumberFormat="1" applyFont="1" applyFill="1" applyBorder="1" applyAlignment="1">
      <alignment horizontal="right"/>
    </xf>
    <xf numFmtId="168" fontId="23" fillId="12" borderId="5" xfId="5" applyNumberFormat="1" applyFont="1" applyFill="1" applyBorder="1" applyAlignment="1">
      <alignment horizontal="right"/>
    </xf>
    <xf numFmtId="0" fontId="10" fillId="3" borderId="36" xfId="0" applyFont="1" applyFill="1" applyBorder="1"/>
    <xf numFmtId="0" fontId="10" fillId="3" borderId="38" xfId="0" applyFont="1" applyFill="1" applyBorder="1"/>
    <xf numFmtId="168" fontId="24" fillId="13" borderId="9" xfId="0" applyNumberFormat="1" applyFont="1" applyFill="1" applyBorder="1" applyAlignment="1" applyProtection="1">
      <alignment horizontal="right"/>
      <protection locked="0"/>
    </xf>
    <xf numFmtId="170" fontId="24" fillId="13" borderId="9" xfId="0" applyNumberFormat="1" applyFont="1" applyFill="1" applyBorder="1" applyAlignment="1" applyProtection="1">
      <alignment horizontal="right"/>
      <protection locked="0"/>
    </xf>
    <xf numFmtId="0" fontId="24" fillId="14" borderId="9" xfId="0" applyFont="1" applyFill="1" applyBorder="1"/>
    <xf numFmtId="168" fontId="24" fillId="6" borderId="5" xfId="0" applyNumberFormat="1" applyFont="1" applyFill="1" applyBorder="1" applyAlignment="1" applyProtection="1">
      <alignment horizontal="right"/>
      <protection locked="0"/>
    </xf>
    <xf numFmtId="168" fontId="24" fillId="6" borderId="7" xfId="0" applyNumberFormat="1" applyFont="1" applyFill="1" applyBorder="1" applyAlignment="1" applyProtection="1">
      <alignment horizontal="right"/>
      <protection locked="0"/>
    </xf>
    <xf numFmtId="0" fontId="0" fillId="0" borderId="9" xfId="0" applyBorder="1"/>
    <xf numFmtId="0" fontId="6" fillId="5" borderId="0" xfId="2" applyFont="1" applyFill="1" applyBorder="1" applyAlignment="1" applyProtection="1">
      <alignment horizontal="left"/>
    </xf>
    <xf numFmtId="49" fontId="0" fillId="6" borderId="3" xfId="0" applyNumberFormat="1" applyFill="1" applyBorder="1" applyAlignment="1" applyProtection="1">
      <alignment horizontal="right"/>
      <protection locked="0"/>
    </xf>
    <xf numFmtId="1" fontId="0" fillId="6" borderId="5" xfId="0" applyNumberFormat="1" applyFill="1" applyBorder="1" applyAlignment="1" applyProtection="1">
      <alignment horizontal="right"/>
      <protection locked="0"/>
    </xf>
    <xf numFmtId="164" fontId="23" fillId="12" borderId="10" xfId="5" applyNumberFormat="1" applyFont="1" applyFill="1" applyBorder="1" applyAlignment="1">
      <alignment horizontal="right"/>
    </xf>
    <xf numFmtId="164" fontId="23" fillId="12" borderId="28" xfId="5" applyNumberFormat="1" applyFont="1" applyFill="1" applyBorder="1" applyAlignment="1">
      <alignment horizontal="right"/>
    </xf>
    <xf numFmtId="0" fontId="0" fillId="6" borderId="3" xfId="0" applyFill="1" applyBorder="1" applyAlignment="1" applyProtection="1">
      <alignment horizontal="left"/>
      <protection locked="0"/>
    </xf>
    <xf numFmtId="0" fontId="0" fillId="6" borderId="5" xfId="0" applyFill="1" applyBorder="1" applyAlignment="1" applyProtection="1">
      <alignment horizontal="left"/>
      <protection locked="0"/>
    </xf>
    <xf numFmtId="0" fontId="0" fillId="6" borderId="7" xfId="0" applyFill="1" applyBorder="1" applyAlignment="1" applyProtection="1">
      <alignment horizontal="center" vertical="top" wrapText="1"/>
      <protection locked="0"/>
    </xf>
    <xf numFmtId="49" fontId="0" fillId="6" borderId="17" xfId="0" applyNumberFormat="1" applyFill="1" applyBorder="1" applyProtection="1">
      <protection locked="0"/>
    </xf>
    <xf numFmtId="0" fontId="10" fillId="3" borderId="18" xfId="0" applyFont="1" applyFill="1" applyBorder="1" applyAlignment="1">
      <alignment horizontal="center" vertical="top" wrapText="1"/>
    </xf>
    <xf numFmtId="0" fontId="0" fillId="6" borderId="9" xfId="0" applyFill="1" applyBorder="1" applyAlignment="1" applyProtection="1">
      <alignment horizontal="right"/>
      <protection locked="0"/>
    </xf>
    <xf numFmtId="0" fontId="0" fillId="6" borderId="15" xfId="0" applyFill="1" applyBorder="1" applyAlignment="1" applyProtection="1">
      <alignment horizontal="right"/>
      <protection locked="0"/>
    </xf>
    <xf numFmtId="0" fontId="0" fillId="6" borderId="13" xfId="0" applyFill="1" applyBorder="1" applyAlignment="1" applyProtection="1">
      <alignment horizontal="right" wrapText="1"/>
      <protection locked="0"/>
    </xf>
    <xf numFmtId="49" fontId="11" fillId="6" borderId="9" xfId="0" applyNumberFormat="1" applyFont="1" applyFill="1" applyBorder="1" applyAlignment="1" applyProtection="1">
      <alignment horizontal="left" wrapText="1"/>
      <protection locked="0"/>
    </xf>
    <xf numFmtId="0" fontId="0" fillId="3" borderId="9" xfId="0" applyFill="1" applyBorder="1" applyAlignment="1">
      <alignment horizontal="left"/>
    </xf>
    <xf numFmtId="0" fontId="6" fillId="5" borderId="24" xfId="2" applyFont="1" applyFill="1" applyBorder="1" applyAlignment="1" applyProtection="1">
      <alignment horizontal="left"/>
    </xf>
    <xf numFmtId="0" fontId="11" fillId="3" borderId="9" xfId="0" applyFont="1" applyFill="1" applyBorder="1" applyAlignment="1">
      <alignment horizontal="right"/>
    </xf>
    <xf numFmtId="0" fontId="11" fillId="6" borderId="9" xfId="0" applyFont="1" applyFill="1" applyBorder="1" applyAlignment="1" applyProtection="1">
      <alignment horizontal="right"/>
      <protection locked="0"/>
    </xf>
    <xf numFmtId="167" fontId="11" fillId="3" borderId="9" xfId="0" applyNumberFormat="1" applyFont="1" applyFill="1" applyBorder="1" applyAlignment="1">
      <alignment horizontal="right"/>
    </xf>
    <xf numFmtId="164" fontId="11" fillId="6" borderId="9" xfId="0" applyNumberFormat="1" applyFont="1" applyFill="1" applyBorder="1" applyAlignment="1" applyProtection="1">
      <alignment horizontal="right"/>
      <protection locked="0"/>
    </xf>
    <xf numFmtId="0" fontId="11" fillId="3" borderId="4" xfId="0" applyFont="1" applyFill="1" applyBorder="1" applyAlignment="1">
      <alignment horizontal="left"/>
    </xf>
    <xf numFmtId="49" fontId="11" fillId="6" borderId="7" xfId="0" applyNumberFormat="1" applyFont="1" applyFill="1" applyBorder="1" applyAlignment="1" applyProtection="1">
      <alignment horizontal="left" wrapText="1"/>
      <protection locked="0"/>
    </xf>
    <xf numFmtId="0" fontId="12" fillId="5" borderId="0" xfId="2" applyFont="1" applyFill="1" applyBorder="1" applyAlignment="1" applyProtection="1">
      <alignment horizontal="left"/>
    </xf>
    <xf numFmtId="49" fontId="25" fillId="3" borderId="20" xfId="0" applyNumberFormat="1" applyFont="1" applyFill="1" applyBorder="1" applyAlignment="1">
      <alignment horizontal="right"/>
    </xf>
    <xf numFmtId="0" fontId="25" fillId="6" borderId="9" xfId="0" applyFont="1" applyFill="1" applyBorder="1" applyAlignment="1" applyProtection="1">
      <alignment horizontal="right"/>
      <protection locked="0"/>
    </xf>
    <xf numFmtId="167" fontId="23" fillId="11" borderId="9" xfId="5" applyNumberFormat="1" applyFont="1" applyFill="1" applyBorder="1" applyAlignment="1">
      <alignment horizontal="right"/>
    </xf>
    <xf numFmtId="164" fontId="24" fillId="6" borderId="9" xfId="0" applyNumberFormat="1" applyFont="1" applyFill="1" applyBorder="1" applyAlignment="1" applyProtection="1">
      <alignment horizontal="right"/>
      <protection locked="0"/>
    </xf>
    <xf numFmtId="0" fontId="18" fillId="12" borderId="29" xfId="5" applyFont="1" applyFill="1" applyBorder="1" applyAlignment="1">
      <alignment wrapText="1"/>
    </xf>
    <xf numFmtId="0" fontId="18" fillId="12" borderId="30" xfId="5" applyFont="1" applyFill="1" applyBorder="1" applyAlignment="1">
      <alignment wrapText="1"/>
    </xf>
    <xf numFmtId="0" fontId="18" fillId="12" borderId="31" xfId="5" applyFont="1" applyFill="1" applyBorder="1" applyAlignment="1">
      <alignment wrapText="1"/>
    </xf>
    <xf numFmtId="0" fontId="17" fillId="9" borderId="0" xfId="4" applyFont="1" applyFill="1" applyBorder="1" applyAlignment="1">
      <alignment horizontal="left"/>
    </xf>
    <xf numFmtId="164" fontId="18" fillId="12" borderId="9" xfId="5" applyNumberFormat="1" applyFont="1" applyFill="1" applyBorder="1" applyAlignment="1">
      <alignment horizontal="right"/>
    </xf>
    <xf numFmtId="0" fontId="18" fillId="11" borderId="20" xfId="5" applyFont="1" applyFill="1" applyBorder="1" applyAlignment="1">
      <alignment horizontal="right"/>
    </xf>
    <xf numFmtId="0" fontId="18" fillId="12" borderId="9" xfId="5" applyFont="1" applyFill="1" applyBorder="1" applyAlignment="1">
      <alignment horizontal="right"/>
    </xf>
    <xf numFmtId="167" fontId="18" fillId="11" borderId="9" xfId="5" applyNumberFormat="1" applyFont="1" applyFill="1" applyBorder="1" applyAlignment="1">
      <alignment horizontal="right"/>
    </xf>
    <xf numFmtId="164" fontId="18" fillId="12" borderId="10" xfId="5" applyNumberFormat="1" applyFont="1" applyFill="1" applyBorder="1" applyAlignment="1">
      <alignment horizontal="right"/>
    </xf>
    <xf numFmtId="164" fontId="18" fillId="12" borderId="28" xfId="5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2" fontId="0" fillId="13" borderId="9" xfId="0" applyNumberFormat="1" applyFill="1" applyBorder="1" applyAlignment="1" applyProtection="1">
      <alignment horizontal="center"/>
      <protection locked="0"/>
    </xf>
    <xf numFmtId="168" fontId="14" fillId="13" borderId="9" xfId="1" applyNumberFormat="1" applyFill="1" applyBorder="1" applyAlignment="1" applyProtection="1">
      <alignment horizontal="right"/>
      <protection locked="0"/>
    </xf>
    <xf numFmtId="2" fontId="0" fillId="13" borderId="9" xfId="0" applyNumberFormat="1" applyFill="1" applyBorder="1" applyProtection="1">
      <protection locked="0"/>
    </xf>
    <xf numFmtId="170" fontId="0" fillId="13" borderId="9" xfId="0" applyNumberFormat="1" applyFill="1" applyBorder="1" applyProtection="1">
      <protection locked="0"/>
    </xf>
    <xf numFmtId="49" fontId="0" fillId="13" borderId="9" xfId="0" applyNumberFormat="1" applyFill="1" applyBorder="1" applyAlignment="1" applyProtection="1">
      <alignment horizontal="left"/>
      <protection locked="0"/>
    </xf>
    <xf numFmtId="0" fontId="0" fillId="14" borderId="9" xfId="0" applyFill="1" applyBorder="1"/>
  </cellXfs>
  <cellStyles count="6">
    <cellStyle name="Comma" xfId="1" builtinId="3"/>
    <cellStyle name="Excel Built-in Calculation" xfId="3" xr:uid="{00000000-0005-0000-0000-000007000000}"/>
    <cellStyle name="Excel Built-in Neutral" xfId="2" xr:uid="{00000000-0005-0000-0000-000006000000}"/>
    <cellStyle name="Neutral 2" xfId="4" xr:uid="{EEE8F3C7-B592-46E2-B91E-0D6EDD0F853C}"/>
    <cellStyle name="Normal" xfId="0" builtinId="0"/>
    <cellStyle name="Normal 2" xfId="5" xr:uid="{AF37FB8A-BB8B-4DA5-8C45-149CFF8F2102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7F7F7F"/>
      <rgbColor rgb="FF9999F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  <a:r>
              <a:rPr lang="nb-NO" baseline="0"/>
              <a:t> from SALO18 core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'Salinity Core'!$B$18:$B$51</c:f>
              <c:numCache>
                <c:formatCode>0" cm"</c:formatCode>
                <c:ptCount val="3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31.5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66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94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  <c:pt idx="27">
                  <c:v>130</c:v>
                </c:pt>
                <c:pt idx="28">
                  <c:v>135</c:v>
                </c:pt>
                <c:pt idx="29">
                  <c:v>140</c:v>
                </c:pt>
                <c:pt idx="30">
                  <c:v>145</c:v>
                </c:pt>
                <c:pt idx="31">
                  <c:v>150</c:v>
                </c:pt>
                <c:pt idx="32">
                  <c:v>155</c:v>
                </c:pt>
                <c:pt idx="33" formatCode="General">
                  <c:v>160</c:v>
                </c:pt>
              </c:numCache>
            </c:numRef>
          </c:xVal>
          <c:yVal>
            <c:numRef>
              <c:f>'Salinity Core'!$D$18:$D$51</c:f>
              <c:numCache>
                <c:formatCode>0.00</c:formatCode>
                <c:ptCount val="3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0.5</c:v>
                </c:pt>
                <c:pt idx="7">
                  <c:v>0.4</c:v>
                </c:pt>
                <c:pt idx="8">
                  <c:v>0.5</c:v>
                </c:pt>
                <c:pt idx="9">
                  <c:v>0.7</c:v>
                </c:pt>
                <c:pt idx="10">
                  <c:v>0.8</c:v>
                </c:pt>
                <c:pt idx="11">
                  <c:v>0.8</c:v>
                </c:pt>
                <c:pt idx="12">
                  <c:v>0.7</c:v>
                </c:pt>
                <c:pt idx="13">
                  <c:v>0.9</c:v>
                </c:pt>
                <c:pt idx="14">
                  <c:v>0.8</c:v>
                </c:pt>
                <c:pt idx="15">
                  <c:v>0.6</c:v>
                </c:pt>
                <c:pt idx="16">
                  <c:v>0.7</c:v>
                </c:pt>
                <c:pt idx="17">
                  <c:v>1</c:v>
                </c:pt>
                <c:pt idx="18">
                  <c:v>1.2</c:v>
                </c:pt>
                <c:pt idx="19">
                  <c:v>1.4</c:v>
                </c:pt>
                <c:pt idx="20">
                  <c:v>3.6</c:v>
                </c:pt>
                <c:pt idx="21">
                  <c:v>3.1</c:v>
                </c:pt>
                <c:pt idx="22">
                  <c:v>3.4</c:v>
                </c:pt>
                <c:pt idx="23">
                  <c:v>3.2</c:v>
                </c:pt>
                <c:pt idx="24">
                  <c:v>3</c:v>
                </c:pt>
                <c:pt idx="25">
                  <c:v>3.5</c:v>
                </c:pt>
                <c:pt idx="26">
                  <c:v>3.9</c:v>
                </c:pt>
                <c:pt idx="27">
                  <c:v>3.9</c:v>
                </c:pt>
                <c:pt idx="28">
                  <c:v>2.7</c:v>
                </c:pt>
                <c:pt idx="29">
                  <c:v>2.5</c:v>
                </c:pt>
                <c:pt idx="30">
                  <c:v>2.2999999999999998</c:v>
                </c:pt>
                <c:pt idx="31">
                  <c:v>2.9</c:v>
                </c:pt>
                <c:pt idx="32">
                  <c:v>2.5</c:v>
                </c:pt>
                <c:pt idx="33" formatCode="General">
                  <c:v>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0-46CC-BCC4-F82E11677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95439"/>
        <c:axId val="324193519"/>
      </c:scatterChart>
      <c:valAx>
        <c:axId val="32419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3519"/>
        <c:crosses val="autoZero"/>
        <c:crossBetween val="midCat"/>
      </c:valAx>
      <c:valAx>
        <c:axId val="3241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Core'!$G$23:$G$83</c:f>
              <c:numCache>
                <c:formatCode>0" cm"</c:formatCode>
                <c:ptCount val="61"/>
                <c:pt idx="0">
                  <c:v>2.5</c:v>
                </c:pt>
                <c:pt idx="1">
                  <c:v>7.5</c:v>
                </c:pt>
                <c:pt idx="2">
                  <c:v>11</c:v>
                </c:pt>
                <c:pt idx="3">
                  <c:v>14.5</c:v>
                </c:pt>
                <c:pt idx="4">
                  <c:v>19.5</c:v>
                </c:pt>
                <c:pt idx="5">
                  <c:v>24.5</c:v>
                </c:pt>
                <c:pt idx="6">
                  <c:v>29.5</c:v>
                </c:pt>
                <c:pt idx="7">
                  <c:v>34.5</c:v>
                </c:pt>
                <c:pt idx="8">
                  <c:v>39.5</c:v>
                </c:pt>
                <c:pt idx="9">
                  <c:v>44.5</c:v>
                </c:pt>
                <c:pt idx="10">
                  <c:v>49.5</c:v>
                </c:pt>
                <c:pt idx="11">
                  <c:v>54.5</c:v>
                </c:pt>
                <c:pt idx="12">
                  <c:v>59.5</c:v>
                </c:pt>
                <c:pt idx="13">
                  <c:v>64.5</c:v>
                </c:pt>
                <c:pt idx="14">
                  <c:v>69.5</c:v>
                </c:pt>
                <c:pt idx="15">
                  <c:v>74.5</c:v>
                </c:pt>
                <c:pt idx="16">
                  <c:v>79.5</c:v>
                </c:pt>
                <c:pt idx="17">
                  <c:v>84.5</c:v>
                </c:pt>
                <c:pt idx="18">
                  <c:v>89.5</c:v>
                </c:pt>
                <c:pt idx="19">
                  <c:v>94</c:v>
                </c:pt>
                <c:pt idx="20">
                  <c:v>98.5</c:v>
                </c:pt>
                <c:pt idx="21">
                  <c:v>103.5</c:v>
                </c:pt>
                <c:pt idx="22">
                  <c:v>108.5</c:v>
                </c:pt>
                <c:pt idx="23">
                  <c:v>113.5</c:v>
                </c:pt>
                <c:pt idx="24">
                  <c:v>118.5</c:v>
                </c:pt>
                <c:pt idx="25">
                  <c:v>123.5</c:v>
                </c:pt>
                <c:pt idx="26">
                  <c:v>128.5</c:v>
                </c:pt>
                <c:pt idx="27">
                  <c:v>133.5</c:v>
                </c:pt>
                <c:pt idx="28">
                  <c:v>138.5</c:v>
                </c:pt>
                <c:pt idx="29">
                  <c:v>143.5</c:v>
                </c:pt>
                <c:pt idx="30">
                  <c:v>147.5</c:v>
                </c:pt>
                <c:pt idx="31">
                  <c:v>150.5</c:v>
                </c:pt>
                <c:pt idx="32">
                  <c:v>154.5</c:v>
                </c:pt>
                <c:pt idx="33">
                  <c:v>159.5</c:v>
                </c:pt>
                <c:pt idx="34">
                  <c:v>164.5</c:v>
                </c:pt>
                <c:pt idx="35">
                  <c:v>169.5</c:v>
                </c:pt>
                <c:pt idx="36">
                  <c:v>174.5</c:v>
                </c:pt>
                <c:pt idx="37" formatCode="General">
                  <c:v>179.5</c:v>
                </c:pt>
                <c:pt idx="38" formatCode="General">
                  <c:v>184.5</c:v>
                </c:pt>
                <c:pt idx="39" formatCode="General">
                  <c:v>189.5</c:v>
                </c:pt>
                <c:pt idx="40" formatCode="General">
                  <c:v>194.5</c:v>
                </c:pt>
                <c:pt idx="41" formatCode="General">
                  <c:v>199.5</c:v>
                </c:pt>
                <c:pt idx="42" formatCode="General">
                  <c:v>204.5</c:v>
                </c:pt>
                <c:pt idx="43" formatCode="General">
                  <c:v>209.5</c:v>
                </c:pt>
                <c:pt idx="44" formatCode="General">
                  <c:v>214.5</c:v>
                </c:pt>
                <c:pt idx="45" formatCode="General">
                  <c:v>219.5</c:v>
                </c:pt>
                <c:pt idx="46" formatCode="General">
                  <c:v>224.5</c:v>
                </c:pt>
                <c:pt idx="47" formatCode="General">
                  <c:v>229.5</c:v>
                </c:pt>
                <c:pt idx="48" formatCode="General">
                  <c:v>234.5</c:v>
                </c:pt>
                <c:pt idx="49" formatCode="General">
                  <c:v>239.5</c:v>
                </c:pt>
                <c:pt idx="50" formatCode="General">
                  <c:v>244.5</c:v>
                </c:pt>
                <c:pt idx="51" formatCode="General">
                  <c:v>249.5</c:v>
                </c:pt>
                <c:pt idx="52" formatCode="General">
                  <c:v>254.5</c:v>
                </c:pt>
                <c:pt idx="53" formatCode="General">
                  <c:v>259.5</c:v>
                </c:pt>
                <c:pt idx="54" formatCode="General">
                  <c:v>264.5</c:v>
                </c:pt>
                <c:pt idx="55" formatCode="General">
                  <c:v>269.5</c:v>
                </c:pt>
                <c:pt idx="56" formatCode="General">
                  <c:v>274.5</c:v>
                </c:pt>
                <c:pt idx="57" formatCode="General">
                  <c:v>279.5</c:v>
                </c:pt>
                <c:pt idx="58" formatCode="General">
                  <c:v>284.5</c:v>
                </c:pt>
                <c:pt idx="59" formatCode="General">
                  <c:v>289.5</c:v>
                </c:pt>
                <c:pt idx="60" formatCode="General">
                  <c:v>294.5</c:v>
                </c:pt>
              </c:numCache>
            </c:numRef>
          </c:xVal>
          <c:yVal>
            <c:numRef>
              <c:f>'Density Core'!$H$23:$H$83</c:f>
              <c:numCache>
                <c:formatCode>General</c:formatCode>
                <c:ptCount val="61"/>
                <c:pt idx="0">
                  <c:v>869.5</c:v>
                </c:pt>
                <c:pt idx="1">
                  <c:v>858.2</c:v>
                </c:pt>
                <c:pt idx="2">
                  <c:v>862.4</c:v>
                </c:pt>
                <c:pt idx="3">
                  <c:v>836.7</c:v>
                </c:pt>
                <c:pt idx="4">
                  <c:v>849.9</c:v>
                </c:pt>
                <c:pt idx="5">
                  <c:v>833.2</c:v>
                </c:pt>
                <c:pt idx="6">
                  <c:v>857.4</c:v>
                </c:pt>
                <c:pt idx="7">
                  <c:v>864.7</c:v>
                </c:pt>
                <c:pt idx="8">
                  <c:v>877</c:v>
                </c:pt>
                <c:pt idx="9">
                  <c:v>868.6</c:v>
                </c:pt>
                <c:pt idx="10">
                  <c:v>862</c:v>
                </c:pt>
                <c:pt idx="11">
                  <c:v>850.9</c:v>
                </c:pt>
                <c:pt idx="12">
                  <c:v>840.6</c:v>
                </c:pt>
                <c:pt idx="13">
                  <c:v>836.3</c:v>
                </c:pt>
                <c:pt idx="14">
                  <c:v>859.8</c:v>
                </c:pt>
                <c:pt idx="15">
                  <c:v>907.5</c:v>
                </c:pt>
                <c:pt idx="16">
                  <c:v>887.9</c:v>
                </c:pt>
                <c:pt idx="17">
                  <c:v>853.1</c:v>
                </c:pt>
                <c:pt idx="18">
                  <c:v>845.2</c:v>
                </c:pt>
                <c:pt idx="19">
                  <c:v>893.5</c:v>
                </c:pt>
                <c:pt idx="20">
                  <c:v>901.7</c:v>
                </c:pt>
                <c:pt idx="21">
                  <c:v>885.2</c:v>
                </c:pt>
                <c:pt idx="22">
                  <c:v>880.4</c:v>
                </c:pt>
                <c:pt idx="23">
                  <c:v>893.8</c:v>
                </c:pt>
                <c:pt idx="24">
                  <c:v>889.8</c:v>
                </c:pt>
                <c:pt idx="25">
                  <c:v>905.2</c:v>
                </c:pt>
                <c:pt idx="26">
                  <c:v>896.8</c:v>
                </c:pt>
                <c:pt idx="27">
                  <c:v>895</c:v>
                </c:pt>
                <c:pt idx="28">
                  <c:v>903.4</c:v>
                </c:pt>
                <c:pt idx="29">
                  <c:v>910.8</c:v>
                </c:pt>
                <c:pt idx="30">
                  <c:v>911.1</c:v>
                </c:pt>
                <c:pt idx="31">
                  <c:v>913.2</c:v>
                </c:pt>
                <c:pt idx="32">
                  <c:v>909</c:v>
                </c:pt>
                <c:pt idx="33">
                  <c:v>912.7</c:v>
                </c:pt>
                <c:pt idx="34">
                  <c:v>897.1</c:v>
                </c:pt>
                <c:pt idx="35">
                  <c:v>891.4</c:v>
                </c:pt>
                <c:pt idx="36">
                  <c:v>886.3</c:v>
                </c:pt>
                <c:pt idx="37">
                  <c:v>894.7</c:v>
                </c:pt>
                <c:pt idx="38">
                  <c:v>886.6</c:v>
                </c:pt>
                <c:pt idx="39">
                  <c:v>870.3</c:v>
                </c:pt>
                <c:pt idx="40">
                  <c:v>868</c:v>
                </c:pt>
                <c:pt idx="41">
                  <c:v>875.2</c:v>
                </c:pt>
                <c:pt idx="42">
                  <c:v>892.9</c:v>
                </c:pt>
                <c:pt idx="43">
                  <c:v>901.6</c:v>
                </c:pt>
                <c:pt idx="44">
                  <c:v>895.3</c:v>
                </c:pt>
                <c:pt idx="45">
                  <c:v>860.1</c:v>
                </c:pt>
                <c:pt idx="46">
                  <c:v>867.2</c:v>
                </c:pt>
                <c:pt idx="47">
                  <c:v>869.6</c:v>
                </c:pt>
                <c:pt idx="48">
                  <c:v>877.7</c:v>
                </c:pt>
                <c:pt idx="49">
                  <c:v>875.2</c:v>
                </c:pt>
                <c:pt idx="50">
                  <c:v>883</c:v>
                </c:pt>
                <c:pt idx="51">
                  <c:v>892.2</c:v>
                </c:pt>
                <c:pt idx="52">
                  <c:v>899.8</c:v>
                </c:pt>
                <c:pt idx="53">
                  <c:v>881.3</c:v>
                </c:pt>
                <c:pt idx="54">
                  <c:v>890.8</c:v>
                </c:pt>
                <c:pt idx="55">
                  <c:v>889.3</c:v>
                </c:pt>
                <c:pt idx="56">
                  <c:v>895.6</c:v>
                </c:pt>
                <c:pt idx="57">
                  <c:v>898.3</c:v>
                </c:pt>
                <c:pt idx="58">
                  <c:v>911.1</c:v>
                </c:pt>
                <c:pt idx="59">
                  <c:v>911.7</c:v>
                </c:pt>
                <c:pt idx="60">
                  <c:v>912.2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8D-4853-A9C0-2E539DD0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006336"/>
        <c:axId val="1764006816"/>
      </c:scatterChart>
      <c:valAx>
        <c:axId val="176400633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816"/>
        <c:crosses val="autoZero"/>
        <c:crossBetween val="midCat"/>
      </c:valAx>
      <c:valAx>
        <c:axId val="17640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Core'!$G$23:$G$59</c:f>
              <c:numCache>
                <c:formatCode>0" cm"</c:formatCode>
                <c:ptCount val="37"/>
                <c:pt idx="0">
                  <c:v>2.5</c:v>
                </c:pt>
                <c:pt idx="1">
                  <c:v>7.5</c:v>
                </c:pt>
                <c:pt idx="2">
                  <c:v>11</c:v>
                </c:pt>
                <c:pt idx="3">
                  <c:v>14.5</c:v>
                </c:pt>
                <c:pt idx="4">
                  <c:v>19.5</c:v>
                </c:pt>
                <c:pt idx="5">
                  <c:v>24.5</c:v>
                </c:pt>
                <c:pt idx="6">
                  <c:v>29.5</c:v>
                </c:pt>
                <c:pt idx="7">
                  <c:v>34.5</c:v>
                </c:pt>
                <c:pt idx="8">
                  <c:v>39.5</c:v>
                </c:pt>
                <c:pt idx="9">
                  <c:v>44.5</c:v>
                </c:pt>
                <c:pt idx="10">
                  <c:v>49.5</c:v>
                </c:pt>
                <c:pt idx="11">
                  <c:v>54.5</c:v>
                </c:pt>
                <c:pt idx="12">
                  <c:v>59.5</c:v>
                </c:pt>
                <c:pt idx="13">
                  <c:v>64.5</c:v>
                </c:pt>
                <c:pt idx="14">
                  <c:v>69.5</c:v>
                </c:pt>
                <c:pt idx="15">
                  <c:v>74.5</c:v>
                </c:pt>
                <c:pt idx="16">
                  <c:v>79.5</c:v>
                </c:pt>
                <c:pt idx="17">
                  <c:v>84.5</c:v>
                </c:pt>
                <c:pt idx="18">
                  <c:v>89.5</c:v>
                </c:pt>
                <c:pt idx="19">
                  <c:v>94</c:v>
                </c:pt>
                <c:pt idx="20">
                  <c:v>98.5</c:v>
                </c:pt>
                <c:pt idx="21">
                  <c:v>103.5</c:v>
                </c:pt>
                <c:pt idx="22">
                  <c:v>108.5</c:v>
                </c:pt>
                <c:pt idx="23">
                  <c:v>113.5</c:v>
                </c:pt>
                <c:pt idx="24">
                  <c:v>118.5</c:v>
                </c:pt>
                <c:pt idx="25">
                  <c:v>123.5</c:v>
                </c:pt>
                <c:pt idx="26">
                  <c:v>128.5</c:v>
                </c:pt>
                <c:pt idx="27">
                  <c:v>133.5</c:v>
                </c:pt>
                <c:pt idx="28">
                  <c:v>138.5</c:v>
                </c:pt>
                <c:pt idx="29">
                  <c:v>143.5</c:v>
                </c:pt>
                <c:pt idx="30">
                  <c:v>147.5</c:v>
                </c:pt>
                <c:pt idx="31">
                  <c:v>150.5</c:v>
                </c:pt>
                <c:pt idx="32">
                  <c:v>154.5</c:v>
                </c:pt>
                <c:pt idx="33">
                  <c:v>159.5</c:v>
                </c:pt>
                <c:pt idx="34">
                  <c:v>164.5</c:v>
                </c:pt>
                <c:pt idx="35">
                  <c:v>169.5</c:v>
                </c:pt>
                <c:pt idx="36">
                  <c:v>174.5</c:v>
                </c:pt>
              </c:numCache>
            </c:numRef>
          </c:xVal>
          <c:yVal>
            <c:numRef>
              <c:f>'Density Core'!$J$23:$J$59</c:f>
              <c:numCache>
                <c:formatCode>General</c:formatCode>
                <c:ptCount val="37"/>
                <c:pt idx="0">
                  <c:v>0.2</c:v>
                </c:pt>
                <c:pt idx="1">
                  <c:v>0.18</c:v>
                </c:pt>
                <c:pt idx="2">
                  <c:v>0.14000000000000001</c:v>
                </c:pt>
                <c:pt idx="3">
                  <c:v>0.17</c:v>
                </c:pt>
                <c:pt idx="4">
                  <c:v>0.32</c:v>
                </c:pt>
                <c:pt idx="5">
                  <c:v>0.51</c:v>
                </c:pt>
                <c:pt idx="6">
                  <c:v>0.35</c:v>
                </c:pt>
                <c:pt idx="7">
                  <c:v>0.49</c:v>
                </c:pt>
                <c:pt idx="8">
                  <c:v>0.65</c:v>
                </c:pt>
                <c:pt idx="9">
                  <c:v>0.6</c:v>
                </c:pt>
                <c:pt idx="10">
                  <c:v>0.8</c:v>
                </c:pt>
                <c:pt idx="11">
                  <c:v>0.92</c:v>
                </c:pt>
                <c:pt idx="12">
                  <c:v>1.35</c:v>
                </c:pt>
                <c:pt idx="13">
                  <c:v>1.28</c:v>
                </c:pt>
                <c:pt idx="14">
                  <c:v>0.99</c:v>
                </c:pt>
                <c:pt idx="15">
                  <c:v>0.34</c:v>
                </c:pt>
                <c:pt idx="16">
                  <c:v>1.44</c:v>
                </c:pt>
                <c:pt idx="17">
                  <c:v>1.69</c:v>
                </c:pt>
                <c:pt idx="18">
                  <c:v>4.41</c:v>
                </c:pt>
                <c:pt idx="19">
                  <c:v>3.44</c:v>
                </c:pt>
                <c:pt idx="20">
                  <c:v>3.72</c:v>
                </c:pt>
                <c:pt idx="21">
                  <c:v>4.07</c:v>
                </c:pt>
                <c:pt idx="22">
                  <c:v>6.37</c:v>
                </c:pt>
                <c:pt idx="23">
                  <c:v>4.63</c:v>
                </c:pt>
                <c:pt idx="24">
                  <c:v>4.3600000000000003</c:v>
                </c:pt>
                <c:pt idx="25">
                  <c:v>3.99</c:v>
                </c:pt>
                <c:pt idx="26">
                  <c:v>4.45</c:v>
                </c:pt>
                <c:pt idx="27">
                  <c:v>4.74</c:v>
                </c:pt>
                <c:pt idx="28">
                  <c:v>3.09</c:v>
                </c:pt>
                <c:pt idx="29">
                  <c:v>2.6</c:v>
                </c:pt>
                <c:pt idx="30">
                  <c:v>2.27</c:v>
                </c:pt>
                <c:pt idx="31">
                  <c:v>2.75</c:v>
                </c:pt>
                <c:pt idx="32">
                  <c:v>2.82</c:v>
                </c:pt>
                <c:pt idx="33">
                  <c:v>2.95</c:v>
                </c:pt>
                <c:pt idx="34">
                  <c:v>3.32</c:v>
                </c:pt>
                <c:pt idx="35">
                  <c:v>2.65</c:v>
                </c:pt>
                <c:pt idx="36">
                  <c:v>2.57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B3-441F-A14F-681592D89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43423"/>
        <c:axId val="1230243903"/>
      </c:scatterChart>
      <c:valAx>
        <c:axId val="123024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903"/>
        <c:crosses val="autoZero"/>
        <c:crossBetween val="midCat"/>
      </c:valAx>
      <c:valAx>
        <c:axId val="12302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214312</xdr:colOff>
      <xdr:row>55</xdr:row>
      <xdr:rowOff>152401</xdr:rowOff>
    </xdr:from>
    <xdr:to>
      <xdr:col>13</xdr:col>
      <xdr:colOff>1528762</xdr:colOff>
      <xdr:row>70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BB101-1846-BC59-0F1A-E7229DC3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253365</xdr:colOff>
      <xdr:row>70</xdr:row>
      <xdr:rowOff>12383</xdr:rowOff>
    </xdr:from>
    <xdr:to>
      <xdr:col>20</xdr:col>
      <xdr:colOff>411480</xdr:colOff>
      <xdr:row>85</xdr:row>
      <xdr:rowOff>40958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2061A-EE34-4B46-9FAA-D847A989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584835</xdr:colOff>
      <xdr:row>51</xdr:row>
      <xdr:rowOff>30798</xdr:rowOff>
    </xdr:from>
    <xdr:to>
      <xdr:col>20</xdr:col>
      <xdr:colOff>121285</xdr:colOff>
      <xdr:row>66</xdr:row>
      <xdr:rowOff>59373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AA2E4-948C-41A2-97C0-46FD9F100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Relationship Id="rId1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Overview"/>
      <sheetName val="Thickness Drilling"/>
      <sheetName val="Salinity Core"/>
      <sheetName val="Temperature Core"/>
      <sheetName val="Chemistry core"/>
      <sheetName val="Density Core"/>
      <sheetName val="Archive Core"/>
      <sheetName val="BioCores Philipp"/>
      <sheetName val="BioCores NCPOR"/>
      <sheetName val="Snow Pit"/>
      <sheetName val="Lists"/>
    </sheetNames>
    <sheetDataSet>
      <sheetData sheetId="0">
        <row r="4">
          <cell r="B4" t="str">
            <v>KF2025</v>
          </cell>
        </row>
        <row r="5">
          <cell r="B5">
            <v>6</v>
          </cell>
        </row>
        <row r="6">
          <cell r="B6">
            <v>1</v>
          </cell>
        </row>
        <row r="17">
          <cell r="B17">
            <v>45779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3">
          <cell r="G23">
            <v>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UTC-12</v>
          </cell>
          <cell r="B2" t="str">
            <v>Fast ice visit</v>
          </cell>
          <cell r="C2" t="str">
            <v>Cold, snow (winter/spring conditions)</v>
          </cell>
          <cell r="D2" t="str">
            <v>Fist</v>
          </cell>
          <cell r="E2" t="str">
            <v>I-A</v>
          </cell>
          <cell r="F2" t="str">
            <v>Yes</v>
          </cell>
        </row>
        <row r="3">
          <cell r="A3" t="str">
            <v>UTC-11</v>
          </cell>
          <cell r="B3" t="str">
            <v>Fast ice repeated location</v>
          </cell>
          <cell r="C3" t="str">
            <v>Melting snow</v>
          </cell>
          <cell r="D3" t="str">
            <v>4 fingers</v>
          </cell>
          <cell r="E3" t="str">
            <v>I-B</v>
          </cell>
          <cell r="F3" t="str">
            <v>No</v>
          </cell>
        </row>
        <row r="4">
          <cell r="A4" t="str">
            <v>UTC-10</v>
          </cell>
          <cell r="B4" t="str">
            <v>Ice floe, single-day station</v>
          </cell>
          <cell r="C4" t="str">
            <v>Flooded</v>
          </cell>
          <cell r="D4" t="str">
            <v>3 fingers</v>
          </cell>
          <cell r="E4" t="str">
            <v>II-A-1</v>
          </cell>
        </row>
        <row r="5">
          <cell r="A5" t="str">
            <v>UTC-9</v>
          </cell>
          <cell r="B5" t="str">
            <v>Ice floe, multi-day station</v>
          </cell>
          <cell r="C5" t="str">
            <v>Bare ice, warm, few or no melt ponds</v>
          </cell>
          <cell r="D5" t="str">
            <v>2 fingers</v>
          </cell>
          <cell r="E5" t="str">
            <v>II-A-2</v>
          </cell>
        </row>
        <row r="6">
          <cell r="A6" t="str">
            <v>UTC-8</v>
          </cell>
          <cell r="C6" t="str">
            <v>Bare ice, warm, with melt ponds</v>
          </cell>
          <cell r="D6" t="str">
            <v>1 finger</v>
          </cell>
          <cell r="E6" t="str">
            <v>II-B-1</v>
          </cell>
        </row>
        <row r="7">
          <cell r="A7" t="str">
            <v>UTC-7</v>
          </cell>
          <cell r="C7" t="str">
            <v>Bare ice, warm, partially refrozen melt ponds</v>
          </cell>
          <cell r="D7" t="str">
            <v>Pencil</v>
          </cell>
          <cell r="E7" t="str">
            <v>II-B-2</v>
          </cell>
        </row>
        <row r="8">
          <cell r="A8" t="str">
            <v>UTC-6</v>
          </cell>
          <cell r="C8" t="str">
            <v>Bare ice, frozen, few or no melt ponds</v>
          </cell>
          <cell r="D8" t="str">
            <v>Knife</v>
          </cell>
          <cell r="E8" t="str">
            <v>III-A-1</v>
          </cell>
        </row>
        <row r="9">
          <cell r="A9" t="str">
            <v>UTC-5</v>
          </cell>
          <cell r="C9" t="str">
            <v>Bare ice, frozen, with melt ponds</v>
          </cell>
          <cell r="D9" t="str">
            <v>Ice</v>
          </cell>
          <cell r="E9" t="str">
            <v>III-A-2</v>
          </cell>
        </row>
        <row r="10">
          <cell r="A10" t="str">
            <v>UTC-4</v>
          </cell>
          <cell r="C10" t="str">
            <v>Bare ice, frozen, partially refrozen melt ponds</v>
          </cell>
          <cell r="E10" t="str">
            <v>III-A-3</v>
          </cell>
        </row>
        <row r="11">
          <cell r="A11" t="str">
            <v>UTC-3</v>
          </cell>
          <cell r="C11" t="str">
            <v>New (summer/autumn) snow, warm, few or no melt ponds</v>
          </cell>
          <cell r="E11" t="str">
            <v>IV-A</v>
          </cell>
        </row>
        <row r="12">
          <cell r="A12" t="str">
            <v>UTC-2</v>
          </cell>
          <cell r="C12" t="str">
            <v>New (summer/autumn) snow, warm, with melt ponds</v>
          </cell>
          <cell r="E12" t="str">
            <v>IV-B</v>
          </cell>
        </row>
        <row r="13">
          <cell r="A13" t="str">
            <v>UTC-1</v>
          </cell>
          <cell r="C13" t="str">
            <v>New (summer/autumn) snow, warm, partially refrozen melt ponds</v>
          </cell>
          <cell r="E13" t="str">
            <v>Glacier Ice</v>
          </cell>
        </row>
        <row r="14">
          <cell r="A14" t="str">
            <v>UTC</v>
          </cell>
          <cell r="C14" t="str">
            <v>New (summer/autumn) snow, frozen, few or no melt ponds</v>
          </cell>
        </row>
        <row r="15">
          <cell r="A15" t="str">
            <v>UTC+1 (Norwegian SDT)</v>
          </cell>
          <cell r="C15" t="str">
            <v>New (summer/autumn) snow, frozen, with melt ponds</v>
          </cell>
        </row>
        <row r="16">
          <cell r="A16" t="str">
            <v>UTC+2 (Norwegian DST)</v>
          </cell>
          <cell r="C16" t="str">
            <v>New (summer/autumn) snow, frozen, partially refrozen melt ponds</v>
          </cell>
        </row>
        <row r="17">
          <cell r="A17" t="str">
            <v>UTC+3</v>
          </cell>
        </row>
        <row r="18">
          <cell r="A18" t="str">
            <v>UTC+4</v>
          </cell>
        </row>
        <row r="19">
          <cell r="A19" t="str">
            <v>UTC+5</v>
          </cell>
        </row>
        <row r="20">
          <cell r="A20" t="str">
            <v>UTC+6</v>
          </cell>
        </row>
        <row r="21">
          <cell r="A21" t="str">
            <v>UTC+7</v>
          </cell>
        </row>
        <row r="22">
          <cell r="A22" t="str">
            <v>UTC+8</v>
          </cell>
        </row>
        <row r="23">
          <cell r="A23" t="str">
            <v>UTC+9</v>
          </cell>
        </row>
        <row r="24">
          <cell r="A24" t="str">
            <v>UTC+10</v>
          </cell>
        </row>
        <row r="25">
          <cell r="A25" t="str">
            <v>UTC+11</v>
          </cell>
        </row>
        <row r="26">
          <cell r="A26" t="str">
            <v>UTC+12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AMJ46"/>
  <sheetViews>
    <sheetView zoomScale="80" zoomScaleNormal="80" workbookViewId="0">
      <selection activeCell="F8" sqref="F8"/>
    </sheetView>
  </sheetViews>
  <sheetFormatPr defaultColWidth="9.140625" defaultRowHeight="15" x14ac:dyDescent="0.25"/>
  <cols>
    <col min="1" max="1" width="22.7109375" style="2" customWidth="1"/>
    <col min="2" max="2" width="12.7109375" style="2" customWidth="1"/>
    <col min="3" max="5" width="10.7109375" style="2" customWidth="1"/>
    <col min="6" max="6" width="32.7109375" style="2" customWidth="1"/>
    <col min="7" max="1024" width="9.140625" style="2"/>
  </cols>
  <sheetData>
    <row r="1" spans="1:9" ht="31.5" x14ac:dyDescent="0.5">
      <c r="A1" s="149" t="s">
        <v>0</v>
      </c>
      <c r="B1" s="149"/>
      <c r="C1" s="149"/>
      <c r="D1" s="149"/>
      <c r="E1" s="149"/>
      <c r="F1" s="3"/>
      <c r="G1" s="3"/>
      <c r="H1" s="3"/>
    </row>
    <row r="2" spans="1:9" ht="15.75" customHeight="1" x14ac:dyDescent="0.35">
      <c r="A2" s="4"/>
      <c r="D2" s="3"/>
      <c r="E2" s="3"/>
      <c r="F2" s="3"/>
      <c r="G2" s="3"/>
      <c r="H2" s="3"/>
    </row>
    <row r="3" spans="1:9" x14ac:dyDescent="0.25">
      <c r="A3" s="5" t="s">
        <v>1</v>
      </c>
      <c r="D3" s="3"/>
      <c r="E3" s="3"/>
    </row>
    <row r="4" spans="1:9" x14ac:dyDescent="0.25">
      <c r="A4" s="6" t="s">
        <v>2</v>
      </c>
      <c r="B4" s="150" t="s">
        <v>186</v>
      </c>
      <c r="C4" s="150"/>
      <c r="H4" s="7"/>
      <c r="I4" s="7"/>
    </row>
    <row r="5" spans="1:9" x14ac:dyDescent="0.25">
      <c r="A5" s="8" t="s">
        <v>3</v>
      </c>
      <c r="B5" s="151"/>
      <c r="C5" s="151"/>
      <c r="H5" s="7"/>
      <c r="I5" s="7"/>
    </row>
    <row r="6" spans="1:9" x14ac:dyDescent="0.25">
      <c r="A6" s="8" t="s">
        <v>4</v>
      </c>
      <c r="B6" s="151"/>
      <c r="C6" s="151"/>
    </row>
    <row r="7" spans="1:9" ht="15.75" thickBot="1" x14ac:dyDescent="0.3">
      <c r="A7" s="9" t="s">
        <v>5</v>
      </c>
      <c r="B7" s="152" t="s">
        <v>187</v>
      </c>
      <c r="C7" s="153"/>
    </row>
    <row r="9" spans="1:9" x14ac:dyDescent="0.25">
      <c r="A9" s="5" t="s">
        <v>6</v>
      </c>
    </row>
    <row r="10" spans="1:9" x14ac:dyDescent="0.25">
      <c r="A10" s="6" t="s">
        <v>7</v>
      </c>
      <c r="B10" s="154"/>
      <c r="C10" s="154"/>
      <c r="D10" s="154"/>
      <c r="E10" s="154"/>
    </row>
    <row r="11" spans="1:9" x14ac:dyDescent="0.25">
      <c r="A11" s="8" t="s">
        <v>8</v>
      </c>
      <c r="B11" s="155"/>
      <c r="C11" s="155"/>
      <c r="D11" s="155"/>
      <c r="E11" s="155"/>
    </row>
    <row r="12" spans="1:9" ht="14.45" customHeight="1" x14ac:dyDescent="0.25">
      <c r="A12" s="10" t="s">
        <v>9</v>
      </c>
      <c r="B12" s="156"/>
      <c r="C12" s="156"/>
      <c r="D12" s="156"/>
      <c r="E12" s="156"/>
    </row>
    <row r="13" spans="1:9" x14ac:dyDescent="0.25">
      <c r="A13" s="10"/>
      <c r="B13" s="156"/>
      <c r="C13" s="156"/>
      <c r="D13" s="156"/>
      <c r="E13" s="156"/>
    </row>
    <row r="14" spans="1:9" x14ac:dyDescent="0.25">
      <c r="A14" s="11"/>
      <c r="B14" s="156"/>
      <c r="C14" s="156"/>
      <c r="D14" s="156"/>
      <c r="E14" s="156"/>
    </row>
    <row r="15" spans="1:9" x14ac:dyDescent="0.25">
      <c r="A15" s="12"/>
      <c r="B15" s="13"/>
      <c r="C15" s="13"/>
      <c r="D15" s="13"/>
      <c r="E15" s="13"/>
    </row>
    <row r="16" spans="1:9" x14ac:dyDescent="0.25">
      <c r="A16" s="5" t="s">
        <v>10</v>
      </c>
    </row>
    <row r="17" spans="1:6" x14ac:dyDescent="0.25">
      <c r="A17" s="14" t="s">
        <v>11</v>
      </c>
      <c r="B17" s="15" t="s">
        <v>193</v>
      </c>
    </row>
    <row r="18" spans="1:6" x14ac:dyDescent="0.25">
      <c r="A18" s="8" t="s">
        <v>12</v>
      </c>
      <c r="B18" s="16"/>
      <c r="C18" s="17"/>
      <c r="D18" s="18"/>
      <c r="E18" s="19"/>
    </row>
    <row r="19" spans="1:6" x14ac:dyDescent="0.25">
      <c r="A19" s="20"/>
      <c r="B19" s="21"/>
      <c r="C19" s="22" t="s">
        <v>13</v>
      </c>
      <c r="D19" s="22" t="s">
        <v>14</v>
      </c>
      <c r="E19" s="23" t="s">
        <v>15</v>
      </c>
    </row>
    <row r="20" spans="1:6" x14ac:dyDescent="0.25">
      <c r="A20" s="8" t="s">
        <v>16</v>
      </c>
      <c r="B20" s="24"/>
      <c r="C20">
        <v>81.307500000000005</v>
      </c>
      <c r="D20" s="148"/>
      <c r="E20" s="26"/>
    </row>
    <row r="21" spans="1:6" ht="15.75" thickBot="1" x14ac:dyDescent="0.3">
      <c r="A21" s="9" t="s">
        <v>17</v>
      </c>
      <c r="B21" s="27"/>
      <c r="C21">
        <v>0.32829999999999998</v>
      </c>
      <c r="D21" s="148"/>
      <c r="E21" s="29"/>
    </row>
    <row r="23" spans="1:6" x14ac:dyDescent="0.25">
      <c r="A23" s="5" t="s">
        <v>18</v>
      </c>
      <c r="B23" s="30"/>
      <c r="E23" s="31"/>
    </row>
    <row r="24" spans="1:6" x14ac:dyDescent="0.25">
      <c r="A24" s="14" t="s">
        <v>19</v>
      </c>
      <c r="B24" s="15" t="s">
        <v>193</v>
      </c>
    </row>
    <row r="25" spans="1:6" x14ac:dyDescent="0.25">
      <c r="A25" s="8" t="s">
        <v>20</v>
      </c>
      <c r="B25" s="16"/>
      <c r="C25" s="17"/>
      <c r="D25" s="18"/>
      <c r="E25" s="19"/>
    </row>
    <row r="26" spans="1:6" x14ac:dyDescent="0.25">
      <c r="A26" s="20"/>
      <c r="B26" s="21"/>
      <c r="D26" s="22" t="s">
        <v>14</v>
      </c>
      <c r="E26" s="23" t="s">
        <v>15</v>
      </c>
    </row>
    <row r="27" spans="1:6" x14ac:dyDescent="0.25">
      <c r="A27" s="8" t="s">
        <v>21</v>
      </c>
      <c r="B27" s="24"/>
      <c r="C27">
        <v>81.307500000000005</v>
      </c>
      <c r="D27" s="25"/>
      <c r="E27" s="26"/>
    </row>
    <row r="28" spans="1:6" ht="15.75" thickBot="1" x14ac:dyDescent="0.3">
      <c r="A28" s="9" t="s">
        <v>22</v>
      </c>
      <c r="B28" s="27"/>
      <c r="C28">
        <v>0.32829999999999998</v>
      </c>
      <c r="D28" s="28"/>
      <c r="E28" s="29"/>
    </row>
    <row r="29" spans="1:6" ht="15.75" thickBot="1" x14ac:dyDescent="0.3">
      <c r="B29" s="32"/>
      <c r="C29" s="33"/>
    </row>
    <row r="30" spans="1:6" x14ac:dyDescent="0.25">
      <c r="A30" s="34" t="s">
        <v>23</v>
      </c>
      <c r="B30" s="157" t="s">
        <v>24</v>
      </c>
      <c r="C30" s="157"/>
      <c r="D30" s="157"/>
      <c r="E30" s="157"/>
    </row>
    <row r="32" spans="1:6" ht="30" customHeight="1" x14ac:dyDescent="0.25">
      <c r="A32" s="35"/>
      <c r="B32" s="158" t="s">
        <v>25</v>
      </c>
      <c r="C32" s="158"/>
      <c r="D32" s="158" t="s">
        <v>26</v>
      </c>
      <c r="E32" s="158"/>
      <c r="F32" s="36" t="s">
        <v>27</v>
      </c>
    </row>
    <row r="33" spans="1:6" ht="30" customHeight="1" x14ac:dyDescent="0.25">
      <c r="A33" s="37" t="s">
        <v>28</v>
      </c>
      <c r="B33" s="161"/>
      <c r="C33" s="161"/>
      <c r="D33" s="161"/>
      <c r="E33" s="161"/>
      <c r="F33" s="38"/>
    </row>
    <row r="34" spans="1:6" ht="30" customHeight="1" x14ac:dyDescent="0.25">
      <c r="A34" s="39" t="s">
        <v>28</v>
      </c>
      <c r="B34" s="159"/>
      <c r="C34" s="159"/>
      <c r="D34" s="159"/>
      <c r="E34" s="159"/>
      <c r="F34" s="1"/>
    </row>
    <row r="35" spans="1:6" ht="30" customHeight="1" x14ac:dyDescent="0.25">
      <c r="A35" s="39" t="s">
        <v>28</v>
      </c>
      <c r="B35" s="159"/>
      <c r="C35" s="159"/>
      <c r="D35" s="159"/>
      <c r="E35" s="159"/>
      <c r="F35" s="1"/>
    </row>
    <row r="36" spans="1:6" ht="30" customHeight="1" x14ac:dyDescent="0.25">
      <c r="A36" s="39" t="s">
        <v>28</v>
      </c>
      <c r="B36" s="159"/>
      <c r="C36" s="159"/>
      <c r="D36" s="159"/>
      <c r="E36" s="159"/>
      <c r="F36" s="1"/>
    </row>
    <row r="37" spans="1:6" ht="30" customHeight="1" x14ac:dyDescent="0.25">
      <c r="A37" s="40" t="s">
        <v>28</v>
      </c>
      <c r="B37" s="160"/>
      <c r="C37" s="160"/>
      <c r="D37" s="160"/>
      <c r="E37" s="160"/>
      <c r="F37" s="41"/>
    </row>
    <row r="38" spans="1:6" x14ac:dyDescent="0.25">
      <c r="B38" s="42"/>
      <c r="C38" s="42"/>
      <c r="D38" s="42"/>
      <c r="E38" s="42"/>
      <c r="F38" s="42"/>
    </row>
    <row r="39" spans="1:6" x14ac:dyDescent="0.25">
      <c r="B39" s="42"/>
      <c r="C39" s="42"/>
      <c r="D39" s="42"/>
      <c r="E39" s="42"/>
      <c r="F39" s="42"/>
    </row>
    <row r="40" spans="1:6" x14ac:dyDescent="0.25">
      <c r="B40" s="42"/>
      <c r="C40" s="42"/>
      <c r="D40" s="42"/>
      <c r="E40" s="42"/>
      <c r="F40" s="42"/>
    </row>
    <row r="41" spans="1:6" x14ac:dyDescent="0.25">
      <c r="B41" s="42"/>
      <c r="C41" s="42"/>
      <c r="D41" s="42"/>
      <c r="E41" s="42"/>
      <c r="F41" s="42"/>
    </row>
    <row r="42" spans="1:6" x14ac:dyDescent="0.25">
      <c r="B42" s="42"/>
      <c r="C42" s="42"/>
      <c r="D42" s="42"/>
      <c r="E42" s="42"/>
      <c r="F42" s="42"/>
    </row>
    <row r="43" spans="1:6" x14ac:dyDescent="0.25">
      <c r="B43" s="42"/>
      <c r="C43" s="42"/>
      <c r="D43" s="42"/>
      <c r="E43" s="42"/>
      <c r="F43" s="42"/>
    </row>
    <row r="44" spans="1:6" x14ac:dyDescent="0.25">
      <c r="B44" s="42"/>
      <c r="C44" s="42"/>
      <c r="D44" s="42"/>
      <c r="E44" s="42"/>
      <c r="F44" s="42"/>
    </row>
    <row r="45" spans="1:6" x14ac:dyDescent="0.25">
      <c r="B45" s="42"/>
      <c r="C45" s="42"/>
      <c r="D45" s="42"/>
      <c r="E45" s="42"/>
      <c r="F45" s="42"/>
    </row>
    <row r="46" spans="1:6" x14ac:dyDescent="0.25">
      <c r="B46" s="42"/>
      <c r="C46" s="42"/>
      <c r="D46" s="42"/>
      <c r="E46" s="42"/>
      <c r="F46" s="42"/>
    </row>
  </sheetData>
  <mergeCells count="21">
    <mergeCell ref="B36:C36"/>
    <mergeCell ref="D36:E36"/>
    <mergeCell ref="B37:C37"/>
    <mergeCell ref="D37:E37"/>
    <mergeCell ref="B33:C33"/>
    <mergeCell ref="D33:E33"/>
    <mergeCell ref="B34:C34"/>
    <mergeCell ref="D34:E34"/>
    <mergeCell ref="B35:C35"/>
    <mergeCell ref="D35:E35"/>
    <mergeCell ref="B10:E10"/>
    <mergeCell ref="B11:E11"/>
    <mergeCell ref="B12:E14"/>
    <mergeCell ref="B30:E30"/>
    <mergeCell ref="B32:C32"/>
    <mergeCell ref="D32:E32"/>
    <mergeCell ref="A1:E1"/>
    <mergeCell ref="B4:C4"/>
    <mergeCell ref="B5:C5"/>
    <mergeCell ref="B6:C6"/>
    <mergeCell ref="B7:C7"/>
  </mergeCells>
  <dataValidations count="22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1000000}">
      <formula1>IF(C21=INT(C21),AND(E21&gt;=0,E21&lt;60),ISBLANK(E21))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2000000}">
      <formula1>IF(C20=INT(C20),AND(E20&gt;=0,E20&lt;60),ISBLANK(E20))</formula1>
      <formula2>0</formula2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3000000}">
      <formula1>0</formula1>
      <formula2>0</formula2>
    </dataValidation>
    <dataValidation allowBlank="1" showInputMessage="1" showErrorMessage="1" promptTitle="Identify associated stations" prompt="Explain the reason for the association given in this row" sqref="F33:F37" xr:uid="{00000000-0002-0000-0000-000004000000}">
      <formula1>0</formula1>
      <formula2>0</formula2>
    </dataValidation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5000000}">
      <formula1>0</formula1>
      <formula2>0</formula2>
    </dataValidation>
    <dataValidation type="list" allowBlank="1" showInputMessage="1" showErrorMessage="1" error="Must choose a value from the list" prompt="Choose from drop down list" sqref="B10" xr:uid="{00000000-0002-0000-0000-000006000000}">
      <formula1>StationTypes</formula1>
      <formula2>0</formula2>
    </dataValidation>
    <dataValidation allowBlank="1" showInputMessage="1" showErrorMessage="1" prompt="Any general comments about the station.  Free text." sqref="B12 B15:E15" xr:uid="{00000000-0002-0000-0000-000007000000}">
      <formula1>0</formula1>
      <formula2>0</formula2>
    </dataValidation>
    <dataValidation type="list" allowBlank="1" showInputMessage="1" showErrorMessage="1" error="Must choose a value from the list" prompt="Choose a description from the drop down list" sqref="B11" xr:uid="{00000000-0002-0000-0000-000008000000}">
      <formula1>GeneralConditions</formula1>
      <formula2>0</formula2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7:D28" xr:uid="{00000000-0002-0000-0000-000009000000}">
      <formula1>0</formula1>
      <formula2>59.99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 C27" xr:uid="{00000000-0002-0000-0000-00000B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 C28" xr:uid="{00000000-0002-0000-0000-00000C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D000000}">
      <formula1>0</formula1>
      <formula2>23</formula2>
    </dataValidation>
    <dataValidation type="list" allowBlank="1" showInputMessage="1" showErrorMessage="1" sqref="C29 B30:E30" xr:uid="{00000000-0002-0000-0000-00000E000000}">
      <formula1>TimeZones</formula1>
      <formula2>0</formula2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0F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0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1000000}">
      <formula1>1</formula1>
      <formula2>99</formula2>
    </dataValidation>
    <dataValidation type="custom" allowBlank="1" showInputMessage="1" showErrorMessage="1" errorTitle="Must enter an ID" promptTitle="Enter a unique expedition ID" prompt="Text with no spaces_x000a_Examples: FS08 or KF_April2010" sqref="B4" xr:uid="{00000000-0002-0000-0000-000012000000}">
      <formula1>ISERROR(FIND(" ",B4))</formula1>
      <formula2>0</formula2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3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4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5000000}">
      <formula1>0</formula1>
      <formula2>0</formula2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16000000}">
      <formula1>IF(#REF!=INT(#REF!),AND(E27&gt;=0,E27&lt;60),ISBLANK(E27))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AMJ134"/>
  <sheetViews>
    <sheetView topLeftCell="A13" zoomScale="80" zoomScaleNormal="80" workbookViewId="0">
      <selection activeCell="M18" sqref="M18:M23"/>
    </sheetView>
  </sheetViews>
  <sheetFormatPr defaultColWidth="9.140625" defaultRowHeight="15" x14ac:dyDescent="0.25"/>
  <cols>
    <col min="1" max="1" width="29.42578125" style="2" customWidth="1"/>
    <col min="2" max="8" width="15.7109375" style="2" customWidth="1"/>
    <col min="9" max="9" width="36.7109375" style="2" customWidth="1"/>
    <col min="10" max="10" width="9.140625" style="2"/>
    <col min="11" max="13" width="15.7109375" style="2" customWidth="1"/>
    <col min="14" max="14" width="36.7109375" style="2" customWidth="1"/>
    <col min="15" max="1024" width="9.140625" style="2"/>
  </cols>
  <sheetData>
    <row r="1" spans="1:13" ht="31.5" x14ac:dyDescent="0.5">
      <c r="A1" s="164" t="s">
        <v>37</v>
      </c>
      <c r="B1" s="164"/>
      <c r="C1" s="164"/>
      <c r="D1" s="164"/>
    </row>
    <row r="2" spans="1:13" x14ac:dyDescent="0.25">
      <c r="A2" s="51" t="s">
        <v>29</v>
      </c>
      <c r="B2" s="165" t="str">
        <f>CONCATENATE(ExpID,"-",StnNum,"-",StnDay)</f>
        <v>MOSAiC--</v>
      </c>
      <c r="C2" s="165"/>
      <c r="D2" s="52"/>
    </row>
    <row r="3" spans="1:13" x14ac:dyDescent="0.25">
      <c r="A3" s="51" t="s">
        <v>30</v>
      </c>
      <c r="B3" s="166" t="s">
        <v>188</v>
      </c>
      <c r="C3" s="166"/>
      <c r="D3" s="53"/>
    </row>
    <row r="4" spans="1:13" x14ac:dyDescent="0.25">
      <c r="A4" s="51" t="s">
        <v>31</v>
      </c>
      <c r="B4" s="167" t="str">
        <f>ObsDate</f>
        <v>15.07.2020</v>
      </c>
      <c r="C4" s="167"/>
      <c r="D4" s="53"/>
    </row>
    <row r="5" spans="1:13" x14ac:dyDescent="0.25">
      <c r="A5" s="54" t="s">
        <v>32</v>
      </c>
      <c r="B5" s="168"/>
      <c r="C5" s="168"/>
      <c r="D5" s="53"/>
    </row>
    <row r="6" spans="1:13" x14ac:dyDescent="0.25">
      <c r="A6" s="54" t="s">
        <v>5</v>
      </c>
      <c r="B6" s="152" t="s">
        <v>187</v>
      </c>
      <c r="C6" s="153"/>
      <c r="D6" s="53"/>
      <c r="E6" s="44"/>
    </row>
    <row r="7" spans="1:13" ht="30" customHeight="1" x14ac:dyDescent="0.25">
      <c r="A7" s="55" t="s">
        <v>33</v>
      </c>
      <c r="B7" s="162"/>
      <c r="C7" s="162"/>
      <c r="D7" s="162"/>
    </row>
    <row r="9" spans="1:13" x14ac:dyDescent="0.25">
      <c r="A9" s="5" t="s">
        <v>38</v>
      </c>
    </row>
    <row r="10" spans="1:13" x14ac:dyDescent="0.25">
      <c r="A10" s="56" t="s">
        <v>39</v>
      </c>
      <c r="B10" s="57"/>
      <c r="K10" s="163" t="s">
        <v>40</v>
      </c>
      <c r="L10" s="163"/>
      <c r="M10" s="49">
        <v>311</v>
      </c>
    </row>
    <row r="11" spans="1:13" x14ac:dyDescent="0.25">
      <c r="A11" s="56" t="s">
        <v>41</v>
      </c>
      <c r="B11" s="57"/>
      <c r="K11" s="163" t="s">
        <v>42</v>
      </c>
      <c r="L11" s="163"/>
      <c r="M11" s="25">
        <v>5</v>
      </c>
    </row>
    <row r="12" spans="1:13" x14ac:dyDescent="0.25">
      <c r="A12" s="56" t="s">
        <v>43</v>
      </c>
      <c r="B12" s="57"/>
      <c r="K12" s="56" t="s">
        <v>44</v>
      </c>
      <c r="L12" s="56"/>
      <c r="M12" s="58">
        <v>311</v>
      </c>
    </row>
    <row r="13" spans="1:13" x14ac:dyDescent="0.25">
      <c r="A13" s="56" t="s">
        <v>34</v>
      </c>
      <c r="B13" s="57"/>
    </row>
    <row r="14" spans="1:13" x14ac:dyDescent="0.25">
      <c r="A14" s="56" t="s">
        <v>36</v>
      </c>
      <c r="B14" s="57"/>
    </row>
    <row r="15" spans="1:13" x14ac:dyDescent="0.25">
      <c r="A15" s="56" t="s">
        <v>35</v>
      </c>
      <c r="B15" s="57"/>
    </row>
    <row r="17" spans="1:14" s="48" customFormat="1" ht="45" x14ac:dyDescent="0.25">
      <c r="A17" s="59" t="s">
        <v>45</v>
      </c>
      <c r="B17" s="59" t="s">
        <v>46</v>
      </c>
      <c r="C17" s="59" t="s">
        <v>47</v>
      </c>
      <c r="D17" s="59" t="s">
        <v>48</v>
      </c>
      <c r="E17" s="59" t="s">
        <v>49</v>
      </c>
      <c r="F17" s="59" t="s">
        <v>50</v>
      </c>
      <c r="G17" s="59" t="s">
        <v>51</v>
      </c>
      <c r="H17" s="59" t="s">
        <v>52</v>
      </c>
      <c r="I17" s="59" t="s">
        <v>9</v>
      </c>
      <c r="K17" s="59" t="s">
        <v>53</v>
      </c>
      <c r="L17" s="59" t="s">
        <v>54</v>
      </c>
      <c r="M17" s="59" t="s">
        <v>55</v>
      </c>
      <c r="N17" s="59" t="s">
        <v>9</v>
      </c>
    </row>
    <row r="18" spans="1:14" x14ac:dyDescent="0.25">
      <c r="A18" s="187"/>
      <c r="B18" s="188">
        <v>0</v>
      </c>
      <c r="C18" s="188">
        <v>5</v>
      </c>
      <c r="D18" s="189">
        <v>0.1</v>
      </c>
      <c r="E18" s="189"/>
      <c r="F18" s="190"/>
      <c r="G18" s="188"/>
      <c r="H18" s="189"/>
      <c r="I18" s="191"/>
      <c r="K18" s="60"/>
      <c r="L18" s="57"/>
      <c r="M18" s="57"/>
      <c r="N18" s="61"/>
    </row>
    <row r="19" spans="1:14" x14ac:dyDescent="0.25">
      <c r="A19" s="187"/>
      <c r="B19" s="188">
        <v>5</v>
      </c>
      <c r="C19" s="188">
        <v>10</v>
      </c>
      <c r="D19" s="189">
        <v>0.1</v>
      </c>
      <c r="E19" s="189"/>
      <c r="F19" s="190"/>
      <c r="G19" s="188"/>
      <c r="H19" s="189"/>
      <c r="I19" s="191"/>
      <c r="K19" s="60"/>
      <c r="L19" s="57"/>
      <c r="M19" s="57"/>
      <c r="N19" s="61"/>
    </row>
    <row r="20" spans="1:14" x14ac:dyDescent="0.25">
      <c r="A20" s="187"/>
      <c r="B20" s="188">
        <v>10</v>
      </c>
      <c r="C20" s="188">
        <v>15</v>
      </c>
      <c r="D20" s="189">
        <v>0.1</v>
      </c>
      <c r="E20" s="189"/>
      <c r="F20" s="190"/>
      <c r="G20" s="188"/>
      <c r="H20" s="189"/>
      <c r="I20" s="191"/>
      <c r="K20" s="60"/>
      <c r="L20" s="57"/>
      <c r="M20" s="57"/>
      <c r="N20" s="61"/>
    </row>
    <row r="21" spans="1:14" x14ac:dyDescent="0.25">
      <c r="A21" s="187"/>
      <c r="B21" s="188">
        <v>15</v>
      </c>
      <c r="C21" s="188">
        <v>20</v>
      </c>
      <c r="D21" s="189">
        <v>0.1</v>
      </c>
      <c r="E21" s="189"/>
      <c r="F21" s="190"/>
      <c r="G21" s="188"/>
      <c r="H21" s="189"/>
      <c r="I21" s="191"/>
      <c r="K21" s="60"/>
      <c r="L21" s="57"/>
      <c r="M21" s="57"/>
      <c r="N21" s="61"/>
    </row>
    <row r="22" spans="1:14" x14ac:dyDescent="0.25">
      <c r="A22" s="187"/>
      <c r="B22" s="188">
        <v>20</v>
      </c>
      <c r="C22" s="188">
        <v>25</v>
      </c>
      <c r="D22" s="189">
        <v>0.2</v>
      </c>
      <c r="E22" s="189"/>
      <c r="F22" s="190"/>
      <c r="G22" s="188"/>
      <c r="H22" s="189"/>
      <c r="I22" s="191"/>
      <c r="K22" s="60"/>
      <c r="L22" s="57"/>
      <c r="M22" s="57"/>
      <c r="N22" s="61"/>
    </row>
    <row r="23" spans="1:14" x14ac:dyDescent="0.25">
      <c r="A23" s="187"/>
      <c r="B23" s="188">
        <v>25</v>
      </c>
      <c r="C23" s="188">
        <v>30</v>
      </c>
      <c r="D23" s="189">
        <v>0.3</v>
      </c>
      <c r="E23" s="189"/>
      <c r="F23" s="190"/>
      <c r="G23" s="188"/>
      <c r="H23" s="189"/>
      <c r="I23" s="191"/>
      <c r="K23" s="60"/>
      <c r="L23" s="57"/>
      <c r="M23" s="57"/>
      <c r="N23" s="61"/>
    </row>
    <row r="24" spans="1:14" x14ac:dyDescent="0.25">
      <c r="A24" s="187"/>
      <c r="B24" s="188">
        <v>30</v>
      </c>
      <c r="C24" s="188">
        <v>31.5</v>
      </c>
      <c r="D24" s="189">
        <v>0.5</v>
      </c>
      <c r="E24" s="189"/>
      <c r="F24" s="190"/>
      <c r="G24" s="188"/>
      <c r="H24" s="189"/>
      <c r="I24" s="191"/>
      <c r="K24" s="60"/>
      <c r="L24" s="57"/>
      <c r="M24" s="57"/>
      <c r="N24" s="61"/>
    </row>
    <row r="25" spans="1:14" x14ac:dyDescent="0.25">
      <c r="A25" s="187"/>
      <c r="B25" s="188">
        <v>31.5</v>
      </c>
      <c r="C25" s="188">
        <v>35</v>
      </c>
      <c r="D25" s="189">
        <v>0.4</v>
      </c>
      <c r="E25" s="189"/>
      <c r="F25" s="190"/>
      <c r="G25" s="188"/>
      <c r="H25" s="189"/>
      <c r="I25" s="191"/>
      <c r="K25" s="60"/>
      <c r="L25" s="57"/>
      <c r="M25" s="57"/>
      <c r="N25" s="61"/>
    </row>
    <row r="26" spans="1:14" x14ac:dyDescent="0.25">
      <c r="A26" s="187"/>
      <c r="B26" s="188">
        <v>35</v>
      </c>
      <c r="C26" s="188">
        <v>40</v>
      </c>
      <c r="D26" s="189">
        <v>0.5</v>
      </c>
      <c r="E26" s="189"/>
      <c r="F26" s="190"/>
      <c r="G26" s="188"/>
      <c r="H26" s="189"/>
      <c r="I26" s="191"/>
      <c r="K26" s="60"/>
      <c r="L26" s="57"/>
      <c r="M26" s="57"/>
      <c r="N26" s="61"/>
    </row>
    <row r="27" spans="1:14" x14ac:dyDescent="0.25">
      <c r="A27" s="187"/>
      <c r="B27" s="188">
        <v>40</v>
      </c>
      <c r="C27" s="188">
        <v>45</v>
      </c>
      <c r="D27" s="189">
        <v>0.7</v>
      </c>
      <c r="E27" s="189"/>
      <c r="F27" s="190"/>
      <c r="G27" s="188"/>
      <c r="H27" s="189"/>
      <c r="I27" s="191"/>
      <c r="K27" s="60"/>
      <c r="L27" s="57"/>
      <c r="M27" s="57"/>
      <c r="N27" s="61"/>
    </row>
    <row r="28" spans="1:14" x14ac:dyDescent="0.25">
      <c r="A28" s="187"/>
      <c r="B28" s="188">
        <v>45</v>
      </c>
      <c r="C28" s="188">
        <v>50</v>
      </c>
      <c r="D28" s="189">
        <v>0.8</v>
      </c>
      <c r="E28" s="189"/>
      <c r="F28" s="190"/>
      <c r="G28" s="188"/>
      <c r="H28" s="189"/>
      <c r="I28" s="191"/>
      <c r="K28" s="60"/>
      <c r="L28" s="57"/>
      <c r="M28" s="57"/>
      <c r="N28" s="61"/>
    </row>
    <row r="29" spans="1:14" x14ac:dyDescent="0.25">
      <c r="A29" s="187"/>
      <c r="B29" s="188">
        <v>50</v>
      </c>
      <c r="C29" s="188">
        <v>55</v>
      </c>
      <c r="D29" s="189">
        <v>0.8</v>
      </c>
      <c r="E29" s="189"/>
      <c r="F29" s="190"/>
      <c r="G29" s="188"/>
      <c r="H29" s="189"/>
      <c r="I29" s="191"/>
      <c r="K29" s="60"/>
      <c r="L29" s="57"/>
      <c r="M29" s="57"/>
      <c r="N29" s="61"/>
    </row>
    <row r="30" spans="1:14" x14ac:dyDescent="0.25">
      <c r="A30" s="187"/>
      <c r="B30" s="188">
        <v>55</v>
      </c>
      <c r="C30" s="188">
        <v>60</v>
      </c>
      <c r="D30" s="189">
        <v>0.7</v>
      </c>
      <c r="E30" s="189"/>
      <c r="F30" s="190"/>
      <c r="G30" s="188"/>
      <c r="H30" s="189"/>
      <c r="I30" s="191"/>
      <c r="K30" s="60"/>
      <c r="L30" s="57"/>
      <c r="M30" s="57"/>
      <c r="N30" s="61"/>
    </row>
    <row r="31" spans="1:14" x14ac:dyDescent="0.25">
      <c r="A31" s="187"/>
      <c r="B31" s="188">
        <v>60</v>
      </c>
      <c r="C31" s="188">
        <v>66</v>
      </c>
      <c r="D31" s="189">
        <v>0.9</v>
      </c>
      <c r="E31" s="189"/>
      <c r="F31" s="190"/>
      <c r="G31" s="188"/>
      <c r="H31" s="189"/>
      <c r="I31" s="191"/>
      <c r="K31" s="60"/>
      <c r="L31" s="57"/>
      <c r="M31" s="57"/>
      <c r="N31" s="61"/>
    </row>
    <row r="32" spans="1:14" x14ac:dyDescent="0.25">
      <c r="A32" s="187"/>
      <c r="B32" s="188">
        <v>66</v>
      </c>
      <c r="C32" s="188">
        <v>70</v>
      </c>
      <c r="D32" s="189">
        <v>0.8</v>
      </c>
      <c r="E32" s="189"/>
      <c r="F32" s="190"/>
      <c r="G32" s="188"/>
      <c r="H32" s="189"/>
      <c r="I32" s="191"/>
      <c r="K32" s="60"/>
      <c r="L32" s="57"/>
      <c r="M32" s="57"/>
      <c r="N32" s="61"/>
    </row>
    <row r="33" spans="1:14" x14ac:dyDescent="0.25">
      <c r="A33" s="187"/>
      <c r="B33" s="188">
        <v>70</v>
      </c>
      <c r="C33" s="188">
        <v>75</v>
      </c>
      <c r="D33" s="189">
        <v>0.6</v>
      </c>
      <c r="E33" s="189"/>
      <c r="F33" s="190"/>
      <c r="G33" s="188"/>
      <c r="H33" s="189"/>
      <c r="I33" s="191"/>
      <c r="K33" s="60"/>
      <c r="L33" s="57"/>
      <c r="M33" s="57"/>
      <c r="N33" s="61"/>
    </row>
    <row r="34" spans="1:14" x14ac:dyDescent="0.25">
      <c r="A34" s="187"/>
      <c r="B34" s="188">
        <v>75</v>
      </c>
      <c r="C34" s="188">
        <v>80</v>
      </c>
      <c r="D34" s="189">
        <v>0.7</v>
      </c>
      <c r="E34" s="189"/>
      <c r="F34" s="190"/>
      <c r="G34" s="188"/>
      <c r="H34" s="189"/>
      <c r="I34" s="191"/>
      <c r="K34" s="60"/>
      <c r="L34" s="57"/>
      <c r="M34" s="57"/>
      <c r="N34" s="61"/>
    </row>
    <row r="35" spans="1:14" x14ac:dyDescent="0.25">
      <c r="A35" s="187"/>
      <c r="B35" s="188">
        <v>80</v>
      </c>
      <c r="C35" s="188">
        <v>85</v>
      </c>
      <c r="D35" s="189">
        <v>1</v>
      </c>
      <c r="E35" s="189"/>
      <c r="F35" s="190"/>
      <c r="G35" s="188"/>
      <c r="H35" s="189"/>
      <c r="I35" s="191"/>
      <c r="K35" s="60"/>
      <c r="L35" s="57"/>
      <c r="M35" s="57"/>
      <c r="N35" s="61"/>
    </row>
    <row r="36" spans="1:14" x14ac:dyDescent="0.25">
      <c r="A36" s="187"/>
      <c r="B36" s="188">
        <v>85</v>
      </c>
      <c r="C36" s="188">
        <v>90</v>
      </c>
      <c r="D36" s="189">
        <v>1.2</v>
      </c>
      <c r="E36" s="189"/>
      <c r="F36" s="190"/>
      <c r="G36" s="188"/>
      <c r="H36" s="189"/>
      <c r="I36" s="191"/>
      <c r="K36" s="60"/>
      <c r="L36" s="57"/>
      <c r="M36" s="57"/>
      <c r="N36" s="61"/>
    </row>
    <row r="37" spans="1:14" x14ac:dyDescent="0.25">
      <c r="A37" s="187"/>
      <c r="B37" s="188">
        <v>90</v>
      </c>
      <c r="C37" s="188">
        <v>94</v>
      </c>
      <c r="D37" s="189">
        <v>1.4</v>
      </c>
      <c r="E37" s="189"/>
      <c r="F37" s="190"/>
      <c r="G37" s="188"/>
      <c r="H37" s="189"/>
      <c r="I37" s="191"/>
      <c r="K37" s="60"/>
      <c r="L37" s="57"/>
      <c r="M37" s="57"/>
      <c r="N37" s="61"/>
    </row>
    <row r="38" spans="1:14" x14ac:dyDescent="0.25">
      <c r="A38" s="187"/>
      <c r="B38" s="188">
        <v>94</v>
      </c>
      <c r="C38" s="188">
        <v>100</v>
      </c>
      <c r="D38" s="189">
        <v>3.6</v>
      </c>
      <c r="E38" s="189"/>
      <c r="F38" s="190"/>
      <c r="G38" s="188"/>
      <c r="H38" s="189"/>
      <c r="I38" s="191"/>
      <c r="K38" s="60"/>
      <c r="L38" s="57"/>
      <c r="M38" s="57"/>
      <c r="N38" s="61"/>
    </row>
    <row r="39" spans="1:14" x14ac:dyDescent="0.25">
      <c r="A39" s="187"/>
      <c r="B39" s="188">
        <v>100</v>
      </c>
      <c r="C39" s="188">
        <v>105</v>
      </c>
      <c r="D39" s="189">
        <v>3.1</v>
      </c>
      <c r="E39" s="189"/>
      <c r="F39" s="190"/>
      <c r="G39" s="188"/>
      <c r="H39" s="189"/>
      <c r="I39" s="191"/>
      <c r="K39" s="60"/>
      <c r="L39" s="57"/>
      <c r="M39" s="57"/>
      <c r="N39" s="61"/>
    </row>
    <row r="40" spans="1:14" x14ac:dyDescent="0.25">
      <c r="A40" s="187"/>
      <c r="B40" s="188">
        <v>105</v>
      </c>
      <c r="C40" s="188">
        <v>110</v>
      </c>
      <c r="D40" s="189">
        <v>3.4</v>
      </c>
      <c r="E40" s="189"/>
      <c r="F40" s="190"/>
      <c r="G40" s="188"/>
      <c r="H40" s="189"/>
      <c r="I40" s="191"/>
      <c r="K40" s="60"/>
      <c r="L40" s="57"/>
      <c r="M40" s="57"/>
      <c r="N40" s="61"/>
    </row>
    <row r="41" spans="1:14" x14ac:dyDescent="0.25">
      <c r="A41" s="187"/>
      <c r="B41" s="188">
        <v>110</v>
      </c>
      <c r="C41" s="188">
        <v>115</v>
      </c>
      <c r="D41" s="189">
        <v>3.2</v>
      </c>
      <c r="E41" s="189"/>
      <c r="F41" s="190"/>
      <c r="G41" s="188"/>
      <c r="H41" s="189"/>
      <c r="I41" s="191"/>
      <c r="K41" s="60"/>
      <c r="L41" s="57"/>
      <c r="M41" s="57"/>
      <c r="N41" s="61"/>
    </row>
    <row r="42" spans="1:14" x14ac:dyDescent="0.25">
      <c r="A42" s="187"/>
      <c r="B42" s="188">
        <v>115</v>
      </c>
      <c r="C42" s="188">
        <v>120</v>
      </c>
      <c r="D42" s="189">
        <v>3</v>
      </c>
      <c r="E42" s="189"/>
      <c r="F42" s="190"/>
      <c r="G42" s="188"/>
      <c r="H42" s="189"/>
      <c r="I42" s="191"/>
      <c r="K42" s="60"/>
      <c r="L42" s="57"/>
      <c r="M42" s="57"/>
      <c r="N42" s="61"/>
    </row>
    <row r="43" spans="1:14" x14ac:dyDescent="0.25">
      <c r="A43" s="187"/>
      <c r="B43" s="188">
        <v>120</v>
      </c>
      <c r="C43" s="188">
        <v>125</v>
      </c>
      <c r="D43" s="189">
        <v>3.5</v>
      </c>
      <c r="E43" s="189"/>
      <c r="F43" s="190"/>
      <c r="G43" s="188"/>
      <c r="H43" s="189"/>
      <c r="I43" s="191"/>
      <c r="K43" s="60"/>
      <c r="L43" s="57"/>
      <c r="M43" s="57"/>
      <c r="N43" s="61"/>
    </row>
    <row r="44" spans="1:14" x14ac:dyDescent="0.25">
      <c r="A44" s="187"/>
      <c r="B44" s="188">
        <v>125</v>
      </c>
      <c r="C44" s="188">
        <v>130</v>
      </c>
      <c r="D44" s="189">
        <v>3.9</v>
      </c>
      <c r="E44" s="189"/>
      <c r="F44" s="190"/>
      <c r="G44" s="188"/>
      <c r="H44" s="189"/>
      <c r="I44" s="191"/>
      <c r="K44" s="60"/>
      <c r="L44" s="57"/>
      <c r="M44" s="57"/>
      <c r="N44" s="61"/>
    </row>
    <row r="45" spans="1:14" x14ac:dyDescent="0.25">
      <c r="A45" s="187"/>
      <c r="B45" s="188">
        <v>130</v>
      </c>
      <c r="C45" s="188">
        <v>135</v>
      </c>
      <c r="D45" s="189">
        <v>3.9</v>
      </c>
      <c r="E45" s="189"/>
      <c r="F45" s="190"/>
      <c r="G45" s="188"/>
      <c r="H45" s="189"/>
      <c r="I45" s="191"/>
      <c r="K45" s="60"/>
      <c r="L45" s="57"/>
      <c r="M45" s="57"/>
      <c r="N45" s="61"/>
    </row>
    <row r="46" spans="1:14" x14ac:dyDescent="0.25">
      <c r="A46" s="187"/>
      <c r="B46" s="188">
        <v>135</v>
      </c>
      <c r="C46" s="188">
        <v>140</v>
      </c>
      <c r="D46" s="189">
        <v>2.7</v>
      </c>
      <c r="E46" s="189"/>
      <c r="F46" s="190"/>
      <c r="G46" s="188"/>
      <c r="H46" s="189"/>
      <c r="I46" s="191"/>
      <c r="K46" s="60"/>
      <c r="L46" s="57"/>
      <c r="M46" s="57"/>
      <c r="N46" s="61"/>
    </row>
    <row r="47" spans="1:14" x14ac:dyDescent="0.25">
      <c r="A47" s="187"/>
      <c r="B47" s="188">
        <v>140</v>
      </c>
      <c r="C47" s="188">
        <v>145</v>
      </c>
      <c r="D47" s="189">
        <v>2.5</v>
      </c>
      <c r="E47" s="189"/>
      <c r="F47" s="190"/>
      <c r="G47" s="188"/>
      <c r="H47" s="189"/>
      <c r="I47" s="191"/>
      <c r="K47" s="60"/>
      <c r="L47" s="57"/>
      <c r="M47" s="57"/>
      <c r="N47" s="61"/>
    </row>
    <row r="48" spans="1:14" x14ac:dyDescent="0.25">
      <c r="A48" s="187"/>
      <c r="B48" s="188">
        <v>145</v>
      </c>
      <c r="C48" s="188">
        <v>150</v>
      </c>
      <c r="D48" s="189">
        <v>2.2999999999999998</v>
      </c>
      <c r="E48" s="189"/>
      <c r="F48" s="190"/>
      <c r="G48" s="188"/>
      <c r="H48" s="189"/>
      <c r="I48" s="191"/>
      <c r="K48" s="60"/>
      <c r="L48" s="57"/>
      <c r="M48" s="57"/>
      <c r="N48" s="61"/>
    </row>
    <row r="49" spans="1:14" x14ac:dyDescent="0.25">
      <c r="A49" s="187"/>
      <c r="B49" s="188">
        <v>150</v>
      </c>
      <c r="C49" s="188">
        <v>155</v>
      </c>
      <c r="D49" s="189">
        <v>2.9</v>
      </c>
      <c r="E49" s="189"/>
      <c r="F49" s="190"/>
      <c r="G49" s="188"/>
      <c r="H49" s="189"/>
      <c r="I49" s="191"/>
      <c r="K49" s="60"/>
      <c r="L49" s="57"/>
      <c r="M49" s="57"/>
      <c r="N49" s="61"/>
    </row>
    <row r="50" spans="1:14" x14ac:dyDescent="0.25">
      <c r="A50" s="187"/>
      <c r="B50" s="188">
        <v>155</v>
      </c>
      <c r="C50" s="188">
        <v>160</v>
      </c>
      <c r="D50" s="189">
        <v>2.5</v>
      </c>
      <c r="E50" s="189"/>
      <c r="F50" s="190"/>
      <c r="G50" s="188"/>
      <c r="H50" s="189"/>
      <c r="I50" s="191"/>
      <c r="K50" s="60"/>
      <c r="L50" s="57"/>
      <c r="M50" s="57"/>
      <c r="N50" s="61"/>
    </row>
    <row r="51" spans="1:14" x14ac:dyDescent="0.25">
      <c r="A51" s="187"/>
      <c r="B51" s="192">
        <v>160</v>
      </c>
      <c r="C51" s="192">
        <v>165</v>
      </c>
      <c r="D51" s="192">
        <v>2.9</v>
      </c>
      <c r="E51" s="192"/>
      <c r="F51" s="192"/>
      <c r="G51" s="192"/>
      <c r="H51" s="192"/>
      <c r="I51" s="192"/>
    </row>
    <row r="52" spans="1:14" x14ac:dyDescent="0.25">
      <c r="A52" s="192"/>
      <c r="B52" s="192">
        <v>165</v>
      </c>
      <c r="C52" s="192">
        <v>168.5</v>
      </c>
      <c r="D52" s="192">
        <v>3.4</v>
      </c>
      <c r="E52" s="192"/>
      <c r="F52" s="192"/>
      <c r="G52" s="192"/>
      <c r="H52" s="192"/>
      <c r="I52" s="192"/>
    </row>
    <row r="53" spans="1:14" x14ac:dyDescent="0.25">
      <c r="A53" s="192"/>
      <c r="B53" s="192">
        <v>168.5</v>
      </c>
      <c r="C53" s="192">
        <v>170</v>
      </c>
      <c r="D53" s="192">
        <v>5</v>
      </c>
      <c r="E53" s="192"/>
      <c r="F53" s="192"/>
      <c r="G53" s="192"/>
      <c r="H53" s="192"/>
      <c r="I53" s="192"/>
    </row>
    <row r="54" spans="1:14" x14ac:dyDescent="0.25">
      <c r="A54" s="192"/>
      <c r="B54" s="192">
        <v>170</v>
      </c>
      <c r="C54" s="192">
        <v>175</v>
      </c>
      <c r="D54" s="192">
        <v>2.5</v>
      </c>
      <c r="E54" s="192"/>
      <c r="F54" s="192"/>
      <c r="G54" s="192"/>
      <c r="H54" s="192"/>
      <c r="I54" s="192"/>
    </row>
    <row r="55" spans="1:14" x14ac:dyDescent="0.25">
      <c r="A55" s="192"/>
      <c r="B55" s="192">
        <v>175</v>
      </c>
      <c r="C55" s="192">
        <v>180</v>
      </c>
      <c r="D55" s="192">
        <v>2.2999999999999998</v>
      </c>
      <c r="E55" s="192"/>
      <c r="F55" s="192"/>
      <c r="G55" s="192"/>
      <c r="H55" s="192"/>
      <c r="I55" s="192"/>
    </row>
    <row r="56" spans="1:14" x14ac:dyDescent="0.25">
      <c r="A56" s="192"/>
      <c r="B56" s="192">
        <v>180</v>
      </c>
      <c r="C56" s="192">
        <v>185</v>
      </c>
      <c r="D56" s="192">
        <v>2.4</v>
      </c>
      <c r="E56" s="192"/>
      <c r="F56" s="192"/>
      <c r="G56" s="192"/>
      <c r="H56" s="192"/>
      <c r="I56" s="192"/>
    </row>
    <row r="57" spans="1:14" x14ac:dyDescent="0.25">
      <c r="A57" s="192"/>
      <c r="B57" s="192">
        <v>185</v>
      </c>
      <c r="C57" s="192">
        <v>190</v>
      </c>
      <c r="D57" s="192">
        <v>2.7</v>
      </c>
      <c r="E57" s="192"/>
      <c r="F57" s="192"/>
      <c r="G57" s="192"/>
      <c r="H57" s="192"/>
      <c r="I57" s="192"/>
    </row>
    <row r="58" spans="1:14" x14ac:dyDescent="0.25">
      <c r="A58" s="192"/>
      <c r="B58" s="192">
        <v>190</v>
      </c>
      <c r="C58" s="192">
        <v>195</v>
      </c>
      <c r="D58" s="192">
        <v>3</v>
      </c>
      <c r="E58" s="192"/>
      <c r="F58" s="192"/>
      <c r="G58" s="192"/>
      <c r="H58" s="192"/>
      <c r="I58" s="192"/>
    </row>
    <row r="59" spans="1:14" x14ac:dyDescent="0.25">
      <c r="A59" s="192"/>
      <c r="B59" s="192">
        <v>195</v>
      </c>
      <c r="C59" s="192">
        <v>200</v>
      </c>
      <c r="D59" s="192">
        <v>2.5</v>
      </c>
      <c r="E59" s="192"/>
      <c r="F59" s="192"/>
      <c r="G59" s="192"/>
      <c r="H59" s="192"/>
      <c r="I59" s="192"/>
    </row>
    <row r="60" spans="1:14" x14ac:dyDescent="0.25">
      <c r="A60" s="192"/>
      <c r="B60" s="192">
        <v>200</v>
      </c>
      <c r="C60" s="192">
        <v>205</v>
      </c>
      <c r="D60" s="192">
        <v>2.8</v>
      </c>
      <c r="E60" s="192"/>
      <c r="F60" s="192"/>
      <c r="G60" s="192"/>
      <c r="H60" s="192"/>
      <c r="I60" s="192"/>
    </row>
    <row r="61" spans="1:14" x14ac:dyDescent="0.25">
      <c r="A61" s="192"/>
      <c r="B61" s="192">
        <v>205</v>
      </c>
      <c r="C61" s="192">
        <v>210</v>
      </c>
      <c r="D61" s="192">
        <v>2.5</v>
      </c>
      <c r="E61" s="192"/>
      <c r="F61" s="192"/>
      <c r="G61" s="192"/>
      <c r="H61" s="192"/>
      <c r="I61" s="192"/>
    </row>
    <row r="62" spans="1:14" x14ac:dyDescent="0.25">
      <c r="A62" s="192"/>
      <c r="B62" s="192">
        <v>210</v>
      </c>
      <c r="C62" s="192">
        <v>215</v>
      </c>
      <c r="D62" s="192">
        <v>2.8</v>
      </c>
      <c r="E62" s="192"/>
      <c r="F62" s="192"/>
      <c r="G62" s="192"/>
      <c r="H62" s="192"/>
      <c r="I62" s="192"/>
    </row>
    <row r="63" spans="1:14" x14ac:dyDescent="0.25">
      <c r="A63" s="192"/>
      <c r="B63" s="192">
        <v>215</v>
      </c>
      <c r="C63" s="192">
        <v>220</v>
      </c>
      <c r="D63" s="192">
        <v>3</v>
      </c>
      <c r="E63" s="192"/>
      <c r="F63" s="192"/>
      <c r="G63" s="192"/>
      <c r="H63" s="192"/>
      <c r="I63" s="192"/>
    </row>
    <row r="64" spans="1:14" x14ac:dyDescent="0.25">
      <c r="A64" s="192"/>
      <c r="B64" s="192">
        <v>220</v>
      </c>
      <c r="C64" s="192">
        <v>225</v>
      </c>
      <c r="D64" s="192">
        <v>2.7</v>
      </c>
      <c r="E64" s="192"/>
      <c r="F64" s="192"/>
      <c r="G64" s="192"/>
      <c r="H64" s="192"/>
      <c r="I64" s="192"/>
    </row>
    <row r="65" spans="1:9" x14ac:dyDescent="0.25">
      <c r="A65" s="192"/>
      <c r="B65" s="192">
        <v>225</v>
      </c>
      <c r="C65" s="192">
        <v>230</v>
      </c>
      <c r="D65" s="192">
        <v>2.7</v>
      </c>
      <c r="E65" s="192"/>
      <c r="F65" s="192"/>
      <c r="G65" s="192"/>
      <c r="H65" s="192"/>
      <c r="I65" s="192"/>
    </row>
    <row r="66" spans="1:9" x14ac:dyDescent="0.25">
      <c r="A66" s="192"/>
      <c r="B66" s="192">
        <v>230</v>
      </c>
      <c r="C66" s="192">
        <v>235</v>
      </c>
      <c r="D66" s="192">
        <v>3.2</v>
      </c>
      <c r="E66" s="192"/>
      <c r="F66" s="192"/>
      <c r="G66" s="192"/>
      <c r="H66" s="192"/>
      <c r="I66" s="192"/>
    </row>
    <row r="67" spans="1:9" x14ac:dyDescent="0.25">
      <c r="A67" s="192"/>
      <c r="B67" s="192">
        <v>235</v>
      </c>
      <c r="C67" s="192">
        <v>240</v>
      </c>
      <c r="D67" s="192">
        <v>3.1</v>
      </c>
      <c r="E67" s="192"/>
      <c r="F67" s="192"/>
      <c r="G67" s="192"/>
      <c r="H67" s="192"/>
      <c r="I67" s="192"/>
    </row>
    <row r="68" spans="1:9" x14ac:dyDescent="0.25">
      <c r="A68" s="192"/>
      <c r="B68" s="192">
        <v>240</v>
      </c>
      <c r="C68" s="192">
        <v>245</v>
      </c>
      <c r="D68" s="192">
        <v>3.4</v>
      </c>
      <c r="E68" s="192"/>
      <c r="F68" s="192"/>
      <c r="G68" s="192"/>
      <c r="H68" s="192"/>
      <c r="I68" s="192"/>
    </row>
    <row r="69" spans="1:9" x14ac:dyDescent="0.25">
      <c r="A69" s="192"/>
      <c r="B69" s="192">
        <v>245</v>
      </c>
      <c r="C69" s="192">
        <v>250</v>
      </c>
      <c r="D69" s="192">
        <v>3.7</v>
      </c>
      <c r="E69" s="192"/>
      <c r="F69" s="192"/>
      <c r="G69" s="192"/>
      <c r="H69" s="192"/>
      <c r="I69" s="192"/>
    </row>
    <row r="70" spans="1:9" x14ac:dyDescent="0.25">
      <c r="A70" s="192"/>
      <c r="B70" s="192">
        <v>250</v>
      </c>
      <c r="C70" s="192">
        <v>255</v>
      </c>
      <c r="D70" s="192">
        <v>3.1</v>
      </c>
      <c r="E70" s="192"/>
      <c r="F70" s="192"/>
      <c r="G70" s="192"/>
      <c r="H70" s="192"/>
      <c r="I70" s="192"/>
    </row>
    <row r="71" spans="1:9" x14ac:dyDescent="0.25">
      <c r="A71" s="192"/>
      <c r="B71" s="192">
        <v>255</v>
      </c>
      <c r="C71" s="192">
        <v>260</v>
      </c>
      <c r="D71" s="192">
        <v>3.6</v>
      </c>
      <c r="E71" s="192"/>
      <c r="F71" s="192"/>
      <c r="G71" s="192"/>
      <c r="H71" s="192"/>
      <c r="I71" s="192"/>
    </row>
    <row r="72" spans="1:9" x14ac:dyDescent="0.25">
      <c r="A72" s="192"/>
      <c r="B72" s="192">
        <v>260</v>
      </c>
      <c r="C72" s="192">
        <v>265</v>
      </c>
      <c r="D72" s="192">
        <v>3.7</v>
      </c>
      <c r="E72" s="192"/>
      <c r="F72" s="192"/>
      <c r="G72" s="192"/>
      <c r="H72" s="192"/>
      <c r="I72" s="192"/>
    </row>
    <row r="73" spans="1:9" x14ac:dyDescent="0.25">
      <c r="A73" s="192"/>
      <c r="B73" s="192">
        <v>265</v>
      </c>
      <c r="C73" s="192">
        <v>270</v>
      </c>
      <c r="D73" s="192">
        <v>3.5</v>
      </c>
      <c r="E73" s="192"/>
      <c r="F73" s="192"/>
      <c r="G73" s="192"/>
      <c r="H73" s="192"/>
      <c r="I73" s="192"/>
    </row>
    <row r="74" spans="1:9" x14ac:dyDescent="0.25">
      <c r="A74" s="192"/>
      <c r="B74" s="192">
        <v>270</v>
      </c>
      <c r="C74" s="192">
        <v>275</v>
      </c>
      <c r="D74" s="192">
        <v>3.5</v>
      </c>
      <c r="E74" s="192"/>
      <c r="F74" s="192"/>
      <c r="G74" s="192"/>
      <c r="H74" s="192"/>
      <c r="I74" s="192"/>
    </row>
    <row r="75" spans="1:9" x14ac:dyDescent="0.25">
      <c r="A75" s="192"/>
      <c r="B75" s="192">
        <v>275</v>
      </c>
      <c r="C75" s="192">
        <v>280</v>
      </c>
      <c r="D75" s="192">
        <v>3.5</v>
      </c>
      <c r="E75" s="192"/>
      <c r="F75" s="192"/>
      <c r="G75" s="192"/>
      <c r="H75" s="192"/>
      <c r="I75" s="192"/>
    </row>
    <row r="76" spans="1:9" x14ac:dyDescent="0.25">
      <c r="A76" s="192"/>
      <c r="B76" s="192">
        <v>280</v>
      </c>
      <c r="C76" s="192">
        <v>285</v>
      </c>
      <c r="D76" s="192">
        <v>3.4</v>
      </c>
      <c r="E76" s="192"/>
      <c r="F76" s="192"/>
      <c r="G76" s="192"/>
      <c r="H76" s="192"/>
      <c r="I76" s="192"/>
    </row>
    <row r="77" spans="1:9" x14ac:dyDescent="0.25">
      <c r="A77" s="192"/>
      <c r="B77" s="192">
        <v>285</v>
      </c>
      <c r="C77" s="192">
        <v>290</v>
      </c>
      <c r="D77" s="192">
        <v>3.4</v>
      </c>
      <c r="E77" s="192"/>
      <c r="F77" s="192"/>
      <c r="G77" s="192"/>
      <c r="H77" s="192"/>
      <c r="I77" s="192"/>
    </row>
    <row r="78" spans="1:9" x14ac:dyDescent="0.25">
      <c r="A78" s="192"/>
      <c r="B78" s="192">
        <v>290</v>
      </c>
      <c r="C78" s="192">
        <v>295</v>
      </c>
      <c r="D78" s="192">
        <v>3.7</v>
      </c>
      <c r="E78" s="192"/>
      <c r="F78" s="192"/>
      <c r="G78" s="192"/>
      <c r="H78" s="192"/>
      <c r="I78" s="192"/>
    </row>
    <row r="79" spans="1:9" x14ac:dyDescent="0.25">
      <c r="A79" s="192"/>
      <c r="B79" s="192">
        <v>295</v>
      </c>
      <c r="C79" s="192">
        <v>300</v>
      </c>
      <c r="D79" s="192">
        <v>3.8</v>
      </c>
      <c r="E79" s="192"/>
      <c r="F79" s="192"/>
      <c r="G79" s="192"/>
      <c r="H79" s="192"/>
      <c r="I79" s="192"/>
    </row>
    <row r="80" spans="1:9" x14ac:dyDescent="0.25">
      <c r="A80" s="192"/>
      <c r="B80" s="192">
        <v>300</v>
      </c>
      <c r="C80" s="192">
        <v>305</v>
      </c>
      <c r="D80" s="192">
        <v>4</v>
      </c>
      <c r="E80" s="192"/>
      <c r="F80" s="192"/>
      <c r="G80" s="192"/>
      <c r="H80" s="192"/>
      <c r="I80" s="192"/>
    </row>
    <row r="81" spans="1:9" x14ac:dyDescent="0.25">
      <c r="A81" s="192"/>
      <c r="B81" s="192">
        <v>305</v>
      </c>
      <c r="C81" s="192">
        <v>306.5</v>
      </c>
      <c r="D81" s="192">
        <v>4.7</v>
      </c>
      <c r="E81" s="192"/>
      <c r="F81" s="192"/>
      <c r="G81" s="192"/>
      <c r="H81" s="192"/>
      <c r="I81" s="192"/>
    </row>
    <row r="82" spans="1:9" x14ac:dyDescent="0.25">
      <c r="A82" s="192"/>
      <c r="B82" s="192">
        <v>306.5</v>
      </c>
      <c r="C82" s="192">
        <v>310</v>
      </c>
      <c r="D82" s="192">
        <v>3.2</v>
      </c>
      <c r="E82" s="192"/>
      <c r="F82" s="192"/>
      <c r="G82" s="192"/>
      <c r="H82" s="192"/>
      <c r="I82" s="192"/>
    </row>
    <row r="83" spans="1:9" x14ac:dyDescent="0.25">
      <c r="A83" s="192"/>
      <c r="B83" s="192">
        <v>310</v>
      </c>
      <c r="C83" s="192">
        <v>315</v>
      </c>
      <c r="D83" s="192">
        <v>3.2</v>
      </c>
      <c r="E83" s="192"/>
      <c r="F83" s="192"/>
      <c r="G83" s="192"/>
      <c r="H83" s="192"/>
      <c r="I83" s="192"/>
    </row>
    <row r="84" spans="1:9" x14ac:dyDescent="0.25">
      <c r="A84" s="192"/>
      <c r="B84" s="192">
        <v>315</v>
      </c>
      <c r="C84" s="192">
        <v>320</v>
      </c>
      <c r="D84" s="192">
        <v>2.9</v>
      </c>
      <c r="E84" s="192"/>
      <c r="F84" s="192"/>
      <c r="G84" s="192"/>
      <c r="H84" s="192"/>
      <c r="I84" s="192"/>
    </row>
    <row r="85" spans="1:9" x14ac:dyDescent="0.25">
      <c r="A85" s="192"/>
      <c r="B85" s="192">
        <v>320</v>
      </c>
      <c r="C85" s="192">
        <v>325</v>
      </c>
      <c r="D85" s="192">
        <v>4.0999999999999996</v>
      </c>
      <c r="E85" s="192"/>
      <c r="F85" s="192"/>
      <c r="G85" s="192"/>
      <c r="H85" s="192"/>
      <c r="I85" s="192"/>
    </row>
    <row r="86" spans="1:9" x14ac:dyDescent="0.25">
      <c r="A86" s="192"/>
      <c r="B86" s="192">
        <v>325</v>
      </c>
      <c r="C86" s="192">
        <v>330</v>
      </c>
      <c r="D86" s="192">
        <v>4.4000000000000004</v>
      </c>
      <c r="E86" s="192"/>
      <c r="F86" s="192"/>
      <c r="G86" s="192"/>
      <c r="H86" s="192"/>
      <c r="I86" s="192"/>
    </row>
    <row r="87" spans="1:9" x14ac:dyDescent="0.25">
      <c r="A87" s="192"/>
      <c r="B87" s="192">
        <v>330</v>
      </c>
      <c r="C87" s="192">
        <v>335</v>
      </c>
      <c r="D87" s="192">
        <v>4.8</v>
      </c>
      <c r="E87" s="192"/>
      <c r="F87" s="192"/>
      <c r="G87" s="192"/>
      <c r="H87" s="192"/>
      <c r="I87" s="192"/>
    </row>
    <row r="88" spans="1:9" x14ac:dyDescent="0.25">
      <c r="A88" s="192"/>
      <c r="B88" s="192">
        <v>335</v>
      </c>
      <c r="C88" s="192">
        <v>340</v>
      </c>
      <c r="D88" s="192">
        <v>4.0999999999999996</v>
      </c>
      <c r="E88" s="192"/>
      <c r="F88" s="192"/>
      <c r="G88" s="192"/>
      <c r="H88" s="192"/>
      <c r="I88" s="192"/>
    </row>
    <row r="89" spans="1:9" x14ac:dyDescent="0.25">
      <c r="A89" s="192"/>
      <c r="B89" s="192">
        <v>340</v>
      </c>
      <c r="C89" s="192">
        <v>345</v>
      </c>
      <c r="D89" s="192">
        <v>3</v>
      </c>
      <c r="E89" s="192"/>
      <c r="F89" s="192"/>
      <c r="G89" s="192"/>
      <c r="H89" s="192"/>
      <c r="I89" s="192"/>
    </row>
    <row r="90" spans="1:9" x14ac:dyDescent="0.25">
      <c r="A90" s="192"/>
      <c r="B90" s="192">
        <v>345</v>
      </c>
      <c r="C90" s="192">
        <v>350</v>
      </c>
      <c r="D90" s="192">
        <v>2.8</v>
      </c>
      <c r="E90" s="192"/>
      <c r="F90" s="192"/>
      <c r="G90" s="192"/>
      <c r="H90" s="192"/>
      <c r="I90" s="192"/>
    </row>
    <row r="91" spans="1:9" x14ac:dyDescent="0.25">
      <c r="A91" s="192"/>
      <c r="B91" s="192">
        <v>350</v>
      </c>
      <c r="C91" s="192">
        <v>355</v>
      </c>
      <c r="D91" s="192">
        <v>2.9</v>
      </c>
      <c r="E91" s="192"/>
      <c r="F91" s="192"/>
      <c r="G91" s="192"/>
      <c r="H91" s="192"/>
      <c r="I91" s="192"/>
    </row>
    <row r="92" spans="1:9" x14ac:dyDescent="0.25">
      <c r="A92" s="192"/>
      <c r="B92" s="192">
        <v>355</v>
      </c>
      <c r="C92" s="192">
        <v>360</v>
      </c>
      <c r="D92" s="192">
        <v>2.9</v>
      </c>
      <c r="E92" s="192"/>
      <c r="F92" s="192"/>
      <c r="G92" s="192"/>
      <c r="H92" s="192"/>
      <c r="I92" s="192"/>
    </row>
    <row r="93" spans="1:9" x14ac:dyDescent="0.25">
      <c r="A93" s="192"/>
      <c r="B93" s="192">
        <v>360</v>
      </c>
      <c r="C93" s="192">
        <v>365</v>
      </c>
      <c r="D93" s="192">
        <v>4.0999999999999996</v>
      </c>
      <c r="E93" s="192"/>
      <c r="F93" s="192"/>
      <c r="G93" s="192"/>
      <c r="H93" s="192"/>
      <c r="I93" s="192"/>
    </row>
    <row r="94" spans="1:9" x14ac:dyDescent="0.25">
      <c r="A94" s="192"/>
      <c r="B94" s="192">
        <v>365</v>
      </c>
      <c r="C94" s="192">
        <v>370</v>
      </c>
      <c r="D94" s="192">
        <v>5.2</v>
      </c>
      <c r="E94" s="192"/>
      <c r="F94" s="192"/>
      <c r="G94" s="192"/>
      <c r="H94" s="192"/>
      <c r="I94" s="192"/>
    </row>
    <row r="95" spans="1:9" x14ac:dyDescent="0.25">
      <c r="A95" s="192"/>
      <c r="B95" s="192">
        <v>370</v>
      </c>
      <c r="C95" s="192">
        <v>375</v>
      </c>
      <c r="D95" s="192">
        <v>5.9</v>
      </c>
      <c r="E95" s="192"/>
      <c r="F95" s="192"/>
      <c r="G95" s="192"/>
      <c r="H95" s="192"/>
      <c r="I95" s="192"/>
    </row>
    <row r="96" spans="1:9" x14ac:dyDescent="0.25">
      <c r="A96" s="192"/>
      <c r="B96" s="192">
        <v>375</v>
      </c>
      <c r="C96" s="192">
        <v>380</v>
      </c>
      <c r="D96" s="192">
        <v>6.9</v>
      </c>
      <c r="E96" s="192"/>
      <c r="F96" s="192"/>
      <c r="G96" s="192"/>
      <c r="H96" s="192"/>
      <c r="I96" s="192"/>
    </row>
    <row r="97" spans="1:9" x14ac:dyDescent="0.25">
      <c r="A97" s="192"/>
      <c r="B97" s="192">
        <v>380</v>
      </c>
      <c r="C97" s="192">
        <v>385</v>
      </c>
      <c r="D97" s="192">
        <v>5</v>
      </c>
      <c r="E97" s="192"/>
      <c r="F97" s="192"/>
      <c r="G97" s="192"/>
      <c r="H97" s="192"/>
      <c r="I97" s="192"/>
    </row>
    <row r="98" spans="1:9" x14ac:dyDescent="0.25">
      <c r="A98" s="192"/>
      <c r="B98" s="192">
        <v>385</v>
      </c>
      <c r="C98" s="192">
        <v>390</v>
      </c>
      <c r="D98" s="192">
        <v>4.9000000000000004</v>
      </c>
      <c r="E98" s="192"/>
      <c r="F98" s="192"/>
      <c r="G98" s="192"/>
      <c r="H98" s="192"/>
      <c r="I98" s="192"/>
    </row>
    <row r="99" spans="1:9" x14ac:dyDescent="0.25">
      <c r="A99" s="192"/>
      <c r="B99" s="192">
        <v>390</v>
      </c>
      <c r="C99" s="192">
        <v>395</v>
      </c>
      <c r="D99" s="192">
        <v>3.9</v>
      </c>
      <c r="E99" s="192"/>
      <c r="F99" s="192"/>
      <c r="G99" s="192"/>
      <c r="H99" s="192"/>
      <c r="I99" s="192"/>
    </row>
    <row r="100" spans="1:9" x14ac:dyDescent="0.25">
      <c r="A100" s="192"/>
      <c r="B100" s="192">
        <v>395</v>
      </c>
      <c r="C100" s="192">
        <v>400</v>
      </c>
      <c r="D100" s="192">
        <v>3.6</v>
      </c>
      <c r="E100" s="192"/>
      <c r="F100" s="192"/>
      <c r="G100" s="192"/>
      <c r="H100" s="192"/>
      <c r="I100" s="192"/>
    </row>
    <row r="101" spans="1:9" x14ac:dyDescent="0.25">
      <c r="A101" s="192"/>
      <c r="B101" s="192">
        <v>400</v>
      </c>
      <c r="C101" s="192">
        <v>405</v>
      </c>
      <c r="D101" s="192">
        <v>3.9</v>
      </c>
      <c r="E101" s="192"/>
      <c r="F101" s="192"/>
      <c r="G101" s="192"/>
      <c r="H101" s="192"/>
      <c r="I101" s="192"/>
    </row>
    <row r="102" spans="1:9" x14ac:dyDescent="0.25">
      <c r="A102" s="192"/>
      <c r="B102" s="192">
        <v>405</v>
      </c>
      <c r="C102" s="192">
        <v>410</v>
      </c>
      <c r="D102" s="192">
        <v>3.8</v>
      </c>
      <c r="E102" s="192"/>
      <c r="F102" s="192"/>
      <c r="G102" s="192"/>
      <c r="H102" s="192"/>
      <c r="I102" s="192"/>
    </row>
    <row r="103" spans="1:9" x14ac:dyDescent="0.25">
      <c r="A103" s="192"/>
      <c r="B103" s="192">
        <v>410</v>
      </c>
      <c r="C103" s="192">
        <v>415</v>
      </c>
      <c r="D103" s="192">
        <v>4</v>
      </c>
      <c r="E103" s="192"/>
      <c r="F103" s="192"/>
      <c r="G103" s="192"/>
      <c r="H103" s="192"/>
      <c r="I103" s="192"/>
    </row>
    <row r="104" spans="1:9" x14ac:dyDescent="0.25">
      <c r="A104" s="192"/>
      <c r="B104" s="192">
        <v>415</v>
      </c>
      <c r="C104" s="192">
        <v>420</v>
      </c>
      <c r="D104" s="192">
        <v>3.2</v>
      </c>
      <c r="E104" s="192"/>
      <c r="F104" s="192"/>
      <c r="G104" s="192"/>
      <c r="H104" s="192"/>
      <c r="I104" s="192"/>
    </row>
    <row r="105" spans="1:9" x14ac:dyDescent="0.25">
      <c r="A105" s="192"/>
      <c r="B105" s="192">
        <v>420</v>
      </c>
      <c r="C105" s="192">
        <v>425</v>
      </c>
      <c r="D105" s="192">
        <v>2.8</v>
      </c>
      <c r="E105" s="192"/>
      <c r="F105" s="192"/>
      <c r="G105" s="192"/>
      <c r="H105" s="192"/>
      <c r="I105" s="192"/>
    </row>
    <row r="106" spans="1:9" x14ac:dyDescent="0.25">
      <c r="A106" s="192"/>
      <c r="B106" s="192">
        <v>425</v>
      </c>
      <c r="C106" s="192">
        <v>430</v>
      </c>
      <c r="D106" s="192">
        <v>2.6</v>
      </c>
      <c r="E106" s="192"/>
      <c r="F106" s="192"/>
      <c r="G106" s="192"/>
      <c r="H106" s="192"/>
      <c r="I106" s="192"/>
    </row>
    <row r="107" spans="1:9" x14ac:dyDescent="0.25">
      <c r="A107" s="192"/>
      <c r="B107" s="192">
        <v>430</v>
      </c>
      <c r="C107" s="192">
        <v>435</v>
      </c>
      <c r="D107" s="192">
        <v>2.9</v>
      </c>
      <c r="E107" s="192"/>
      <c r="F107" s="192"/>
      <c r="G107" s="192"/>
      <c r="H107" s="192"/>
      <c r="I107" s="192"/>
    </row>
    <row r="108" spans="1:9" x14ac:dyDescent="0.25">
      <c r="A108" s="192"/>
      <c r="B108" s="192">
        <v>435</v>
      </c>
      <c r="C108" s="192">
        <v>440</v>
      </c>
      <c r="D108" s="192">
        <v>3.2</v>
      </c>
      <c r="E108" s="192"/>
      <c r="F108" s="192"/>
      <c r="G108" s="192"/>
      <c r="H108" s="192"/>
      <c r="I108" s="192"/>
    </row>
    <row r="109" spans="1:9" x14ac:dyDescent="0.25">
      <c r="A109" s="192"/>
      <c r="B109" s="192">
        <v>440</v>
      </c>
      <c r="C109" s="192">
        <v>445</v>
      </c>
      <c r="D109" s="192">
        <v>2.6</v>
      </c>
      <c r="E109" s="192"/>
      <c r="F109" s="192"/>
      <c r="G109" s="192"/>
      <c r="H109" s="192"/>
      <c r="I109" s="192"/>
    </row>
    <row r="110" spans="1:9" x14ac:dyDescent="0.25">
      <c r="A110" s="192"/>
      <c r="B110" s="192">
        <v>445</v>
      </c>
      <c r="C110" s="192">
        <v>450</v>
      </c>
      <c r="D110" s="192">
        <v>2.6</v>
      </c>
      <c r="E110" s="192"/>
      <c r="F110" s="192"/>
      <c r="G110" s="192"/>
      <c r="H110" s="192"/>
      <c r="I110" s="192"/>
    </row>
    <row r="111" spans="1:9" x14ac:dyDescent="0.25">
      <c r="A111" s="192"/>
      <c r="B111" s="192">
        <v>450</v>
      </c>
      <c r="C111" s="192">
        <v>455</v>
      </c>
      <c r="D111" s="192">
        <v>2.9</v>
      </c>
      <c r="E111" s="192"/>
      <c r="F111" s="192"/>
      <c r="G111" s="192"/>
      <c r="H111" s="192"/>
      <c r="I111" s="192"/>
    </row>
    <row r="112" spans="1:9" x14ac:dyDescent="0.25">
      <c r="A112" s="192"/>
      <c r="B112" s="192">
        <v>455</v>
      </c>
      <c r="C112" s="192">
        <v>460</v>
      </c>
      <c r="D112" s="192">
        <v>2.6</v>
      </c>
      <c r="E112" s="192"/>
      <c r="F112" s="192"/>
      <c r="G112" s="192"/>
      <c r="H112" s="192"/>
      <c r="I112" s="192"/>
    </row>
    <row r="113" spans="1:9" x14ac:dyDescent="0.25">
      <c r="A113" s="192"/>
      <c r="B113" s="192">
        <v>460</v>
      </c>
      <c r="C113" s="192">
        <v>465</v>
      </c>
      <c r="D113" s="192">
        <v>2.6</v>
      </c>
      <c r="E113" s="192"/>
      <c r="F113" s="192"/>
      <c r="G113" s="192"/>
      <c r="H113" s="192"/>
      <c r="I113" s="192"/>
    </row>
    <row r="114" spans="1:9" x14ac:dyDescent="0.25">
      <c r="A114" s="192"/>
      <c r="B114" s="192">
        <v>465</v>
      </c>
      <c r="C114" s="192">
        <v>470</v>
      </c>
      <c r="D114" s="192">
        <v>2.6</v>
      </c>
      <c r="E114" s="192"/>
      <c r="F114" s="192"/>
      <c r="G114" s="192"/>
      <c r="H114" s="192"/>
      <c r="I114" s="192"/>
    </row>
    <row r="115" spans="1:9" x14ac:dyDescent="0.25">
      <c r="A115" s="192"/>
      <c r="B115" s="192">
        <v>470</v>
      </c>
      <c r="C115" s="192">
        <v>475</v>
      </c>
      <c r="D115" s="192">
        <v>3.2</v>
      </c>
      <c r="E115" s="192"/>
      <c r="F115" s="192"/>
      <c r="G115" s="192"/>
      <c r="H115" s="192"/>
      <c r="I115" s="192"/>
    </row>
    <row r="116" spans="1:9" x14ac:dyDescent="0.25">
      <c r="A116" s="192"/>
      <c r="B116" s="192">
        <v>475</v>
      </c>
      <c r="C116" s="192">
        <v>480</v>
      </c>
      <c r="D116" s="192">
        <v>2.4</v>
      </c>
      <c r="E116" s="192"/>
      <c r="F116" s="192"/>
      <c r="G116" s="192"/>
      <c r="H116" s="192"/>
      <c r="I116" s="192"/>
    </row>
    <row r="117" spans="1:9" x14ac:dyDescent="0.25">
      <c r="A117" s="192"/>
      <c r="B117" s="192">
        <v>480</v>
      </c>
      <c r="C117" s="192">
        <v>485</v>
      </c>
      <c r="D117" s="192">
        <v>2.7</v>
      </c>
      <c r="E117" s="192"/>
      <c r="F117" s="192"/>
      <c r="G117" s="192"/>
      <c r="H117" s="192"/>
      <c r="I117" s="192"/>
    </row>
    <row r="118" spans="1:9" x14ac:dyDescent="0.25">
      <c r="A118" s="192"/>
      <c r="B118" s="192">
        <v>485</v>
      </c>
      <c r="C118" s="192">
        <v>490</v>
      </c>
      <c r="D118" s="192">
        <v>3.3</v>
      </c>
      <c r="E118" s="192"/>
      <c r="F118" s="192"/>
      <c r="G118" s="192"/>
      <c r="H118" s="192"/>
      <c r="I118" s="192"/>
    </row>
    <row r="119" spans="1:9" x14ac:dyDescent="0.25">
      <c r="A119" s="192"/>
      <c r="B119" s="192">
        <v>490</v>
      </c>
      <c r="C119" s="192">
        <v>495</v>
      </c>
      <c r="D119" s="192">
        <v>3.6</v>
      </c>
      <c r="E119" s="192"/>
      <c r="F119" s="192"/>
      <c r="G119" s="192"/>
      <c r="H119" s="192"/>
      <c r="I119" s="192"/>
    </row>
    <row r="120" spans="1:9" x14ac:dyDescent="0.25">
      <c r="A120" s="192"/>
      <c r="B120" s="192">
        <v>495</v>
      </c>
      <c r="C120" s="192">
        <v>500</v>
      </c>
      <c r="D120" s="192">
        <v>3.4</v>
      </c>
      <c r="E120" s="192"/>
      <c r="F120" s="192"/>
      <c r="G120" s="192"/>
      <c r="H120" s="192"/>
      <c r="I120" s="192"/>
    </row>
    <row r="121" spans="1:9" x14ac:dyDescent="0.25">
      <c r="A121" s="192"/>
      <c r="B121" s="192">
        <v>500</v>
      </c>
      <c r="C121" s="192">
        <v>502.5</v>
      </c>
      <c r="D121" s="192">
        <v>3.7</v>
      </c>
      <c r="E121" s="192"/>
      <c r="F121" s="192"/>
      <c r="G121" s="192"/>
      <c r="H121" s="192"/>
      <c r="I121" s="192"/>
    </row>
    <row r="122" spans="1:9" x14ac:dyDescent="0.25">
      <c r="A122" s="192"/>
      <c r="B122" s="192">
        <v>502.5</v>
      </c>
      <c r="C122" s="192">
        <v>505</v>
      </c>
      <c r="D122" s="192">
        <v>4.0999999999999996</v>
      </c>
      <c r="E122" s="192"/>
      <c r="F122" s="192"/>
      <c r="G122" s="192"/>
      <c r="H122" s="192"/>
      <c r="I122" s="192"/>
    </row>
    <row r="123" spans="1:9" x14ac:dyDescent="0.25">
      <c r="A123" s="192"/>
      <c r="B123" s="192">
        <v>505</v>
      </c>
      <c r="C123" s="192">
        <v>510</v>
      </c>
      <c r="D123" s="192">
        <v>3</v>
      </c>
      <c r="E123" s="192"/>
      <c r="F123" s="192"/>
      <c r="G123" s="192"/>
      <c r="H123" s="192"/>
      <c r="I123" s="192"/>
    </row>
    <row r="124" spans="1:9" x14ac:dyDescent="0.25">
      <c r="A124" s="192"/>
      <c r="B124" s="192">
        <v>510</v>
      </c>
      <c r="C124" s="192">
        <v>515</v>
      </c>
      <c r="D124" s="192">
        <v>1.9</v>
      </c>
      <c r="E124" s="192"/>
      <c r="F124" s="192"/>
      <c r="G124" s="192"/>
      <c r="H124" s="192"/>
      <c r="I124" s="192"/>
    </row>
    <row r="125" spans="1:9" x14ac:dyDescent="0.25">
      <c r="A125" s="192"/>
      <c r="B125" s="192">
        <v>515</v>
      </c>
      <c r="C125" s="192">
        <v>520</v>
      </c>
      <c r="D125" s="192">
        <v>2</v>
      </c>
      <c r="E125" s="192"/>
      <c r="F125" s="192"/>
      <c r="G125" s="192"/>
      <c r="H125" s="192"/>
      <c r="I125" s="192"/>
    </row>
    <row r="126" spans="1:9" x14ac:dyDescent="0.25">
      <c r="A126" s="192"/>
      <c r="B126" s="192">
        <v>520</v>
      </c>
      <c r="C126" s="192">
        <v>525</v>
      </c>
      <c r="D126" s="192">
        <v>2.1</v>
      </c>
      <c r="E126" s="192"/>
      <c r="F126" s="192"/>
      <c r="G126" s="192"/>
      <c r="H126" s="192"/>
      <c r="I126" s="192"/>
    </row>
    <row r="127" spans="1:9" x14ac:dyDescent="0.25">
      <c r="A127" s="192"/>
      <c r="B127" s="192">
        <v>525</v>
      </c>
      <c r="C127" s="192">
        <v>530</v>
      </c>
      <c r="D127" s="192">
        <v>2.7</v>
      </c>
      <c r="E127" s="192"/>
      <c r="F127" s="192"/>
      <c r="G127" s="192"/>
      <c r="H127" s="192"/>
      <c r="I127" s="192"/>
    </row>
    <row r="128" spans="1:9" x14ac:dyDescent="0.25">
      <c r="A128" s="192"/>
      <c r="B128" s="192">
        <v>530</v>
      </c>
      <c r="C128" s="192">
        <v>535</v>
      </c>
      <c r="D128" s="192">
        <v>3.6</v>
      </c>
      <c r="E128" s="192"/>
      <c r="F128" s="192"/>
      <c r="G128" s="192"/>
      <c r="H128" s="192"/>
      <c r="I128" s="192"/>
    </row>
    <row r="129" spans="1:9" x14ac:dyDescent="0.25">
      <c r="A129" s="192"/>
      <c r="B129" s="192">
        <v>535</v>
      </c>
      <c r="C129" s="192">
        <v>540</v>
      </c>
      <c r="D129" s="192">
        <v>4.7</v>
      </c>
      <c r="E129" s="192"/>
      <c r="F129" s="192"/>
      <c r="G129" s="192"/>
      <c r="H129" s="192"/>
      <c r="I129" s="192"/>
    </row>
    <row r="130" spans="1:9" x14ac:dyDescent="0.25">
      <c r="A130" s="192"/>
      <c r="B130" s="192">
        <v>540</v>
      </c>
      <c r="C130" s="192">
        <v>545</v>
      </c>
      <c r="D130" s="192">
        <v>4.3</v>
      </c>
      <c r="E130" s="192"/>
      <c r="F130" s="192"/>
      <c r="G130" s="192"/>
      <c r="H130" s="192"/>
      <c r="I130" s="192"/>
    </row>
    <row r="131" spans="1:9" x14ac:dyDescent="0.25">
      <c r="A131" s="192"/>
      <c r="B131" s="192">
        <v>545</v>
      </c>
      <c r="C131" s="192">
        <v>550</v>
      </c>
      <c r="D131" s="192">
        <v>4</v>
      </c>
      <c r="E131" s="192"/>
      <c r="F131" s="192"/>
      <c r="G131" s="192"/>
      <c r="H131" s="192"/>
      <c r="I131" s="192"/>
    </row>
    <row r="132" spans="1:9" x14ac:dyDescent="0.25">
      <c r="A132" s="192"/>
      <c r="B132" s="192">
        <v>550</v>
      </c>
      <c r="C132" s="192">
        <v>555</v>
      </c>
      <c r="D132" s="192">
        <v>3.5</v>
      </c>
      <c r="E132" s="192"/>
      <c r="F132" s="192"/>
      <c r="G132" s="192"/>
      <c r="H132" s="192"/>
      <c r="I132" s="192"/>
    </row>
    <row r="133" spans="1:9" x14ac:dyDescent="0.25">
      <c r="A133" s="192"/>
      <c r="B133" s="192">
        <v>555</v>
      </c>
      <c r="C133" s="192">
        <v>560</v>
      </c>
      <c r="D133" s="192">
        <v>3.9</v>
      </c>
      <c r="E133" s="192"/>
      <c r="F133" s="192"/>
      <c r="G133" s="192"/>
      <c r="H133" s="192"/>
      <c r="I133" s="192"/>
    </row>
    <row r="134" spans="1:9" x14ac:dyDescent="0.25">
      <c r="A134" s="192"/>
      <c r="B134" s="192">
        <v>560</v>
      </c>
      <c r="C134" s="192">
        <v>567</v>
      </c>
      <c r="D134" s="192">
        <v>3.1</v>
      </c>
      <c r="E134" s="192"/>
      <c r="F134" s="192"/>
      <c r="G134" s="192"/>
      <c r="H134" s="192"/>
      <c r="I134" s="192"/>
    </row>
  </sheetData>
  <mergeCells count="9">
    <mergeCell ref="B6:C6"/>
    <mergeCell ref="B7:D7"/>
    <mergeCell ref="K10:L10"/>
    <mergeCell ref="K11:L11"/>
    <mergeCell ref="A1:D1"/>
    <mergeCell ref="B2:C2"/>
    <mergeCell ref="B3:C3"/>
    <mergeCell ref="B4:C4"/>
    <mergeCell ref="B5:C5"/>
  </mergeCells>
  <pageMargins left="0.7" right="0.7" top="0.75" bottom="0.75" header="0.51180555555555496" footer="0.51180555555555496"/>
  <pageSetup paperSize="9" firstPageNumber="0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MJ72"/>
  <sheetViews>
    <sheetView zoomScale="80" zoomScaleNormal="80" workbookViewId="0">
      <selection activeCell="C18" sqref="C18"/>
    </sheetView>
  </sheetViews>
  <sheetFormatPr defaultColWidth="9.140625" defaultRowHeight="15" x14ac:dyDescent="0.25"/>
  <cols>
    <col min="1" max="1" width="23.7109375" style="2" customWidth="1"/>
    <col min="2" max="2" width="16.42578125" style="2" customWidth="1"/>
    <col min="3" max="3" width="12.7109375" style="2" customWidth="1"/>
    <col min="4" max="4" width="29.42578125" style="2" customWidth="1"/>
    <col min="5" max="5" width="18.7109375" style="2" customWidth="1"/>
    <col min="6" max="6" width="20.28515625" style="2" customWidth="1"/>
    <col min="7" max="7" width="18.7109375" style="2" customWidth="1"/>
    <col min="8" max="8" width="36.7109375" style="2" customWidth="1"/>
    <col min="9" max="1024" width="9.140625" style="2"/>
  </cols>
  <sheetData>
    <row r="1" spans="1:9" ht="33.75" x14ac:dyDescent="0.5">
      <c r="A1" s="171" t="s">
        <v>56</v>
      </c>
      <c r="B1" s="171"/>
      <c r="C1" s="171"/>
      <c r="D1" s="171"/>
    </row>
    <row r="2" spans="1:9" x14ac:dyDescent="0.25">
      <c r="A2" s="62" t="s">
        <v>29</v>
      </c>
      <c r="B2" s="172" t="s">
        <v>186</v>
      </c>
      <c r="C2" s="172"/>
      <c r="D2" s="43"/>
    </row>
    <row r="3" spans="1:9" x14ac:dyDescent="0.25">
      <c r="A3" s="63" t="s">
        <v>30</v>
      </c>
      <c r="B3" s="173" t="s">
        <v>188</v>
      </c>
      <c r="C3" s="173"/>
      <c r="D3" s="47"/>
    </row>
    <row r="4" spans="1:9" x14ac:dyDescent="0.25">
      <c r="A4" s="63" t="s">
        <v>31</v>
      </c>
      <c r="B4" s="174">
        <v>44027</v>
      </c>
      <c r="C4" s="174"/>
      <c r="D4" s="47"/>
    </row>
    <row r="5" spans="1:9" x14ac:dyDescent="0.25">
      <c r="A5" s="64" t="s">
        <v>32</v>
      </c>
      <c r="B5" s="175">
        <v>0.33333333333333331</v>
      </c>
      <c r="C5" s="175"/>
      <c r="D5" s="47"/>
    </row>
    <row r="6" spans="1:9" x14ac:dyDescent="0.25">
      <c r="A6" s="64" t="s">
        <v>5</v>
      </c>
      <c r="B6" s="152" t="s">
        <v>187</v>
      </c>
      <c r="C6" s="153"/>
      <c r="D6" s="47"/>
    </row>
    <row r="7" spans="1:9" x14ac:dyDescent="0.25">
      <c r="A7" s="169" t="s">
        <v>57</v>
      </c>
      <c r="B7" s="169"/>
      <c r="C7" s="65" t="s">
        <v>58</v>
      </c>
      <c r="D7" s="47"/>
      <c r="E7" s="66"/>
      <c r="F7" s="44"/>
      <c r="G7" s="44"/>
      <c r="H7" s="46"/>
      <c r="I7" s="45"/>
    </row>
    <row r="8" spans="1:9" ht="30" customHeight="1" x14ac:dyDescent="0.25">
      <c r="A8" s="67" t="s">
        <v>33</v>
      </c>
      <c r="B8" s="170"/>
      <c r="C8" s="170"/>
      <c r="D8" s="170"/>
    </row>
    <row r="10" spans="1:9" ht="15.75" thickBot="1" x14ac:dyDescent="0.3">
      <c r="A10" s="5" t="s">
        <v>59</v>
      </c>
      <c r="D10" s="5" t="s">
        <v>38</v>
      </c>
    </row>
    <row r="11" spans="1:9" x14ac:dyDescent="0.25">
      <c r="A11" s="6" t="s">
        <v>60</v>
      </c>
      <c r="B11" s="186">
        <v>-0.02</v>
      </c>
      <c r="D11" s="6" t="s">
        <v>39</v>
      </c>
      <c r="E11" s="68"/>
    </row>
    <row r="12" spans="1:9" x14ac:dyDescent="0.25">
      <c r="A12" s="8" t="s">
        <v>61</v>
      </c>
      <c r="B12" s="186">
        <v>-0.12</v>
      </c>
      <c r="D12" s="8" t="s">
        <v>41</v>
      </c>
      <c r="E12" s="69"/>
    </row>
    <row r="13" spans="1:9" x14ac:dyDescent="0.25">
      <c r="A13" s="8" t="s">
        <v>62</v>
      </c>
      <c r="B13" s="186">
        <v>-0.28000000000000003</v>
      </c>
      <c r="D13" s="8" t="s">
        <v>43</v>
      </c>
      <c r="E13" s="146">
        <v>510</v>
      </c>
    </row>
    <row r="14" spans="1:9" x14ac:dyDescent="0.25">
      <c r="A14" s="9" t="s">
        <v>63</v>
      </c>
      <c r="B14" s="70">
        <v>-1.91</v>
      </c>
      <c r="D14" s="8" t="s">
        <v>34</v>
      </c>
      <c r="E14" s="146">
        <v>110</v>
      </c>
    </row>
    <row r="15" spans="1:9" x14ac:dyDescent="0.25">
      <c r="D15" s="8" t="s">
        <v>36</v>
      </c>
      <c r="E15" s="146">
        <v>620</v>
      </c>
    </row>
    <row r="16" spans="1:9" x14ac:dyDescent="0.25">
      <c r="D16" s="9" t="s">
        <v>35</v>
      </c>
      <c r="E16" s="147">
        <v>4</v>
      </c>
    </row>
    <row r="18" spans="1:8" x14ac:dyDescent="0.25">
      <c r="D18" s="6" t="s">
        <v>40</v>
      </c>
      <c r="E18" s="71"/>
      <c r="F18" s="72"/>
      <c r="G18" s="73"/>
    </row>
    <row r="19" spans="1:8" x14ac:dyDescent="0.25">
      <c r="D19" s="8" t="s">
        <v>42</v>
      </c>
      <c r="E19" s="74"/>
      <c r="F19" s="21"/>
      <c r="G19" s="75"/>
    </row>
    <row r="20" spans="1:8" x14ac:dyDescent="0.25">
      <c r="D20" s="9" t="s">
        <v>44</v>
      </c>
      <c r="E20" s="76"/>
      <c r="F20" s="76"/>
      <c r="G20" s="77"/>
    </row>
    <row r="21" spans="1:8" ht="15.75" thickBot="1" x14ac:dyDescent="0.3"/>
    <row r="22" spans="1:8" ht="15.75" thickBot="1" x14ac:dyDescent="0.3">
      <c r="A22" s="141" t="s">
        <v>64</v>
      </c>
      <c r="B22" s="142" t="s">
        <v>65</v>
      </c>
      <c r="D22" s="78" t="s">
        <v>53</v>
      </c>
      <c r="E22" s="80" t="s">
        <v>66</v>
      </c>
      <c r="F22" s="80" t="s">
        <v>67</v>
      </c>
      <c r="G22" s="80" t="s">
        <v>68</v>
      </c>
      <c r="H22" s="79" t="s">
        <v>9</v>
      </c>
    </row>
    <row r="23" spans="1:8" x14ac:dyDescent="0.25">
      <c r="A23" s="143">
        <v>0</v>
      </c>
      <c r="B23" s="144">
        <v>-0.28000000000000003</v>
      </c>
      <c r="D23" s="81"/>
      <c r="E23" s="82"/>
      <c r="F23" s="82"/>
      <c r="G23" s="82"/>
      <c r="H23" s="50"/>
    </row>
    <row r="24" spans="1:8" x14ac:dyDescent="0.25">
      <c r="A24" s="143">
        <v>5</v>
      </c>
      <c r="B24" s="144">
        <v>-0.26</v>
      </c>
      <c r="D24" s="83"/>
      <c r="E24" s="84"/>
      <c r="F24" s="84"/>
      <c r="G24" s="84"/>
      <c r="H24" s="25"/>
    </row>
    <row r="25" spans="1:8" x14ac:dyDescent="0.25">
      <c r="A25" s="143">
        <v>20</v>
      </c>
      <c r="B25" s="144">
        <v>-0.27</v>
      </c>
      <c r="D25" s="83"/>
      <c r="E25" s="84"/>
      <c r="F25" s="84"/>
      <c r="G25" s="84"/>
      <c r="H25" s="25"/>
    </row>
    <row r="26" spans="1:8" x14ac:dyDescent="0.25">
      <c r="A26" s="143">
        <v>40</v>
      </c>
      <c r="B26" s="144">
        <v>-0.52</v>
      </c>
      <c r="D26" s="83"/>
      <c r="E26" s="84"/>
      <c r="F26" s="84"/>
      <c r="G26" s="84"/>
      <c r="H26" s="25"/>
    </row>
    <row r="27" spans="1:8" x14ac:dyDescent="0.25">
      <c r="A27" s="143">
        <v>60</v>
      </c>
      <c r="B27" s="144">
        <v>-0.77</v>
      </c>
      <c r="D27" s="83"/>
      <c r="E27" s="84"/>
      <c r="F27" s="84"/>
      <c r="G27" s="84"/>
      <c r="H27" s="25"/>
    </row>
    <row r="28" spans="1:8" x14ac:dyDescent="0.25">
      <c r="A28" s="143">
        <v>80</v>
      </c>
      <c r="B28" s="144">
        <v>-1.07</v>
      </c>
      <c r="D28" s="83"/>
      <c r="E28" s="84"/>
      <c r="F28" s="84"/>
      <c r="G28" s="84"/>
      <c r="H28" s="25"/>
    </row>
    <row r="29" spans="1:8" x14ac:dyDescent="0.25">
      <c r="A29" s="143">
        <v>90</v>
      </c>
      <c r="B29" s="144">
        <v>-1.9</v>
      </c>
      <c r="D29" s="83"/>
      <c r="E29" s="84"/>
      <c r="F29" s="84"/>
      <c r="G29" s="84"/>
      <c r="H29" s="25"/>
    </row>
    <row r="30" spans="1:8" x14ac:dyDescent="0.25">
      <c r="A30" s="143">
        <v>100</v>
      </c>
      <c r="B30" s="144">
        <v>-1.65</v>
      </c>
      <c r="D30" s="83"/>
      <c r="E30" s="84"/>
      <c r="F30" s="84"/>
      <c r="G30" s="84"/>
      <c r="H30" s="25"/>
    </row>
    <row r="31" spans="1:8" x14ac:dyDescent="0.25">
      <c r="A31" s="143">
        <v>120</v>
      </c>
      <c r="B31" s="144">
        <v>-1.92</v>
      </c>
      <c r="D31" s="83"/>
      <c r="E31" s="84"/>
      <c r="F31" s="84"/>
      <c r="G31" s="84"/>
      <c r="H31" s="25"/>
    </row>
    <row r="32" spans="1:8" x14ac:dyDescent="0.25">
      <c r="A32" s="143">
        <v>140</v>
      </c>
      <c r="B32" s="144">
        <v>-2.08</v>
      </c>
      <c r="D32" s="83"/>
      <c r="E32" s="84"/>
      <c r="F32" s="84"/>
      <c r="G32" s="84"/>
      <c r="H32" s="25"/>
    </row>
    <row r="33" spans="1:8" x14ac:dyDescent="0.25">
      <c r="A33" s="143">
        <v>160</v>
      </c>
      <c r="B33" s="144">
        <v>-2.23</v>
      </c>
      <c r="D33" s="83"/>
      <c r="E33" s="84"/>
      <c r="F33" s="84"/>
      <c r="G33" s="84"/>
      <c r="H33" s="25"/>
    </row>
    <row r="34" spans="1:8" x14ac:dyDescent="0.25">
      <c r="A34" s="143">
        <v>180</v>
      </c>
      <c r="B34" s="144">
        <v>-2.34</v>
      </c>
      <c r="D34" s="83"/>
      <c r="E34" s="84"/>
      <c r="F34" s="84"/>
      <c r="G34" s="84"/>
      <c r="H34" s="25"/>
    </row>
    <row r="35" spans="1:8" x14ac:dyDescent="0.25">
      <c r="A35" s="143">
        <v>200</v>
      </c>
      <c r="B35" s="144">
        <v>-2.4500000000000002</v>
      </c>
      <c r="D35" s="83"/>
      <c r="E35" s="84"/>
      <c r="F35" s="84"/>
      <c r="G35" s="84"/>
      <c r="H35" s="25"/>
    </row>
    <row r="36" spans="1:8" x14ac:dyDescent="0.25">
      <c r="A36" s="143">
        <v>220</v>
      </c>
      <c r="B36" s="144">
        <v>-2.4900000000000002</v>
      </c>
      <c r="D36" s="83"/>
      <c r="E36" s="84"/>
      <c r="F36" s="84"/>
      <c r="G36" s="84"/>
      <c r="H36" s="25"/>
    </row>
    <row r="37" spans="1:8" x14ac:dyDescent="0.25">
      <c r="A37" s="143">
        <v>240</v>
      </c>
      <c r="B37" s="144">
        <v>-2.5499999999999998</v>
      </c>
      <c r="D37" s="83"/>
      <c r="E37" s="84"/>
      <c r="F37" s="84"/>
      <c r="G37" s="84"/>
      <c r="H37" s="25"/>
    </row>
    <row r="38" spans="1:8" x14ac:dyDescent="0.25">
      <c r="A38" s="143">
        <v>260</v>
      </c>
      <c r="B38" s="144">
        <v>-2.6</v>
      </c>
      <c r="D38" s="83"/>
      <c r="E38" s="84"/>
      <c r="F38" s="84"/>
      <c r="G38" s="84"/>
      <c r="H38" s="25"/>
    </row>
    <row r="39" spans="1:8" x14ac:dyDescent="0.25">
      <c r="A39" s="143">
        <v>280</v>
      </c>
      <c r="B39" s="144">
        <v>-2.59</v>
      </c>
      <c r="D39" s="83"/>
      <c r="E39" s="84"/>
      <c r="F39" s="84"/>
      <c r="G39" s="84"/>
      <c r="H39" s="25"/>
    </row>
    <row r="40" spans="1:8" x14ac:dyDescent="0.25">
      <c r="A40" s="143">
        <v>300</v>
      </c>
      <c r="B40" s="144">
        <v>-2.48</v>
      </c>
      <c r="D40" s="83"/>
      <c r="E40" s="84"/>
      <c r="F40" s="84"/>
      <c r="G40" s="84"/>
      <c r="H40" s="25"/>
    </row>
    <row r="41" spans="1:8" x14ac:dyDescent="0.25">
      <c r="A41" s="143">
        <v>320</v>
      </c>
      <c r="B41" s="144">
        <v>-2.4500000000000002</v>
      </c>
      <c r="D41" s="83"/>
      <c r="E41" s="84"/>
      <c r="F41" s="84"/>
      <c r="G41" s="84"/>
      <c r="H41" s="25"/>
    </row>
    <row r="42" spans="1:8" x14ac:dyDescent="0.25">
      <c r="A42" s="143">
        <v>340</v>
      </c>
      <c r="B42" s="144">
        <v>-2.34</v>
      </c>
      <c r="D42" s="83"/>
      <c r="E42" s="84"/>
      <c r="F42" s="84"/>
      <c r="G42" s="84"/>
      <c r="H42" s="25"/>
    </row>
    <row r="43" spans="1:8" x14ac:dyDescent="0.25">
      <c r="A43" s="143">
        <v>360</v>
      </c>
      <c r="B43" s="144">
        <v>-1.92</v>
      </c>
      <c r="D43" s="83"/>
      <c r="E43" s="84"/>
      <c r="F43" s="84"/>
      <c r="G43" s="84"/>
      <c r="H43" s="25"/>
    </row>
    <row r="44" spans="1:8" x14ac:dyDescent="0.25">
      <c r="A44" s="143">
        <v>380</v>
      </c>
      <c r="B44" s="144">
        <v>-2.2400000000000002</v>
      </c>
      <c r="D44" s="83"/>
      <c r="E44" s="84"/>
      <c r="F44" s="84"/>
      <c r="G44" s="84"/>
      <c r="H44" s="25"/>
    </row>
    <row r="45" spans="1:8" x14ac:dyDescent="0.25">
      <c r="A45" s="143">
        <v>420</v>
      </c>
      <c r="B45" s="144">
        <v>-2.2200000000000002</v>
      </c>
      <c r="D45" s="83"/>
      <c r="E45" s="84"/>
      <c r="F45" s="84"/>
      <c r="G45" s="84"/>
      <c r="H45" s="25"/>
    </row>
    <row r="46" spans="1:8" x14ac:dyDescent="0.25">
      <c r="A46" s="143">
        <v>440</v>
      </c>
      <c r="B46" s="144">
        <v>-2.17</v>
      </c>
      <c r="D46" s="83"/>
      <c r="E46" s="84"/>
      <c r="F46" s="84"/>
      <c r="G46" s="84"/>
      <c r="H46" s="25"/>
    </row>
    <row r="47" spans="1:8" x14ac:dyDescent="0.25">
      <c r="A47" s="143">
        <v>460</v>
      </c>
      <c r="B47" s="144">
        <v>-1.94</v>
      </c>
      <c r="D47" s="83"/>
      <c r="E47" s="84"/>
      <c r="F47" s="84"/>
      <c r="G47" s="84"/>
      <c r="H47" s="25"/>
    </row>
    <row r="48" spans="1:8" x14ac:dyDescent="0.25">
      <c r="A48" s="143">
        <v>480</v>
      </c>
      <c r="B48" s="145">
        <v>-1.8</v>
      </c>
    </row>
    <row r="49" spans="1:2" x14ac:dyDescent="0.25">
      <c r="A49" s="143">
        <v>500</v>
      </c>
      <c r="B49" s="145">
        <v>-2.11</v>
      </c>
    </row>
    <row r="50" spans="1:2" x14ac:dyDescent="0.25">
      <c r="A50" s="143">
        <v>520</v>
      </c>
      <c r="B50" s="145">
        <v>-1.76</v>
      </c>
    </row>
    <row r="51" spans="1:2" x14ac:dyDescent="0.25">
      <c r="A51" s="143">
        <v>540</v>
      </c>
      <c r="B51" s="145">
        <v>-1.8</v>
      </c>
    </row>
    <row r="52" spans="1:2" x14ac:dyDescent="0.25">
      <c r="A52" s="143">
        <v>560</v>
      </c>
      <c r="B52" s="145">
        <v>-1.9</v>
      </c>
    </row>
    <row r="53" spans="1:2" x14ac:dyDescent="0.25">
      <c r="A53" s="145">
        <v>580</v>
      </c>
      <c r="B53" s="145">
        <v>-1.9</v>
      </c>
    </row>
    <row r="54" spans="1:2" x14ac:dyDescent="0.25">
      <c r="A54" s="145">
        <v>595</v>
      </c>
      <c r="B54" s="145">
        <v>-1.91</v>
      </c>
    </row>
    <row r="55" spans="1:2" x14ac:dyDescent="0.25">
      <c r="A55" s="145"/>
      <c r="B55" s="145"/>
    </row>
    <row r="56" spans="1:2" x14ac:dyDescent="0.25">
      <c r="A56" s="145"/>
      <c r="B56" s="145"/>
    </row>
    <row r="57" spans="1:2" x14ac:dyDescent="0.25">
      <c r="A57" s="145"/>
      <c r="B57" s="145"/>
    </row>
    <row r="58" spans="1:2" x14ac:dyDescent="0.25">
      <c r="A58" s="145"/>
      <c r="B58" s="145"/>
    </row>
    <row r="59" spans="1:2" x14ac:dyDescent="0.25">
      <c r="A59" s="145"/>
      <c r="B59" s="145"/>
    </row>
    <row r="60" spans="1:2" x14ac:dyDescent="0.25">
      <c r="A60" s="145"/>
      <c r="B60" s="145"/>
    </row>
    <row r="61" spans="1:2" x14ac:dyDescent="0.25">
      <c r="A61" s="145"/>
      <c r="B61" s="145"/>
    </row>
    <row r="62" spans="1:2" x14ac:dyDescent="0.25">
      <c r="A62" s="145"/>
      <c r="B62" s="145"/>
    </row>
    <row r="63" spans="1:2" x14ac:dyDescent="0.25">
      <c r="A63" s="145"/>
      <c r="B63" s="145"/>
    </row>
    <row r="64" spans="1:2" x14ac:dyDescent="0.25">
      <c r="A64" s="145"/>
      <c r="B64" s="145"/>
    </row>
    <row r="65" spans="1:2" x14ac:dyDescent="0.25">
      <c r="A65" s="145"/>
      <c r="B65" s="145"/>
    </row>
    <row r="66" spans="1:2" x14ac:dyDescent="0.25">
      <c r="A66" s="145"/>
      <c r="B66" s="145"/>
    </row>
    <row r="67" spans="1:2" x14ac:dyDescent="0.25">
      <c r="A67" s="145"/>
      <c r="B67" s="145"/>
    </row>
    <row r="68" spans="1:2" x14ac:dyDescent="0.25">
      <c r="A68" s="145"/>
      <c r="B68" s="145"/>
    </row>
    <row r="69" spans="1:2" x14ac:dyDescent="0.25">
      <c r="A69" s="145"/>
      <c r="B69" s="145"/>
    </row>
    <row r="70" spans="1:2" x14ac:dyDescent="0.25">
      <c r="A70" s="145"/>
      <c r="B70" s="145"/>
    </row>
    <row r="71" spans="1:2" x14ac:dyDescent="0.25">
      <c r="A71" s="145"/>
      <c r="B71" s="145"/>
    </row>
    <row r="72" spans="1:2" x14ac:dyDescent="0.25">
      <c r="A72" s="145">
        <v>477.5</v>
      </c>
      <c r="B72" s="145">
        <v>-2.1</v>
      </c>
    </row>
  </sheetData>
  <mergeCells count="8">
    <mergeCell ref="B6:C6"/>
    <mergeCell ref="A7:B7"/>
    <mergeCell ref="B8:D8"/>
    <mergeCell ref="A1:D1"/>
    <mergeCell ref="B2:C2"/>
    <mergeCell ref="B3:C3"/>
    <mergeCell ref="B4:C4"/>
    <mergeCell ref="B5:C5"/>
  </mergeCells>
  <dataValidations count="1">
    <dataValidation type="list" allowBlank="1" showInputMessage="1" showErrorMessage="1" sqref="C7" xr:uid="{00000000-0002-0000-0400-000000000000}">
      <formula1>Yes_No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5E7-D576-4F74-AF4F-9C1A7CBE94ED}">
  <sheetPr>
    <tabColor rgb="FF92D050"/>
    <pageSetUpPr fitToPage="1"/>
  </sheetPr>
  <dimension ref="A1:L136"/>
  <sheetViews>
    <sheetView tabSelected="1" zoomScale="75" zoomScaleNormal="75" workbookViewId="0">
      <selection activeCell="D15" sqref="D15"/>
    </sheetView>
  </sheetViews>
  <sheetFormatPr defaultColWidth="9.140625" defaultRowHeight="15" x14ac:dyDescent="0.25"/>
  <cols>
    <col min="1" max="1" width="21.7109375" style="86" customWidth="1"/>
    <col min="2" max="3" width="15.7109375" style="86" customWidth="1"/>
    <col min="4" max="5" width="18.7109375" style="86" customWidth="1"/>
    <col min="6" max="6" width="19.5703125" style="86" bestFit="1" customWidth="1"/>
    <col min="7" max="7" width="19.85546875" style="86" bestFit="1" customWidth="1"/>
    <col min="8" max="8" width="19.5703125" style="86" bestFit="1" customWidth="1"/>
    <col min="9" max="9" width="36.7109375" style="87" customWidth="1"/>
    <col min="10" max="16384" width="9.140625" style="86"/>
  </cols>
  <sheetData>
    <row r="1" spans="1:9" ht="34.5" thickBot="1" x14ac:dyDescent="0.55000000000000004">
      <c r="A1" s="179" t="s">
        <v>69</v>
      </c>
      <c r="B1" s="179"/>
      <c r="C1" s="179"/>
      <c r="D1" s="85"/>
    </row>
    <row r="2" spans="1:9" x14ac:dyDescent="0.25">
      <c r="A2" s="88" t="s">
        <v>29</v>
      </c>
      <c r="B2" s="181" t="s">
        <v>186</v>
      </c>
      <c r="C2" s="181"/>
      <c r="D2" s="89"/>
    </row>
    <row r="3" spans="1:9" x14ac:dyDescent="0.25">
      <c r="A3" s="90" t="s">
        <v>30</v>
      </c>
      <c r="B3" s="182" t="s">
        <v>188</v>
      </c>
      <c r="C3" s="182"/>
      <c r="D3" s="91"/>
    </row>
    <row r="4" spans="1:9" x14ac:dyDescent="0.25">
      <c r="A4" s="90" t="s">
        <v>31</v>
      </c>
      <c r="B4" s="183">
        <v>44027</v>
      </c>
      <c r="C4" s="183"/>
      <c r="D4" s="91"/>
    </row>
    <row r="5" spans="1:9" x14ac:dyDescent="0.25">
      <c r="A5" s="92" t="s">
        <v>32</v>
      </c>
      <c r="B5" s="180"/>
      <c r="C5" s="180"/>
      <c r="D5" s="91"/>
    </row>
    <row r="6" spans="1:9" x14ac:dyDescent="0.25">
      <c r="A6" s="92" t="s">
        <v>5</v>
      </c>
      <c r="B6" s="184" t="s">
        <v>187</v>
      </c>
      <c r="C6" s="185"/>
      <c r="D6" s="91"/>
      <c r="E6" s="93"/>
      <c r="F6" s="93"/>
      <c r="G6" s="94"/>
      <c r="H6" s="95"/>
    </row>
    <row r="7" spans="1:9" ht="30" customHeight="1" thickBot="1" x14ac:dyDescent="0.3">
      <c r="A7" s="96" t="s">
        <v>33</v>
      </c>
      <c r="B7" s="176"/>
      <c r="C7" s="177"/>
      <c r="D7" s="178"/>
      <c r="F7" s="86" t="s">
        <v>70</v>
      </c>
      <c r="G7" s="128">
        <v>-15</v>
      </c>
    </row>
    <row r="8" spans="1:9" x14ac:dyDescent="0.25">
      <c r="F8" s="86" t="s">
        <v>71</v>
      </c>
      <c r="G8" s="128">
        <v>0.82599999999999996</v>
      </c>
    </row>
    <row r="9" spans="1:9" ht="15.75" thickBot="1" x14ac:dyDescent="0.3">
      <c r="A9" s="97" t="s">
        <v>38</v>
      </c>
    </row>
    <row r="10" spans="1:9" x14ac:dyDescent="0.25">
      <c r="A10" s="98" t="s">
        <v>35</v>
      </c>
      <c r="B10" s="139">
        <v>7.5</v>
      </c>
      <c r="F10" s="100" t="s">
        <v>53</v>
      </c>
      <c r="G10" s="101" t="s">
        <v>54</v>
      </c>
      <c r="H10" s="101" t="s">
        <v>55</v>
      </c>
      <c r="I10" s="102" t="s">
        <v>9</v>
      </c>
    </row>
    <row r="11" spans="1:9" x14ac:dyDescent="0.25">
      <c r="A11" s="103" t="s">
        <v>36</v>
      </c>
      <c r="B11" s="140">
        <v>582</v>
      </c>
      <c r="F11" s="104"/>
      <c r="G11" s="105"/>
      <c r="H11" s="106"/>
      <c r="I11" s="107"/>
    </row>
    <row r="12" spans="1:9" x14ac:dyDescent="0.25">
      <c r="A12" s="103" t="s">
        <v>72</v>
      </c>
      <c r="B12" s="140">
        <v>490</v>
      </c>
      <c r="F12" s="104"/>
      <c r="G12" s="106"/>
      <c r="H12" s="108"/>
      <c r="I12" s="109"/>
    </row>
    <row r="13" spans="1:9" x14ac:dyDescent="0.25">
      <c r="A13" s="103" t="s">
        <v>34</v>
      </c>
      <c r="B13" s="140">
        <v>92</v>
      </c>
      <c r="F13" s="104"/>
      <c r="G13" s="106"/>
      <c r="H13" s="106"/>
      <c r="I13" s="109"/>
    </row>
    <row r="14" spans="1:9" ht="15.75" thickBot="1" x14ac:dyDescent="0.3">
      <c r="A14" s="110" t="s">
        <v>73</v>
      </c>
      <c r="B14" s="111"/>
      <c r="F14" s="104"/>
      <c r="G14" s="106"/>
      <c r="H14" s="106"/>
      <c r="I14" s="109"/>
    </row>
    <row r="15" spans="1:9" x14ac:dyDescent="0.25">
      <c r="F15" s="104"/>
      <c r="G15" s="106"/>
      <c r="H15" s="106"/>
      <c r="I15" s="109"/>
    </row>
    <row r="16" spans="1:9" ht="15.75" thickBot="1" x14ac:dyDescent="0.3">
      <c r="A16" s="97" t="s">
        <v>74</v>
      </c>
      <c r="F16" s="104"/>
      <c r="G16" s="106"/>
      <c r="H16" s="106"/>
      <c r="I16" s="109"/>
    </row>
    <row r="17" spans="1:12" x14ac:dyDescent="0.25">
      <c r="A17" s="98" t="s">
        <v>75</v>
      </c>
      <c r="B17" s="99"/>
      <c r="F17" s="104"/>
      <c r="G17" s="106"/>
      <c r="H17" s="106"/>
      <c r="I17" s="109"/>
    </row>
    <row r="18" spans="1:12" ht="15.75" thickBot="1" x14ac:dyDescent="0.3">
      <c r="A18" s="112" t="s">
        <v>76</v>
      </c>
      <c r="B18" s="113">
        <f>POWER(B17/2,2)*3.14</f>
        <v>0</v>
      </c>
      <c r="F18" s="104"/>
      <c r="G18" s="106"/>
      <c r="H18" s="106"/>
      <c r="I18" s="109"/>
    </row>
    <row r="19" spans="1:12" ht="15.75" thickBot="1" x14ac:dyDescent="0.3">
      <c r="B19" s="114"/>
      <c r="F19" s="115"/>
      <c r="G19" s="116"/>
      <c r="H19" s="116"/>
      <c r="I19" s="117"/>
    </row>
    <row r="21" spans="1:12" ht="15.75" thickBot="1" x14ac:dyDescent="0.3"/>
    <row r="22" spans="1:12" s="118" customFormat="1" ht="45" x14ac:dyDescent="0.25">
      <c r="A22" s="129" t="s">
        <v>46</v>
      </c>
      <c r="B22" s="130" t="s">
        <v>47</v>
      </c>
      <c r="C22" s="130" t="s">
        <v>77</v>
      </c>
      <c r="D22" s="130" t="s">
        <v>78</v>
      </c>
      <c r="E22" s="130" t="s">
        <v>79</v>
      </c>
      <c r="F22" s="130" t="s">
        <v>80</v>
      </c>
      <c r="G22" s="130" t="s">
        <v>81</v>
      </c>
      <c r="H22" s="130" t="s">
        <v>82</v>
      </c>
      <c r="I22" s="131" t="s">
        <v>9</v>
      </c>
      <c r="J22" s="132" t="s">
        <v>48</v>
      </c>
      <c r="K22" s="132" t="s">
        <v>49</v>
      </c>
      <c r="L22" s="132" t="s">
        <v>83</v>
      </c>
    </row>
    <row r="23" spans="1:12" x14ac:dyDescent="0.25">
      <c r="A23" s="133">
        <v>0</v>
      </c>
      <c r="B23" s="133">
        <v>5</v>
      </c>
      <c r="C23" s="127" t="s">
        <v>189</v>
      </c>
      <c r="D23" s="121"/>
      <c r="E23" s="134"/>
      <c r="F23" s="135"/>
      <c r="G23" s="133">
        <f>AVERAGE(A23:B23)</f>
        <v>2.5</v>
      </c>
      <c r="H23" s="127">
        <v>869.5</v>
      </c>
      <c r="I23" s="122"/>
      <c r="J23" s="127">
        <v>0.2</v>
      </c>
      <c r="K23" s="119"/>
      <c r="L23" s="127">
        <v>15</v>
      </c>
    </row>
    <row r="24" spans="1:12" x14ac:dyDescent="0.25">
      <c r="A24" s="127">
        <v>5</v>
      </c>
      <c r="B24" s="127">
        <v>10</v>
      </c>
      <c r="C24" s="127" t="s">
        <v>132</v>
      </c>
      <c r="D24" s="119"/>
      <c r="E24" s="121"/>
      <c r="F24" s="121"/>
      <c r="G24" s="133">
        <f t="shared" ref="G24:G87" si="0">AVERAGE(A24:B24)</f>
        <v>7.5</v>
      </c>
      <c r="H24" s="127">
        <v>858.2</v>
      </c>
      <c r="I24" s="122"/>
      <c r="J24" s="127">
        <v>0.18</v>
      </c>
      <c r="K24" s="119"/>
      <c r="L24" s="127">
        <v>15</v>
      </c>
    </row>
    <row r="25" spans="1:12" x14ac:dyDescent="0.25">
      <c r="A25" s="133">
        <v>10</v>
      </c>
      <c r="B25" s="133">
        <v>12</v>
      </c>
      <c r="C25" s="127" t="s">
        <v>133</v>
      </c>
      <c r="D25" s="119"/>
      <c r="E25" s="119"/>
      <c r="F25" s="121"/>
      <c r="G25" s="133">
        <f t="shared" si="0"/>
        <v>11</v>
      </c>
      <c r="H25" s="127">
        <v>862.4</v>
      </c>
      <c r="I25" s="122"/>
      <c r="J25" s="127">
        <v>0.14000000000000001</v>
      </c>
      <c r="K25" s="119"/>
      <c r="L25" s="127">
        <v>15</v>
      </c>
    </row>
    <row r="26" spans="1:12" x14ac:dyDescent="0.25">
      <c r="A26" s="127">
        <v>12</v>
      </c>
      <c r="B26" s="127">
        <v>17</v>
      </c>
      <c r="C26" s="127" t="s">
        <v>190</v>
      </c>
      <c r="D26" s="119"/>
      <c r="E26" s="119"/>
      <c r="F26" s="135"/>
      <c r="G26" s="133">
        <f t="shared" si="0"/>
        <v>14.5</v>
      </c>
      <c r="H26" s="127">
        <v>836.7</v>
      </c>
      <c r="I26" s="122"/>
      <c r="J26" s="127">
        <v>0.17</v>
      </c>
      <c r="K26" s="119"/>
      <c r="L26" s="127">
        <v>15</v>
      </c>
    </row>
    <row r="27" spans="1:12" x14ac:dyDescent="0.25">
      <c r="A27" s="133">
        <v>17</v>
      </c>
      <c r="B27" s="133">
        <v>22</v>
      </c>
      <c r="C27" s="127" t="s">
        <v>134</v>
      </c>
      <c r="D27" s="119"/>
      <c r="E27" s="119"/>
      <c r="F27" s="121"/>
      <c r="G27" s="133">
        <f t="shared" si="0"/>
        <v>19.5</v>
      </c>
      <c r="H27" s="127">
        <v>849.9</v>
      </c>
      <c r="I27" s="122"/>
      <c r="J27" s="127">
        <v>0.32</v>
      </c>
      <c r="K27" s="119"/>
      <c r="L27" s="127">
        <v>15</v>
      </c>
    </row>
    <row r="28" spans="1:12" x14ac:dyDescent="0.25">
      <c r="A28" s="133">
        <v>22</v>
      </c>
      <c r="B28" s="127">
        <v>27</v>
      </c>
      <c r="C28" s="127" t="s">
        <v>135</v>
      </c>
      <c r="D28" s="119"/>
      <c r="E28" s="119"/>
      <c r="F28" s="121"/>
      <c r="G28" s="133">
        <f t="shared" si="0"/>
        <v>24.5</v>
      </c>
      <c r="H28" s="127">
        <v>833.2</v>
      </c>
      <c r="I28" s="120"/>
      <c r="J28" s="127">
        <v>0.51</v>
      </c>
      <c r="K28" s="119"/>
      <c r="L28" s="127">
        <v>15</v>
      </c>
    </row>
    <row r="29" spans="1:12" x14ac:dyDescent="0.25">
      <c r="A29" s="127">
        <v>27</v>
      </c>
      <c r="B29" s="133">
        <v>32</v>
      </c>
      <c r="C29" s="127" t="s">
        <v>136</v>
      </c>
      <c r="D29" s="119"/>
      <c r="E29" s="119"/>
      <c r="F29" s="135"/>
      <c r="G29" s="133">
        <f t="shared" si="0"/>
        <v>29.5</v>
      </c>
      <c r="H29" s="127">
        <v>857.4</v>
      </c>
      <c r="I29" s="122"/>
      <c r="J29" s="127">
        <v>0.35</v>
      </c>
      <c r="K29" s="119"/>
      <c r="L29" s="127">
        <v>15</v>
      </c>
    </row>
    <row r="30" spans="1:12" x14ac:dyDescent="0.25">
      <c r="A30" s="133">
        <v>32</v>
      </c>
      <c r="B30" s="127">
        <v>37</v>
      </c>
      <c r="C30" s="127" t="s">
        <v>137</v>
      </c>
      <c r="D30" s="119"/>
      <c r="E30" s="119"/>
      <c r="F30" s="121"/>
      <c r="G30" s="133">
        <f t="shared" si="0"/>
        <v>34.5</v>
      </c>
      <c r="H30" s="127">
        <v>864.7</v>
      </c>
      <c r="I30" s="122"/>
      <c r="J30" s="127">
        <v>0.49</v>
      </c>
      <c r="K30" s="119"/>
      <c r="L30" s="127">
        <v>15</v>
      </c>
    </row>
    <row r="31" spans="1:12" x14ac:dyDescent="0.25">
      <c r="A31" s="127">
        <v>37</v>
      </c>
      <c r="B31" s="133">
        <v>42</v>
      </c>
      <c r="C31" s="127" t="s">
        <v>138</v>
      </c>
      <c r="D31" s="119"/>
      <c r="E31" s="119"/>
      <c r="F31" s="121"/>
      <c r="G31" s="133">
        <f t="shared" si="0"/>
        <v>39.5</v>
      </c>
      <c r="H31" s="127">
        <v>877</v>
      </c>
      <c r="I31" s="120"/>
      <c r="J31" s="127">
        <v>0.65</v>
      </c>
      <c r="K31" s="119"/>
      <c r="L31" s="127">
        <v>15</v>
      </c>
    </row>
    <row r="32" spans="1:12" x14ac:dyDescent="0.25">
      <c r="A32" s="133">
        <v>42</v>
      </c>
      <c r="B32" s="127">
        <v>47</v>
      </c>
      <c r="C32" s="127" t="s">
        <v>139</v>
      </c>
      <c r="D32" s="119"/>
      <c r="E32" s="119"/>
      <c r="F32" s="135"/>
      <c r="G32" s="133">
        <f t="shared" si="0"/>
        <v>44.5</v>
      </c>
      <c r="H32" s="127">
        <v>868.6</v>
      </c>
      <c r="I32" s="122"/>
      <c r="J32" s="127">
        <v>0.6</v>
      </c>
      <c r="K32" s="119"/>
      <c r="L32" s="127">
        <v>15</v>
      </c>
    </row>
    <row r="33" spans="1:12" x14ac:dyDescent="0.25">
      <c r="A33" s="133">
        <v>47</v>
      </c>
      <c r="B33" s="133">
        <v>52</v>
      </c>
      <c r="C33" s="127" t="s">
        <v>140</v>
      </c>
      <c r="D33" s="119"/>
      <c r="E33" s="119"/>
      <c r="F33" s="121"/>
      <c r="G33" s="133">
        <f t="shared" si="0"/>
        <v>49.5</v>
      </c>
      <c r="H33" s="127">
        <v>862</v>
      </c>
      <c r="I33" s="122"/>
      <c r="J33" s="127">
        <v>0.8</v>
      </c>
      <c r="K33" s="119"/>
      <c r="L33" s="127">
        <v>15</v>
      </c>
    </row>
    <row r="34" spans="1:12" x14ac:dyDescent="0.25">
      <c r="A34" s="127">
        <v>52</v>
      </c>
      <c r="B34" s="127">
        <v>57</v>
      </c>
      <c r="C34" s="127" t="s">
        <v>141</v>
      </c>
      <c r="D34" s="119"/>
      <c r="E34" s="119"/>
      <c r="F34" s="121"/>
      <c r="G34" s="133">
        <f t="shared" si="0"/>
        <v>54.5</v>
      </c>
      <c r="H34" s="127">
        <v>850.9</v>
      </c>
      <c r="I34" s="122"/>
      <c r="J34" s="127">
        <v>0.92</v>
      </c>
      <c r="K34" s="119"/>
      <c r="L34" s="127">
        <v>15</v>
      </c>
    </row>
    <row r="35" spans="1:12" x14ac:dyDescent="0.25">
      <c r="A35" s="127">
        <v>57</v>
      </c>
      <c r="B35" s="127">
        <v>62</v>
      </c>
      <c r="C35" s="127" t="s">
        <v>142</v>
      </c>
      <c r="D35" s="119"/>
      <c r="E35" s="119"/>
      <c r="F35" s="135"/>
      <c r="G35" s="133">
        <f t="shared" si="0"/>
        <v>59.5</v>
      </c>
      <c r="H35" s="127">
        <v>840.6</v>
      </c>
      <c r="I35" s="120"/>
      <c r="J35" s="127">
        <v>1.35</v>
      </c>
      <c r="K35" s="119"/>
      <c r="L35" s="127">
        <v>15</v>
      </c>
    </row>
    <row r="36" spans="1:12" x14ac:dyDescent="0.25">
      <c r="A36" s="127">
        <v>62</v>
      </c>
      <c r="B36" s="127">
        <v>67</v>
      </c>
      <c r="C36" s="127" t="s">
        <v>143</v>
      </c>
      <c r="D36" s="119"/>
      <c r="E36" s="119"/>
      <c r="F36" s="121"/>
      <c r="G36" s="133">
        <f t="shared" si="0"/>
        <v>64.5</v>
      </c>
      <c r="H36" s="127">
        <v>836.3</v>
      </c>
      <c r="I36" s="122"/>
      <c r="J36" s="127">
        <v>1.28</v>
      </c>
      <c r="K36" s="119"/>
      <c r="L36" s="127">
        <v>15</v>
      </c>
    </row>
    <row r="37" spans="1:12" x14ac:dyDescent="0.25">
      <c r="A37" s="127">
        <v>67</v>
      </c>
      <c r="B37" s="127">
        <v>72</v>
      </c>
      <c r="C37" s="127" t="s">
        <v>144</v>
      </c>
      <c r="D37" s="119"/>
      <c r="E37" s="119"/>
      <c r="F37" s="121"/>
      <c r="G37" s="133">
        <f t="shared" si="0"/>
        <v>69.5</v>
      </c>
      <c r="H37" s="127">
        <v>859.8</v>
      </c>
      <c r="I37" s="122"/>
      <c r="J37" s="127">
        <v>0.99</v>
      </c>
      <c r="K37" s="119"/>
      <c r="L37" s="127">
        <v>15</v>
      </c>
    </row>
    <row r="38" spans="1:12" x14ac:dyDescent="0.25">
      <c r="A38" s="127">
        <v>72</v>
      </c>
      <c r="B38" s="127">
        <v>77</v>
      </c>
      <c r="C38" s="127" t="s">
        <v>145</v>
      </c>
      <c r="D38" s="119"/>
      <c r="E38" s="119"/>
      <c r="F38" s="135"/>
      <c r="G38" s="133">
        <f t="shared" si="0"/>
        <v>74.5</v>
      </c>
      <c r="H38" s="127">
        <v>907.5</v>
      </c>
      <c r="I38" s="122"/>
      <c r="J38" s="127">
        <v>0.34</v>
      </c>
      <c r="K38" s="119"/>
      <c r="L38" s="127">
        <v>15</v>
      </c>
    </row>
    <row r="39" spans="1:12" x14ac:dyDescent="0.25">
      <c r="A39" s="127">
        <v>77</v>
      </c>
      <c r="B39" s="127">
        <v>82</v>
      </c>
      <c r="C39" s="127" t="s">
        <v>146</v>
      </c>
      <c r="D39" s="119"/>
      <c r="E39" s="119"/>
      <c r="F39" s="121"/>
      <c r="G39" s="133">
        <f t="shared" si="0"/>
        <v>79.5</v>
      </c>
      <c r="H39" s="127">
        <v>887.9</v>
      </c>
      <c r="I39" s="122"/>
      <c r="J39" s="127">
        <v>1.44</v>
      </c>
      <c r="K39" s="119"/>
      <c r="L39" s="127">
        <v>15</v>
      </c>
    </row>
    <row r="40" spans="1:12" x14ac:dyDescent="0.25">
      <c r="A40" s="127">
        <v>82</v>
      </c>
      <c r="B40" s="127">
        <v>87</v>
      </c>
      <c r="C40" s="127" t="s">
        <v>147</v>
      </c>
      <c r="D40" s="119"/>
      <c r="E40" s="119"/>
      <c r="F40" s="121"/>
      <c r="G40" s="133">
        <f t="shared" si="0"/>
        <v>84.5</v>
      </c>
      <c r="H40" s="127">
        <v>853.1</v>
      </c>
      <c r="I40" s="125"/>
      <c r="J40" s="127">
        <v>1.69</v>
      </c>
      <c r="K40" s="119"/>
      <c r="L40" s="127">
        <v>15</v>
      </c>
    </row>
    <row r="41" spans="1:12" x14ac:dyDescent="0.25">
      <c r="A41" s="133">
        <v>87</v>
      </c>
      <c r="B41" s="133">
        <v>92</v>
      </c>
      <c r="C41" s="127" t="s">
        <v>148</v>
      </c>
      <c r="D41" s="119"/>
      <c r="E41" s="136"/>
      <c r="F41" s="137"/>
      <c r="G41" s="133">
        <f t="shared" si="0"/>
        <v>89.5</v>
      </c>
      <c r="H41" s="127">
        <v>845.2</v>
      </c>
      <c r="I41" s="124"/>
      <c r="J41" s="127">
        <v>4.41</v>
      </c>
      <c r="K41" s="119"/>
      <c r="L41" s="127">
        <v>15</v>
      </c>
    </row>
    <row r="42" spans="1:12" x14ac:dyDescent="0.25">
      <c r="A42" s="127">
        <v>92</v>
      </c>
      <c r="B42" s="127">
        <v>96</v>
      </c>
      <c r="C42" s="127" t="s">
        <v>149</v>
      </c>
      <c r="D42" s="119"/>
      <c r="E42" s="119"/>
      <c r="F42" s="123"/>
      <c r="G42" s="133">
        <f t="shared" si="0"/>
        <v>94</v>
      </c>
      <c r="H42" s="127">
        <v>893.5</v>
      </c>
      <c r="I42" s="124"/>
      <c r="J42" s="127">
        <v>3.44</v>
      </c>
      <c r="K42" s="119"/>
      <c r="L42" s="127">
        <v>15</v>
      </c>
    </row>
    <row r="43" spans="1:12" x14ac:dyDescent="0.25">
      <c r="A43" s="133">
        <v>96</v>
      </c>
      <c r="B43" s="133">
        <v>101</v>
      </c>
      <c r="C43" s="127" t="s">
        <v>150</v>
      </c>
      <c r="D43" s="119"/>
      <c r="E43" s="119"/>
      <c r="F43" s="123"/>
      <c r="G43" s="133">
        <f t="shared" si="0"/>
        <v>98.5</v>
      </c>
      <c r="H43" s="127">
        <v>901.7</v>
      </c>
      <c r="I43" s="120"/>
      <c r="J43" s="127">
        <v>3.72</v>
      </c>
      <c r="K43" s="119"/>
      <c r="L43" s="127">
        <v>15</v>
      </c>
    </row>
    <row r="44" spans="1:12" x14ac:dyDescent="0.25">
      <c r="A44" s="133">
        <v>101</v>
      </c>
      <c r="B44" s="127">
        <v>106</v>
      </c>
      <c r="C44" s="127" t="s">
        <v>151</v>
      </c>
      <c r="D44" s="119"/>
      <c r="E44" s="119"/>
      <c r="F44" s="123"/>
      <c r="G44" s="133">
        <f t="shared" si="0"/>
        <v>103.5</v>
      </c>
      <c r="H44" s="127">
        <v>885.2</v>
      </c>
      <c r="I44" s="124"/>
      <c r="J44" s="127">
        <v>4.07</v>
      </c>
      <c r="K44" s="119"/>
      <c r="L44" s="127">
        <v>15</v>
      </c>
    </row>
    <row r="45" spans="1:12" x14ac:dyDescent="0.25">
      <c r="A45" s="127">
        <v>106</v>
      </c>
      <c r="B45" s="133">
        <v>111</v>
      </c>
      <c r="C45" s="127" t="s">
        <v>152</v>
      </c>
      <c r="D45" s="119"/>
      <c r="E45" s="119"/>
      <c r="F45" s="123"/>
      <c r="G45" s="133">
        <f t="shared" si="0"/>
        <v>108.5</v>
      </c>
      <c r="H45" s="127">
        <v>880.4</v>
      </c>
      <c r="I45" s="120"/>
      <c r="J45" s="127">
        <v>6.37</v>
      </c>
      <c r="K45" s="119"/>
      <c r="L45" s="127">
        <v>15</v>
      </c>
    </row>
    <row r="46" spans="1:12" x14ac:dyDescent="0.25">
      <c r="A46" s="133">
        <v>111</v>
      </c>
      <c r="B46" s="127">
        <v>116</v>
      </c>
      <c r="C46" s="127" t="s">
        <v>153</v>
      </c>
      <c r="D46" s="119"/>
      <c r="E46" s="119"/>
      <c r="F46" s="123"/>
      <c r="G46" s="133">
        <f t="shared" si="0"/>
        <v>113.5</v>
      </c>
      <c r="H46" s="127">
        <v>893.8</v>
      </c>
      <c r="I46" s="120"/>
      <c r="J46" s="127">
        <v>4.63</v>
      </c>
      <c r="K46" s="119"/>
      <c r="L46" s="127">
        <v>15</v>
      </c>
    </row>
    <row r="47" spans="1:12" x14ac:dyDescent="0.25">
      <c r="A47" s="133">
        <v>116</v>
      </c>
      <c r="B47" s="133">
        <v>121</v>
      </c>
      <c r="C47" s="127" t="s">
        <v>154</v>
      </c>
      <c r="D47" s="119"/>
      <c r="E47" s="119"/>
      <c r="F47" s="123"/>
      <c r="G47" s="133">
        <f t="shared" si="0"/>
        <v>118.5</v>
      </c>
      <c r="H47" s="127">
        <v>889.8</v>
      </c>
      <c r="I47" s="120"/>
      <c r="J47" s="127">
        <v>4.3600000000000003</v>
      </c>
      <c r="K47" s="119"/>
      <c r="L47" s="127">
        <v>15</v>
      </c>
    </row>
    <row r="48" spans="1:12" x14ac:dyDescent="0.25">
      <c r="A48" s="127">
        <v>121</v>
      </c>
      <c r="B48" s="127">
        <v>126</v>
      </c>
      <c r="C48" s="127" t="s">
        <v>155</v>
      </c>
      <c r="D48" s="119"/>
      <c r="E48" s="119"/>
      <c r="F48" s="123"/>
      <c r="G48" s="133">
        <f t="shared" si="0"/>
        <v>123.5</v>
      </c>
      <c r="H48" s="127">
        <v>905.2</v>
      </c>
      <c r="I48" s="124"/>
      <c r="J48" s="127">
        <v>3.99</v>
      </c>
      <c r="K48" s="119"/>
      <c r="L48" s="127">
        <v>15</v>
      </c>
    </row>
    <row r="49" spans="1:12" x14ac:dyDescent="0.25">
      <c r="A49" s="133">
        <v>126</v>
      </c>
      <c r="B49" s="133">
        <v>131</v>
      </c>
      <c r="C49" s="127" t="s">
        <v>156</v>
      </c>
      <c r="D49" s="119"/>
      <c r="E49" s="119"/>
      <c r="F49" s="123"/>
      <c r="G49" s="133">
        <f t="shared" si="0"/>
        <v>128.5</v>
      </c>
      <c r="H49" s="127">
        <v>896.8</v>
      </c>
      <c r="I49" s="124"/>
      <c r="J49" s="127">
        <v>4.45</v>
      </c>
      <c r="K49" s="119"/>
      <c r="L49" s="127">
        <v>15</v>
      </c>
    </row>
    <row r="50" spans="1:12" x14ac:dyDescent="0.25">
      <c r="A50" s="133">
        <v>131</v>
      </c>
      <c r="B50" s="127">
        <v>136</v>
      </c>
      <c r="C50" s="127" t="s">
        <v>157</v>
      </c>
      <c r="D50" s="119"/>
      <c r="E50" s="119"/>
      <c r="F50" s="123"/>
      <c r="G50" s="133">
        <f t="shared" si="0"/>
        <v>133.5</v>
      </c>
      <c r="H50" s="127">
        <v>895</v>
      </c>
      <c r="I50" s="124"/>
      <c r="J50" s="127">
        <v>4.74</v>
      </c>
      <c r="K50" s="119"/>
      <c r="L50" s="127">
        <v>15</v>
      </c>
    </row>
    <row r="51" spans="1:12" x14ac:dyDescent="0.25">
      <c r="A51" s="127">
        <v>136</v>
      </c>
      <c r="B51" s="133">
        <v>141</v>
      </c>
      <c r="C51" s="127" t="s">
        <v>158</v>
      </c>
      <c r="D51" s="119"/>
      <c r="E51" s="119"/>
      <c r="F51" s="123"/>
      <c r="G51" s="133">
        <f t="shared" si="0"/>
        <v>138.5</v>
      </c>
      <c r="H51" s="127">
        <v>903.4</v>
      </c>
      <c r="I51" s="124"/>
      <c r="J51" s="127">
        <v>3.09</v>
      </c>
      <c r="K51" s="119"/>
      <c r="L51" s="127">
        <v>15</v>
      </c>
    </row>
    <row r="52" spans="1:12" x14ac:dyDescent="0.25">
      <c r="A52" s="133">
        <v>141</v>
      </c>
      <c r="B52" s="127">
        <v>146</v>
      </c>
      <c r="C52" s="127" t="s">
        <v>159</v>
      </c>
      <c r="D52" s="119"/>
      <c r="E52" s="119"/>
      <c r="F52" s="123"/>
      <c r="G52" s="133">
        <f t="shared" si="0"/>
        <v>143.5</v>
      </c>
      <c r="H52" s="127">
        <v>910.8</v>
      </c>
      <c r="I52" s="124"/>
      <c r="J52" s="127">
        <v>2.6</v>
      </c>
      <c r="K52" s="119"/>
      <c r="L52" s="127">
        <v>15</v>
      </c>
    </row>
    <row r="53" spans="1:12" x14ac:dyDescent="0.25">
      <c r="A53" s="133">
        <v>146</v>
      </c>
      <c r="B53" s="133">
        <v>149</v>
      </c>
      <c r="C53" s="127" t="s">
        <v>160</v>
      </c>
      <c r="D53" s="119"/>
      <c r="E53" s="119"/>
      <c r="F53" s="123"/>
      <c r="G53" s="133">
        <f t="shared" si="0"/>
        <v>147.5</v>
      </c>
      <c r="H53" s="127">
        <v>911.1</v>
      </c>
      <c r="I53" s="120"/>
      <c r="J53" s="127">
        <v>2.27</v>
      </c>
      <c r="K53" s="119"/>
      <c r="L53" s="127">
        <v>15</v>
      </c>
    </row>
    <row r="54" spans="1:12" x14ac:dyDescent="0.25">
      <c r="A54" s="127">
        <v>149</v>
      </c>
      <c r="B54" s="127">
        <v>152</v>
      </c>
      <c r="C54" s="127" t="s">
        <v>161</v>
      </c>
      <c r="D54" s="119"/>
      <c r="E54" s="119"/>
      <c r="F54" s="123"/>
      <c r="G54" s="133">
        <f t="shared" si="0"/>
        <v>150.5</v>
      </c>
      <c r="H54" s="127">
        <v>913.2</v>
      </c>
      <c r="I54" s="124"/>
      <c r="J54" s="127">
        <v>2.75</v>
      </c>
      <c r="K54" s="119"/>
      <c r="L54" s="127">
        <v>15</v>
      </c>
    </row>
    <row r="55" spans="1:12" x14ac:dyDescent="0.25">
      <c r="A55" s="133">
        <v>152</v>
      </c>
      <c r="B55" s="133">
        <v>157</v>
      </c>
      <c r="C55" s="127" t="s">
        <v>162</v>
      </c>
      <c r="D55" s="119"/>
      <c r="E55" s="119"/>
      <c r="F55" s="123"/>
      <c r="G55" s="133">
        <f t="shared" si="0"/>
        <v>154.5</v>
      </c>
      <c r="H55" s="127">
        <v>909</v>
      </c>
      <c r="I55" s="124"/>
      <c r="J55" s="127">
        <v>2.82</v>
      </c>
      <c r="K55" s="119"/>
      <c r="L55" s="127">
        <v>15</v>
      </c>
    </row>
    <row r="56" spans="1:12" x14ac:dyDescent="0.25">
      <c r="A56" s="133">
        <v>157</v>
      </c>
      <c r="B56" s="127">
        <v>162</v>
      </c>
      <c r="C56" s="127" t="s">
        <v>163</v>
      </c>
      <c r="D56" s="119"/>
      <c r="E56" s="119"/>
      <c r="F56" s="123"/>
      <c r="G56" s="133">
        <f t="shared" si="0"/>
        <v>159.5</v>
      </c>
      <c r="H56" s="127">
        <v>912.7</v>
      </c>
      <c r="I56" s="124"/>
      <c r="J56" s="127">
        <v>2.95</v>
      </c>
      <c r="K56" s="119"/>
      <c r="L56" s="127">
        <v>15</v>
      </c>
    </row>
    <row r="57" spans="1:12" x14ac:dyDescent="0.25">
      <c r="A57" s="127">
        <v>162</v>
      </c>
      <c r="B57" s="133">
        <v>167</v>
      </c>
      <c r="C57" s="127" t="s">
        <v>164</v>
      </c>
      <c r="D57" s="119"/>
      <c r="E57" s="119"/>
      <c r="F57" s="123"/>
      <c r="G57" s="133">
        <f t="shared" si="0"/>
        <v>164.5</v>
      </c>
      <c r="H57" s="127">
        <v>897.1</v>
      </c>
      <c r="I57" s="124"/>
      <c r="J57" s="127">
        <v>3.32</v>
      </c>
      <c r="K57" s="119"/>
      <c r="L57" s="127">
        <v>15</v>
      </c>
    </row>
    <row r="58" spans="1:12" x14ac:dyDescent="0.25">
      <c r="A58" s="133">
        <v>167</v>
      </c>
      <c r="B58" s="127">
        <v>172</v>
      </c>
      <c r="C58" s="127" t="s">
        <v>165</v>
      </c>
      <c r="D58" s="119"/>
      <c r="E58" s="119"/>
      <c r="F58" s="123"/>
      <c r="G58" s="133">
        <f t="shared" si="0"/>
        <v>169.5</v>
      </c>
      <c r="H58" s="127">
        <v>891.4</v>
      </c>
      <c r="I58" s="124"/>
      <c r="J58" s="127">
        <v>2.65</v>
      </c>
      <c r="K58" s="119"/>
      <c r="L58" s="127">
        <v>15</v>
      </c>
    </row>
    <row r="59" spans="1:12" x14ac:dyDescent="0.25">
      <c r="A59" s="133">
        <v>172</v>
      </c>
      <c r="B59" s="133">
        <v>177</v>
      </c>
      <c r="C59" s="127" t="s">
        <v>166</v>
      </c>
      <c r="D59" s="119"/>
      <c r="E59" s="119"/>
      <c r="F59" s="123"/>
      <c r="G59" s="133">
        <f t="shared" si="0"/>
        <v>174.5</v>
      </c>
      <c r="H59" s="127">
        <v>886.3</v>
      </c>
      <c r="I59" s="125"/>
      <c r="J59" s="127">
        <v>2.57</v>
      </c>
      <c r="K59" s="119"/>
      <c r="L59" s="127">
        <v>15</v>
      </c>
    </row>
    <row r="60" spans="1:12" x14ac:dyDescent="0.25">
      <c r="A60" s="127">
        <v>177</v>
      </c>
      <c r="B60" s="127">
        <v>182</v>
      </c>
      <c r="C60" s="127" t="s">
        <v>167</v>
      </c>
      <c r="D60" s="119"/>
      <c r="E60" s="119"/>
      <c r="F60" s="138"/>
      <c r="G60" s="127">
        <f t="shared" si="0"/>
        <v>179.5</v>
      </c>
      <c r="H60" s="127">
        <v>894.7</v>
      </c>
      <c r="I60" s="120"/>
      <c r="J60" s="127">
        <v>2.19</v>
      </c>
      <c r="K60" s="119"/>
      <c r="L60" s="127">
        <v>15</v>
      </c>
    </row>
    <row r="61" spans="1:12" x14ac:dyDescent="0.25">
      <c r="A61" s="127">
        <v>182</v>
      </c>
      <c r="B61" s="127">
        <v>187</v>
      </c>
      <c r="C61" s="127" t="s">
        <v>168</v>
      </c>
      <c r="D61" s="119"/>
      <c r="E61" s="119"/>
      <c r="F61" s="138"/>
      <c r="G61" s="127">
        <f t="shared" si="0"/>
        <v>184.5</v>
      </c>
      <c r="H61" s="127">
        <v>886.6</v>
      </c>
      <c r="I61" s="120"/>
      <c r="J61" s="127">
        <v>3.39</v>
      </c>
      <c r="K61" s="119"/>
      <c r="L61" s="127">
        <v>15</v>
      </c>
    </row>
    <row r="62" spans="1:12" x14ac:dyDescent="0.25">
      <c r="A62" s="127">
        <v>187</v>
      </c>
      <c r="B62" s="127">
        <v>192</v>
      </c>
      <c r="C62" s="127" t="s">
        <v>169</v>
      </c>
      <c r="D62" s="119"/>
      <c r="E62" s="119"/>
      <c r="F62" s="138"/>
      <c r="G62" s="127">
        <f t="shared" si="0"/>
        <v>189.5</v>
      </c>
      <c r="H62" s="127">
        <v>870.3</v>
      </c>
      <c r="I62" s="120"/>
      <c r="J62" s="127">
        <v>2.13</v>
      </c>
      <c r="K62" s="119"/>
      <c r="L62" s="127">
        <v>15</v>
      </c>
    </row>
    <row r="63" spans="1:12" x14ac:dyDescent="0.25">
      <c r="A63" s="127">
        <v>192</v>
      </c>
      <c r="B63" s="127">
        <v>197</v>
      </c>
      <c r="C63" s="127" t="s">
        <v>170</v>
      </c>
      <c r="D63" s="119"/>
      <c r="E63" s="119"/>
      <c r="F63" s="138"/>
      <c r="G63" s="127">
        <f t="shared" si="0"/>
        <v>194.5</v>
      </c>
      <c r="H63" s="127">
        <v>868</v>
      </c>
      <c r="I63" s="120"/>
      <c r="J63" s="127">
        <v>2.63</v>
      </c>
      <c r="K63" s="119"/>
      <c r="L63" s="127">
        <v>15</v>
      </c>
    </row>
    <row r="64" spans="1:12" x14ac:dyDescent="0.25">
      <c r="A64" s="127">
        <v>197</v>
      </c>
      <c r="B64" s="127">
        <v>202</v>
      </c>
      <c r="C64" s="127" t="s">
        <v>171</v>
      </c>
      <c r="D64" s="119"/>
      <c r="E64" s="119"/>
      <c r="F64" s="138"/>
      <c r="G64" s="127">
        <f t="shared" si="0"/>
        <v>199.5</v>
      </c>
      <c r="H64" s="127">
        <v>875.2</v>
      </c>
      <c r="I64" s="120"/>
      <c r="J64" s="127">
        <v>3.12</v>
      </c>
      <c r="K64" s="119"/>
      <c r="L64" s="127">
        <v>15</v>
      </c>
    </row>
    <row r="65" spans="1:12" x14ac:dyDescent="0.25">
      <c r="A65" s="127">
        <v>202</v>
      </c>
      <c r="B65" s="127">
        <v>207</v>
      </c>
      <c r="C65" s="127" t="s">
        <v>172</v>
      </c>
      <c r="D65" s="119"/>
      <c r="E65" s="119"/>
      <c r="F65" s="138"/>
      <c r="G65" s="127">
        <f t="shared" si="0"/>
        <v>204.5</v>
      </c>
      <c r="H65" s="127">
        <v>892.9</v>
      </c>
      <c r="I65" s="120"/>
      <c r="J65" s="127">
        <v>2.0699999999999998</v>
      </c>
      <c r="K65" s="119"/>
      <c r="L65" s="127">
        <v>15</v>
      </c>
    </row>
    <row r="66" spans="1:12" x14ac:dyDescent="0.25">
      <c r="A66" s="127">
        <v>207</v>
      </c>
      <c r="B66" s="127">
        <v>212</v>
      </c>
      <c r="C66" s="127" t="s">
        <v>173</v>
      </c>
      <c r="D66" s="119"/>
      <c r="E66" s="119"/>
      <c r="F66" s="138"/>
      <c r="G66" s="127">
        <f t="shared" si="0"/>
        <v>209.5</v>
      </c>
      <c r="H66" s="127">
        <v>901.6</v>
      </c>
      <c r="I66" s="120"/>
      <c r="J66" s="127">
        <v>2.2200000000000002</v>
      </c>
      <c r="K66" s="119"/>
      <c r="L66" s="127">
        <v>15</v>
      </c>
    </row>
    <row r="67" spans="1:12" x14ac:dyDescent="0.25">
      <c r="A67" s="127">
        <v>212</v>
      </c>
      <c r="B67" s="127">
        <v>217</v>
      </c>
      <c r="C67" s="127" t="s">
        <v>174</v>
      </c>
      <c r="D67" s="119"/>
      <c r="E67" s="119"/>
      <c r="F67" s="138"/>
      <c r="G67" s="127">
        <f t="shared" si="0"/>
        <v>214.5</v>
      </c>
      <c r="H67" s="127">
        <v>895.3</v>
      </c>
      <c r="I67" s="120"/>
      <c r="J67" s="127">
        <v>2.7</v>
      </c>
      <c r="K67" s="119"/>
      <c r="L67" s="127">
        <v>15</v>
      </c>
    </row>
    <row r="68" spans="1:12" x14ac:dyDescent="0.25">
      <c r="A68" s="127">
        <v>217</v>
      </c>
      <c r="B68" s="127">
        <v>222</v>
      </c>
      <c r="C68" s="127" t="s">
        <v>175</v>
      </c>
      <c r="D68" s="119"/>
      <c r="E68" s="119"/>
      <c r="F68" s="138"/>
      <c r="G68" s="127">
        <f t="shared" si="0"/>
        <v>219.5</v>
      </c>
      <c r="H68" s="127">
        <v>860.1</v>
      </c>
      <c r="I68" s="120"/>
      <c r="J68" s="127">
        <v>2.4</v>
      </c>
      <c r="K68" s="119"/>
      <c r="L68" s="127">
        <v>15</v>
      </c>
    </row>
    <row r="69" spans="1:12" x14ac:dyDescent="0.25">
      <c r="A69" s="127">
        <v>222</v>
      </c>
      <c r="B69" s="127">
        <v>227</v>
      </c>
      <c r="C69" s="127" t="s">
        <v>176</v>
      </c>
      <c r="D69" s="119"/>
      <c r="E69" s="119"/>
      <c r="F69" s="138"/>
      <c r="G69" s="127">
        <f t="shared" si="0"/>
        <v>224.5</v>
      </c>
      <c r="H69" s="127">
        <v>867.2</v>
      </c>
      <c r="I69" s="120"/>
      <c r="J69" s="127">
        <v>2.02</v>
      </c>
      <c r="K69" s="119"/>
      <c r="L69" s="127">
        <v>15</v>
      </c>
    </row>
    <row r="70" spans="1:12" x14ac:dyDescent="0.25">
      <c r="A70" s="127">
        <v>227</v>
      </c>
      <c r="B70" s="127">
        <v>232</v>
      </c>
      <c r="C70" s="127" t="s">
        <v>177</v>
      </c>
      <c r="D70" s="119"/>
      <c r="E70" s="119"/>
      <c r="F70" s="138"/>
      <c r="G70" s="127">
        <f t="shared" si="0"/>
        <v>229.5</v>
      </c>
      <c r="H70" s="127">
        <v>869.6</v>
      </c>
      <c r="I70" s="120"/>
      <c r="J70" s="127">
        <v>1.93</v>
      </c>
      <c r="K70" s="119"/>
      <c r="L70" s="127">
        <v>15</v>
      </c>
    </row>
    <row r="71" spans="1:12" x14ac:dyDescent="0.25">
      <c r="A71" s="127">
        <v>232</v>
      </c>
      <c r="B71" s="127">
        <v>237</v>
      </c>
      <c r="C71" s="127" t="s">
        <v>178</v>
      </c>
      <c r="D71" s="119"/>
      <c r="E71" s="119"/>
      <c r="F71" s="138"/>
      <c r="G71" s="127">
        <f t="shared" si="0"/>
        <v>234.5</v>
      </c>
      <c r="H71" s="127">
        <v>877.7</v>
      </c>
      <c r="I71" s="120"/>
      <c r="J71" s="127">
        <v>2</v>
      </c>
      <c r="K71" s="119"/>
      <c r="L71" s="127">
        <v>15</v>
      </c>
    </row>
    <row r="72" spans="1:12" x14ac:dyDescent="0.25">
      <c r="A72" s="127">
        <v>237</v>
      </c>
      <c r="B72" s="127">
        <v>242</v>
      </c>
      <c r="C72" s="127" t="s">
        <v>179</v>
      </c>
      <c r="D72" s="119"/>
      <c r="E72" s="119"/>
      <c r="F72" s="138"/>
      <c r="G72" s="127">
        <f t="shared" si="0"/>
        <v>239.5</v>
      </c>
      <c r="H72" s="127">
        <v>875.2</v>
      </c>
      <c r="I72" s="120"/>
      <c r="J72" s="127">
        <v>2.13</v>
      </c>
      <c r="K72" s="119"/>
      <c r="L72" s="127">
        <v>15</v>
      </c>
    </row>
    <row r="73" spans="1:12" x14ac:dyDescent="0.25">
      <c r="A73" s="127">
        <v>242</v>
      </c>
      <c r="B73" s="127">
        <v>247</v>
      </c>
      <c r="C73" s="127" t="s">
        <v>180</v>
      </c>
      <c r="D73" s="119"/>
      <c r="E73" s="119"/>
      <c r="F73" s="138"/>
      <c r="G73" s="127">
        <f t="shared" si="0"/>
        <v>244.5</v>
      </c>
      <c r="H73" s="127">
        <v>883</v>
      </c>
      <c r="I73" s="120"/>
      <c r="J73" s="127">
        <v>2.6</v>
      </c>
      <c r="K73" s="119"/>
      <c r="L73" s="127">
        <v>15</v>
      </c>
    </row>
    <row r="74" spans="1:12" x14ac:dyDescent="0.25">
      <c r="A74" s="127">
        <v>247</v>
      </c>
      <c r="B74" s="127">
        <v>252</v>
      </c>
      <c r="C74" s="127" t="s">
        <v>181</v>
      </c>
      <c r="D74" s="119"/>
      <c r="E74" s="119"/>
      <c r="F74" s="138"/>
      <c r="G74" s="127">
        <f t="shared" si="0"/>
        <v>249.5</v>
      </c>
      <c r="H74" s="127">
        <v>892.2</v>
      </c>
      <c r="I74" s="120"/>
      <c r="J74" s="127">
        <v>3.24</v>
      </c>
      <c r="K74" s="119"/>
      <c r="L74" s="127">
        <v>15</v>
      </c>
    </row>
    <row r="75" spans="1:12" x14ac:dyDescent="0.25">
      <c r="A75" s="127">
        <v>252</v>
      </c>
      <c r="B75" s="127">
        <v>257</v>
      </c>
      <c r="C75" s="127" t="s">
        <v>182</v>
      </c>
      <c r="D75" s="119"/>
      <c r="E75" s="119"/>
      <c r="F75" s="138"/>
      <c r="G75" s="127">
        <f t="shared" si="0"/>
        <v>254.5</v>
      </c>
      <c r="H75" s="127">
        <v>899.8</v>
      </c>
      <c r="I75" s="126"/>
      <c r="J75" s="127">
        <v>3.2</v>
      </c>
      <c r="K75" s="119"/>
      <c r="L75" s="127">
        <v>15</v>
      </c>
    </row>
    <row r="76" spans="1:12" x14ac:dyDescent="0.25">
      <c r="A76" s="127">
        <v>257</v>
      </c>
      <c r="B76" s="127">
        <v>262</v>
      </c>
      <c r="C76" s="127" t="s">
        <v>183</v>
      </c>
      <c r="D76" s="119"/>
      <c r="E76" s="119"/>
      <c r="F76" s="138"/>
      <c r="G76" s="127">
        <f t="shared" si="0"/>
        <v>259.5</v>
      </c>
      <c r="H76" s="127">
        <v>881.3</v>
      </c>
      <c r="I76" s="120"/>
      <c r="J76" s="127">
        <v>3.52</v>
      </c>
      <c r="K76" s="119"/>
      <c r="L76" s="127">
        <v>15</v>
      </c>
    </row>
    <row r="77" spans="1:12" x14ac:dyDescent="0.25">
      <c r="A77" s="127">
        <v>262</v>
      </c>
      <c r="B77" s="127">
        <v>267</v>
      </c>
      <c r="C77" s="127" t="s">
        <v>184</v>
      </c>
      <c r="D77" s="119"/>
      <c r="E77" s="119"/>
      <c r="F77" s="138"/>
      <c r="G77" s="127">
        <f t="shared" si="0"/>
        <v>264.5</v>
      </c>
      <c r="H77" s="127">
        <v>890.8</v>
      </c>
      <c r="I77" s="126"/>
      <c r="J77" s="127">
        <v>3.34</v>
      </c>
      <c r="K77" s="119"/>
      <c r="L77" s="127">
        <v>15</v>
      </c>
    </row>
    <row r="78" spans="1:12" x14ac:dyDescent="0.25">
      <c r="A78" s="127">
        <v>267</v>
      </c>
      <c r="B78" s="127">
        <v>272</v>
      </c>
      <c r="C78" s="127" t="s">
        <v>185</v>
      </c>
      <c r="D78" s="119"/>
      <c r="E78" s="119"/>
      <c r="F78" s="138"/>
      <c r="G78" s="127">
        <f t="shared" si="0"/>
        <v>269.5</v>
      </c>
      <c r="H78" s="127">
        <v>889.3</v>
      </c>
      <c r="I78" s="126"/>
      <c r="J78" s="127">
        <v>3.08</v>
      </c>
      <c r="K78" s="119"/>
      <c r="L78" s="127">
        <v>15</v>
      </c>
    </row>
    <row r="79" spans="1:12" x14ac:dyDescent="0.25">
      <c r="A79" s="127">
        <v>272</v>
      </c>
      <c r="B79" s="127">
        <v>277</v>
      </c>
      <c r="C79" s="127" t="s">
        <v>191</v>
      </c>
      <c r="D79" s="119"/>
      <c r="E79" s="119"/>
      <c r="F79" s="138"/>
      <c r="G79" s="127">
        <f t="shared" si="0"/>
        <v>274.5</v>
      </c>
      <c r="H79" s="127">
        <v>895.6</v>
      </c>
      <c r="I79" s="120"/>
      <c r="J79" s="127">
        <v>2.88</v>
      </c>
      <c r="K79" s="119"/>
      <c r="L79" s="127">
        <v>15</v>
      </c>
    </row>
    <row r="80" spans="1:12" x14ac:dyDescent="0.25">
      <c r="A80" s="127">
        <v>277</v>
      </c>
      <c r="B80" s="127">
        <v>282</v>
      </c>
      <c r="C80" s="127" t="s">
        <v>192</v>
      </c>
      <c r="D80" s="119"/>
      <c r="E80" s="119"/>
      <c r="F80" s="138"/>
      <c r="G80" s="127">
        <f t="shared" si="0"/>
        <v>279.5</v>
      </c>
      <c r="H80" s="127">
        <v>898.3</v>
      </c>
      <c r="I80" s="120"/>
      <c r="J80" s="127">
        <v>2.95</v>
      </c>
      <c r="K80" s="119"/>
      <c r="L80" s="127">
        <v>15</v>
      </c>
    </row>
    <row r="81" spans="1:12" x14ac:dyDescent="0.25">
      <c r="A81" s="127">
        <v>282</v>
      </c>
      <c r="B81" s="127">
        <v>287</v>
      </c>
      <c r="C81" s="127" t="s">
        <v>84</v>
      </c>
      <c r="D81" s="119"/>
      <c r="E81" s="119"/>
      <c r="F81" s="138"/>
      <c r="G81" s="127">
        <f t="shared" si="0"/>
        <v>284.5</v>
      </c>
      <c r="H81" s="127">
        <v>911.1</v>
      </c>
      <c r="I81" s="120"/>
      <c r="J81" s="127">
        <v>3.37</v>
      </c>
      <c r="K81" s="119"/>
      <c r="L81" s="127">
        <v>15</v>
      </c>
    </row>
    <row r="82" spans="1:12" x14ac:dyDescent="0.25">
      <c r="A82" s="127">
        <v>287</v>
      </c>
      <c r="B82" s="127">
        <v>292</v>
      </c>
      <c r="C82" s="127" t="s">
        <v>85</v>
      </c>
      <c r="D82" s="119"/>
      <c r="E82" s="119"/>
      <c r="F82" s="138"/>
      <c r="G82" s="127">
        <f t="shared" si="0"/>
        <v>289.5</v>
      </c>
      <c r="H82" s="127">
        <v>911.7</v>
      </c>
      <c r="I82" s="120"/>
      <c r="J82" s="127">
        <v>3.21</v>
      </c>
      <c r="K82" s="119"/>
      <c r="L82" s="127">
        <v>15</v>
      </c>
    </row>
    <row r="83" spans="1:12" x14ac:dyDescent="0.25">
      <c r="A83" s="127">
        <v>292</v>
      </c>
      <c r="B83" s="127">
        <v>297</v>
      </c>
      <c r="C83" s="127" t="s">
        <v>86</v>
      </c>
      <c r="D83" s="119"/>
      <c r="E83" s="119"/>
      <c r="F83" s="138"/>
      <c r="G83" s="127">
        <f t="shared" si="0"/>
        <v>294.5</v>
      </c>
      <c r="H83" s="127">
        <v>912.2</v>
      </c>
      <c r="I83" s="120"/>
      <c r="J83" s="127">
        <v>3.81</v>
      </c>
      <c r="K83" s="119"/>
      <c r="L83" s="127">
        <v>15</v>
      </c>
    </row>
    <row r="84" spans="1:12" x14ac:dyDescent="0.25">
      <c r="A84" s="127">
        <v>297</v>
      </c>
      <c r="B84" s="127">
        <v>302</v>
      </c>
      <c r="C84" s="127" t="s">
        <v>87</v>
      </c>
      <c r="D84" s="119"/>
      <c r="E84" s="119"/>
      <c r="F84" s="119"/>
      <c r="G84" s="127">
        <f t="shared" si="0"/>
        <v>299.5</v>
      </c>
      <c r="H84" s="127">
        <v>913.7</v>
      </c>
      <c r="I84" s="120"/>
      <c r="J84" s="127">
        <v>4.8499999999999996</v>
      </c>
      <c r="K84" s="119"/>
      <c r="L84" s="127">
        <v>15</v>
      </c>
    </row>
    <row r="85" spans="1:12" x14ac:dyDescent="0.25">
      <c r="A85" s="127">
        <v>302</v>
      </c>
      <c r="B85" s="127">
        <v>307</v>
      </c>
      <c r="C85" s="127" t="s">
        <v>88</v>
      </c>
      <c r="D85" s="119"/>
      <c r="E85" s="119"/>
      <c r="F85" s="119"/>
      <c r="G85" s="127">
        <f t="shared" si="0"/>
        <v>304.5</v>
      </c>
      <c r="H85" s="127">
        <v>896.9</v>
      </c>
      <c r="I85" s="120"/>
      <c r="J85" s="127">
        <v>4.67</v>
      </c>
      <c r="K85" s="119"/>
      <c r="L85" s="127">
        <v>15</v>
      </c>
    </row>
    <row r="86" spans="1:12" x14ac:dyDescent="0.25">
      <c r="A86" s="127">
        <v>307</v>
      </c>
      <c r="B86" s="127">
        <v>312</v>
      </c>
      <c r="C86" s="127" t="s">
        <v>89</v>
      </c>
      <c r="D86" s="119"/>
      <c r="E86" s="119"/>
      <c r="F86" s="119"/>
      <c r="G86" s="127">
        <f t="shared" si="0"/>
        <v>309.5</v>
      </c>
      <c r="H86" s="127">
        <v>885</v>
      </c>
      <c r="I86" s="120"/>
      <c r="J86" s="127">
        <v>4.16</v>
      </c>
      <c r="K86" s="119"/>
      <c r="L86" s="127">
        <v>15</v>
      </c>
    </row>
    <row r="87" spans="1:12" x14ac:dyDescent="0.25">
      <c r="A87" s="127">
        <v>312</v>
      </c>
      <c r="B87" s="127">
        <v>317</v>
      </c>
      <c r="C87" s="127" t="s">
        <v>90</v>
      </c>
      <c r="D87" s="119"/>
      <c r="E87" s="119"/>
      <c r="F87" s="119"/>
      <c r="G87" s="127">
        <f t="shared" si="0"/>
        <v>314.5</v>
      </c>
      <c r="H87" s="127">
        <v>900</v>
      </c>
      <c r="I87" s="120"/>
      <c r="J87" s="127">
        <v>2.14</v>
      </c>
      <c r="K87" s="119"/>
      <c r="L87" s="127">
        <v>15</v>
      </c>
    </row>
    <row r="88" spans="1:12" x14ac:dyDescent="0.25">
      <c r="A88" s="127">
        <v>317</v>
      </c>
      <c r="B88" s="127">
        <v>322</v>
      </c>
      <c r="C88" s="127" t="s">
        <v>91</v>
      </c>
      <c r="D88" s="119"/>
      <c r="E88" s="119"/>
      <c r="F88" s="119"/>
      <c r="G88" s="127">
        <f t="shared" ref="G88:G136" si="1">AVERAGE(A88:B88)</f>
        <v>319.5</v>
      </c>
      <c r="H88" s="127">
        <v>876.5</v>
      </c>
      <c r="I88" s="120"/>
      <c r="J88" s="127">
        <v>2.75</v>
      </c>
      <c r="K88" s="119"/>
      <c r="L88" s="127">
        <v>15</v>
      </c>
    </row>
    <row r="89" spans="1:12" x14ac:dyDescent="0.25">
      <c r="A89" s="127">
        <v>322</v>
      </c>
      <c r="B89" s="127">
        <v>327</v>
      </c>
      <c r="C89" s="127" t="s">
        <v>92</v>
      </c>
      <c r="D89" s="119"/>
      <c r="E89" s="119"/>
      <c r="F89" s="119"/>
      <c r="G89" s="127">
        <f t="shared" si="1"/>
        <v>324.5</v>
      </c>
      <c r="H89" s="127">
        <v>862.4</v>
      </c>
      <c r="I89" s="120"/>
      <c r="J89" s="127">
        <v>3.87</v>
      </c>
      <c r="K89" s="119"/>
      <c r="L89" s="127">
        <v>15</v>
      </c>
    </row>
    <row r="90" spans="1:12" x14ac:dyDescent="0.25">
      <c r="A90" s="127">
        <v>327</v>
      </c>
      <c r="B90" s="127">
        <v>332</v>
      </c>
      <c r="C90" s="127" t="s">
        <v>93</v>
      </c>
      <c r="D90" s="119"/>
      <c r="E90" s="119"/>
      <c r="F90" s="119"/>
      <c r="G90" s="127">
        <f t="shared" si="1"/>
        <v>329.5</v>
      </c>
      <c r="H90" s="127">
        <v>877.2</v>
      </c>
      <c r="I90" s="120"/>
      <c r="J90" s="127">
        <v>3.76</v>
      </c>
      <c r="K90" s="119"/>
      <c r="L90" s="127">
        <v>15</v>
      </c>
    </row>
    <row r="91" spans="1:12" x14ac:dyDescent="0.25">
      <c r="A91" s="127">
        <v>332</v>
      </c>
      <c r="B91" s="127">
        <v>337</v>
      </c>
      <c r="C91" s="127" t="s">
        <v>94</v>
      </c>
      <c r="D91" s="119"/>
      <c r="E91" s="119"/>
      <c r="F91" s="119"/>
      <c r="G91" s="127">
        <f t="shared" si="1"/>
        <v>334.5</v>
      </c>
      <c r="H91" s="127">
        <v>869.7</v>
      </c>
      <c r="I91" s="120"/>
      <c r="J91" s="127">
        <v>1.98</v>
      </c>
      <c r="K91" s="119"/>
      <c r="L91" s="127">
        <v>15</v>
      </c>
    </row>
    <row r="92" spans="1:12" x14ac:dyDescent="0.25">
      <c r="A92" s="127">
        <v>337</v>
      </c>
      <c r="B92" s="127">
        <v>342</v>
      </c>
      <c r="C92" s="127" t="s">
        <v>95</v>
      </c>
      <c r="D92" s="119"/>
      <c r="E92" s="119"/>
      <c r="F92" s="119"/>
      <c r="G92" s="127">
        <f t="shared" si="1"/>
        <v>339.5</v>
      </c>
      <c r="H92" s="127">
        <v>908.9</v>
      </c>
      <c r="I92" s="120"/>
      <c r="J92" s="127">
        <v>0.87</v>
      </c>
      <c r="K92" s="119"/>
      <c r="L92" s="127">
        <v>15</v>
      </c>
    </row>
    <row r="93" spans="1:12" x14ac:dyDescent="0.25">
      <c r="A93" s="127">
        <v>342</v>
      </c>
      <c r="B93" s="127">
        <v>347</v>
      </c>
      <c r="C93" s="127" t="s">
        <v>96</v>
      </c>
      <c r="D93" s="119"/>
      <c r="E93" s="119"/>
      <c r="F93" s="119"/>
      <c r="G93" s="127">
        <f t="shared" si="1"/>
        <v>344.5</v>
      </c>
      <c r="H93" s="127">
        <v>914.2</v>
      </c>
      <c r="I93" s="120"/>
      <c r="J93" s="127">
        <v>0.17</v>
      </c>
      <c r="K93" s="119"/>
      <c r="L93" s="127">
        <v>15</v>
      </c>
    </row>
    <row r="94" spans="1:12" x14ac:dyDescent="0.25">
      <c r="A94" s="127">
        <v>347</v>
      </c>
      <c r="B94" s="127">
        <v>352</v>
      </c>
      <c r="C94" s="127" t="s">
        <v>97</v>
      </c>
      <c r="D94" s="119"/>
      <c r="E94" s="119"/>
      <c r="F94" s="119"/>
      <c r="G94" s="127">
        <f t="shared" si="1"/>
        <v>349.5</v>
      </c>
      <c r="H94" s="127">
        <v>914.8</v>
      </c>
      <c r="I94" s="120"/>
      <c r="J94" s="127">
        <v>0.16</v>
      </c>
      <c r="K94" s="119"/>
      <c r="L94" s="127">
        <v>15</v>
      </c>
    </row>
    <row r="95" spans="1:12" x14ac:dyDescent="0.25">
      <c r="A95" s="127">
        <v>352</v>
      </c>
      <c r="B95" s="127">
        <v>357</v>
      </c>
      <c r="C95" s="127" t="s">
        <v>98</v>
      </c>
      <c r="D95" s="119"/>
      <c r="E95" s="119"/>
      <c r="F95" s="119"/>
      <c r="G95" s="127">
        <f t="shared" si="1"/>
        <v>354.5</v>
      </c>
      <c r="H95" s="127">
        <v>917.1</v>
      </c>
      <c r="I95" s="120"/>
      <c r="J95" s="127">
        <v>0.37</v>
      </c>
      <c r="K95" s="119"/>
      <c r="L95" s="127">
        <v>15</v>
      </c>
    </row>
    <row r="96" spans="1:12" x14ac:dyDescent="0.25">
      <c r="A96" s="127">
        <v>357</v>
      </c>
      <c r="B96" s="127">
        <v>362</v>
      </c>
      <c r="C96" s="127" t="s">
        <v>99</v>
      </c>
      <c r="D96" s="119"/>
      <c r="E96" s="119"/>
      <c r="F96" s="119"/>
      <c r="G96" s="127">
        <f t="shared" si="1"/>
        <v>359.5</v>
      </c>
      <c r="H96" s="127">
        <v>904.7</v>
      </c>
      <c r="I96" s="120"/>
      <c r="J96" s="127">
        <v>0.48</v>
      </c>
      <c r="K96" s="119"/>
      <c r="L96" s="127">
        <v>15</v>
      </c>
    </row>
    <row r="97" spans="1:12" x14ac:dyDescent="0.25">
      <c r="A97" s="127">
        <v>362</v>
      </c>
      <c r="B97" s="127">
        <v>367</v>
      </c>
      <c r="C97" s="127" t="s">
        <v>100</v>
      </c>
      <c r="D97" s="119"/>
      <c r="E97" s="119"/>
      <c r="F97" s="119"/>
      <c r="G97" s="127">
        <f t="shared" si="1"/>
        <v>364.5</v>
      </c>
      <c r="H97" s="127">
        <v>912.8</v>
      </c>
      <c r="I97" s="120"/>
      <c r="J97" s="127">
        <v>3.73</v>
      </c>
      <c r="K97" s="119"/>
      <c r="L97" s="127">
        <v>15</v>
      </c>
    </row>
    <row r="98" spans="1:12" x14ac:dyDescent="0.25">
      <c r="A98" s="127">
        <v>367</v>
      </c>
      <c r="B98" s="127">
        <v>372</v>
      </c>
      <c r="C98" s="127" t="s">
        <v>101</v>
      </c>
      <c r="D98" s="119"/>
      <c r="E98" s="119"/>
      <c r="F98" s="119"/>
      <c r="G98" s="127">
        <f t="shared" si="1"/>
        <v>369.5</v>
      </c>
      <c r="H98" s="127">
        <v>914.9</v>
      </c>
      <c r="I98" s="120"/>
      <c r="J98" s="127">
        <v>4.6500000000000004</v>
      </c>
      <c r="K98" s="119"/>
      <c r="L98" s="127">
        <v>15</v>
      </c>
    </row>
    <row r="99" spans="1:12" x14ac:dyDescent="0.25">
      <c r="A99" s="127">
        <v>372</v>
      </c>
      <c r="B99" s="127">
        <v>375</v>
      </c>
      <c r="C99" s="127" t="s">
        <v>102</v>
      </c>
      <c r="D99" s="119"/>
      <c r="E99" s="119"/>
      <c r="F99" s="119"/>
      <c r="G99" s="127">
        <f t="shared" si="1"/>
        <v>373.5</v>
      </c>
      <c r="H99" s="127">
        <v>914.9</v>
      </c>
      <c r="I99" s="120"/>
      <c r="J99" s="127">
        <v>4.0999999999999996</v>
      </c>
      <c r="K99" s="119"/>
      <c r="L99" s="127">
        <v>15</v>
      </c>
    </row>
    <row r="100" spans="1:12" x14ac:dyDescent="0.25">
      <c r="A100" s="127">
        <v>375</v>
      </c>
      <c r="B100" s="127">
        <v>380</v>
      </c>
      <c r="C100" s="127" t="s">
        <v>103</v>
      </c>
      <c r="D100" s="119"/>
      <c r="E100" s="119"/>
      <c r="F100" s="119"/>
      <c r="G100" s="127">
        <f t="shared" si="1"/>
        <v>377.5</v>
      </c>
      <c r="H100" s="127">
        <v>914.3</v>
      </c>
      <c r="I100" s="120"/>
      <c r="J100" s="127">
        <v>5.0999999999999996</v>
      </c>
      <c r="K100" s="119"/>
      <c r="L100" s="127">
        <v>15</v>
      </c>
    </row>
    <row r="101" spans="1:12" x14ac:dyDescent="0.25">
      <c r="A101" s="127">
        <v>380</v>
      </c>
      <c r="B101" s="127">
        <v>385</v>
      </c>
      <c r="C101" s="127" t="s">
        <v>104</v>
      </c>
      <c r="D101" s="119"/>
      <c r="E101" s="119"/>
      <c r="F101" s="119"/>
      <c r="G101" s="127">
        <f t="shared" si="1"/>
        <v>382.5</v>
      </c>
      <c r="H101" s="127">
        <v>873.1</v>
      </c>
      <c r="I101" s="120"/>
      <c r="J101" s="127">
        <v>5.69</v>
      </c>
      <c r="K101" s="119"/>
      <c r="L101" s="127">
        <v>15</v>
      </c>
    </row>
    <row r="102" spans="1:12" x14ac:dyDescent="0.25">
      <c r="A102" s="127">
        <v>385</v>
      </c>
      <c r="B102" s="127">
        <v>390</v>
      </c>
      <c r="C102" s="127" t="s">
        <v>105</v>
      </c>
      <c r="D102" s="119"/>
      <c r="E102" s="119"/>
      <c r="F102" s="119"/>
      <c r="G102" s="127">
        <f t="shared" si="1"/>
        <v>387.5</v>
      </c>
      <c r="H102" s="127">
        <v>856.5</v>
      </c>
      <c r="I102" s="120"/>
      <c r="J102" s="127">
        <v>2.02</v>
      </c>
      <c r="K102" s="119"/>
      <c r="L102" s="127">
        <v>15</v>
      </c>
    </row>
    <row r="103" spans="1:12" x14ac:dyDescent="0.25">
      <c r="A103" s="127">
        <v>390</v>
      </c>
      <c r="B103" s="127">
        <v>395</v>
      </c>
      <c r="C103" s="127" t="s">
        <v>106</v>
      </c>
      <c r="D103" s="119"/>
      <c r="E103" s="119"/>
      <c r="F103" s="119"/>
      <c r="G103" s="127">
        <f t="shared" si="1"/>
        <v>392.5</v>
      </c>
      <c r="H103" s="127">
        <v>876.4</v>
      </c>
      <c r="I103" s="120"/>
      <c r="J103" s="127">
        <v>6.8</v>
      </c>
      <c r="K103" s="119"/>
      <c r="L103" s="127">
        <v>15</v>
      </c>
    </row>
    <row r="104" spans="1:12" x14ac:dyDescent="0.25">
      <c r="A104" s="127">
        <v>395</v>
      </c>
      <c r="B104" s="127">
        <v>400</v>
      </c>
      <c r="C104" s="127" t="s">
        <v>107</v>
      </c>
      <c r="D104" s="119"/>
      <c r="E104" s="119"/>
      <c r="F104" s="119"/>
      <c r="G104" s="127">
        <f t="shared" si="1"/>
        <v>397.5</v>
      </c>
      <c r="H104" s="127">
        <v>861.7</v>
      </c>
      <c r="I104" s="120"/>
      <c r="J104" s="127">
        <v>4.58</v>
      </c>
      <c r="K104" s="119"/>
      <c r="L104" s="127">
        <v>15</v>
      </c>
    </row>
    <row r="105" spans="1:12" x14ac:dyDescent="0.25">
      <c r="A105" s="127">
        <v>400</v>
      </c>
      <c r="B105" s="127">
        <v>405</v>
      </c>
      <c r="C105" s="127" t="s">
        <v>108</v>
      </c>
      <c r="D105" s="119"/>
      <c r="E105" s="119"/>
      <c r="F105" s="119"/>
      <c r="G105" s="127">
        <f t="shared" si="1"/>
        <v>402.5</v>
      </c>
      <c r="H105" s="127">
        <v>906.3</v>
      </c>
      <c r="I105" s="120"/>
      <c r="J105" s="127">
        <v>3.04</v>
      </c>
      <c r="K105" s="119"/>
      <c r="L105" s="127">
        <v>15</v>
      </c>
    </row>
    <row r="106" spans="1:12" x14ac:dyDescent="0.25">
      <c r="A106" s="127">
        <v>405</v>
      </c>
      <c r="B106" s="127">
        <v>410</v>
      </c>
      <c r="C106" s="127" t="s">
        <v>109</v>
      </c>
      <c r="D106" s="119"/>
      <c r="E106" s="119"/>
      <c r="F106" s="119"/>
      <c r="G106" s="127">
        <f t="shared" si="1"/>
        <v>407.5</v>
      </c>
      <c r="H106" s="127">
        <v>903.3</v>
      </c>
      <c r="I106" s="120"/>
      <c r="J106" s="127">
        <v>3.69</v>
      </c>
      <c r="K106" s="119"/>
      <c r="L106" s="127">
        <v>15</v>
      </c>
    </row>
    <row r="107" spans="1:12" x14ac:dyDescent="0.25">
      <c r="A107" s="127">
        <v>410</v>
      </c>
      <c r="B107" s="127">
        <v>415</v>
      </c>
      <c r="C107" s="127" t="s">
        <v>110</v>
      </c>
      <c r="D107" s="119"/>
      <c r="E107" s="119"/>
      <c r="F107" s="119"/>
      <c r="G107" s="127">
        <f t="shared" si="1"/>
        <v>412.5</v>
      </c>
      <c r="H107" s="127">
        <v>912.1</v>
      </c>
      <c r="I107" s="120"/>
      <c r="J107" s="127">
        <v>2.5499999999999998</v>
      </c>
      <c r="K107" s="119"/>
      <c r="L107" s="127">
        <v>15</v>
      </c>
    </row>
    <row r="108" spans="1:12" x14ac:dyDescent="0.25">
      <c r="A108" s="127">
        <v>415</v>
      </c>
      <c r="B108" s="127">
        <v>420</v>
      </c>
      <c r="C108" s="127" t="s">
        <v>111</v>
      </c>
      <c r="D108" s="119"/>
      <c r="E108" s="119"/>
      <c r="F108" s="119"/>
      <c r="G108" s="127">
        <f t="shared" si="1"/>
        <v>417.5</v>
      </c>
      <c r="H108" s="127">
        <v>914.3</v>
      </c>
      <c r="I108" s="120"/>
      <c r="J108" s="127">
        <v>1.05</v>
      </c>
      <c r="K108" s="119"/>
      <c r="L108" s="127">
        <v>15</v>
      </c>
    </row>
    <row r="109" spans="1:12" x14ac:dyDescent="0.25">
      <c r="A109" s="127">
        <v>420</v>
      </c>
      <c r="B109" s="127">
        <v>425</v>
      </c>
      <c r="C109" s="127" t="s">
        <v>112</v>
      </c>
      <c r="D109" s="119"/>
      <c r="E109" s="119"/>
      <c r="F109" s="119"/>
      <c r="G109" s="127">
        <f t="shared" si="1"/>
        <v>422.5</v>
      </c>
      <c r="H109" s="127">
        <v>897.2</v>
      </c>
      <c r="I109" s="120"/>
      <c r="J109" s="127">
        <v>1.9</v>
      </c>
      <c r="K109" s="119"/>
      <c r="L109" s="127">
        <v>15</v>
      </c>
    </row>
    <row r="110" spans="1:12" x14ac:dyDescent="0.25">
      <c r="A110" s="127">
        <v>425</v>
      </c>
      <c r="B110" s="127">
        <v>430</v>
      </c>
      <c r="C110" s="127" t="s">
        <v>113</v>
      </c>
      <c r="D110" s="119"/>
      <c r="E110" s="119"/>
      <c r="F110" s="119"/>
      <c r="G110" s="127">
        <f t="shared" si="1"/>
        <v>427.5</v>
      </c>
      <c r="H110" s="127">
        <v>905.2</v>
      </c>
      <c r="I110" s="120"/>
      <c r="J110" s="127">
        <v>1.65</v>
      </c>
      <c r="K110" s="119"/>
      <c r="L110" s="127">
        <v>15</v>
      </c>
    </row>
    <row r="111" spans="1:12" x14ac:dyDescent="0.25">
      <c r="A111" s="127">
        <v>430</v>
      </c>
      <c r="B111" s="127">
        <v>435</v>
      </c>
      <c r="C111" s="127" t="s">
        <v>114</v>
      </c>
      <c r="D111" s="119"/>
      <c r="E111" s="119"/>
      <c r="F111" s="119"/>
      <c r="G111" s="127">
        <f t="shared" si="1"/>
        <v>432.5</v>
      </c>
      <c r="H111" s="127">
        <v>909.2</v>
      </c>
      <c r="I111" s="120"/>
      <c r="J111" s="127">
        <v>1.08</v>
      </c>
      <c r="K111" s="119"/>
      <c r="L111" s="127">
        <v>15</v>
      </c>
    </row>
    <row r="112" spans="1:12" x14ac:dyDescent="0.25">
      <c r="A112" s="127">
        <v>435</v>
      </c>
      <c r="B112" s="127">
        <v>440</v>
      </c>
      <c r="C112" s="127" t="s">
        <v>115</v>
      </c>
      <c r="D112" s="119"/>
      <c r="E112" s="119"/>
      <c r="F112" s="119"/>
      <c r="G112" s="127">
        <f t="shared" si="1"/>
        <v>437.5</v>
      </c>
      <c r="H112" s="127">
        <v>912.4</v>
      </c>
      <c r="I112" s="120"/>
      <c r="J112" s="127">
        <v>1.1499999999999999</v>
      </c>
      <c r="K112" s="119"/>
      <c r="L112" s="127">
        <v>15</v>
      </c>
    </row>
    <row r="113" spans="1:12" x14ac:dyDescent="0.25">
      <c r="A113" s="127">
        <v>440</v>
      </c>
      <c r="B113" s="127">
        <v>445</v>
      </c>
      <c r="C113" s="127" t="s">
        <v>116</v>
      </c>
      <c r="D113" s="119"/>
      <c r="E113" s="119"/>
      <c r="F113" s="119"/>
      <c r="G113" s="127">
        <f t="shared" si="1"/>
        <v>442.5</v>
      </c>
      <c r="H113" s="127">
        <v>910.3</v>
      </c>
      <c r="I113" s="120"/>
      <c r="J113" s="127">
        <v>1.95</v>
      </c>
      <c r="K113" s="119"/>
      <c r="L113" s="127">
        <v>15</v>
      </c>
    </row>
    <row r="114" spans="1:12" x14ac:dyDescent="0.25">
      <c r="A114" s="127">
        <v>445</v>
      </c>
      <c r="B114" s="127">
        <v>450</v>
      </c>
      <c r="C114" s="127" t="s">
        <v>117</v>
      </c>
      <c r="D114" s="119"/>
      <c r="E114" s="119"/>
      <c r="F114" s="119"/>
      <c r="G114" s="127">
        <f t="shared" si="1"/>
        <v>447.5</v>
      </c>
      <c r="H114" s="127">
        <v>908.6</v>
      </c>
      <c r="I114" s="120"/>
      <c r="J114" s="127">
        <v>1.47</v>
      </c>
      <c r="K114" s="119"/>
      <c r="L114" s="127">
        <v>15</v>
      </c>
    </row>
    <row r="115" spans="1:12" x14ac:dyDescent="0.25">
      <c r="A115" s="127">
        <v>450</v>
      </c>
      <c r="B115" s="127">
        <v>455</v>
      </c>
      <c r="C115" s="127" t="s">
        <v>118</v>
      </c>
      <c r="D115" s="119"/>
      <c r="E115" s="119"/>
      <c r="F115" s="119"/>
      <c r="G115" s="127">
        <f t="shared" si="1"/>
        <v>452.5</v>
      </c>
      <c r="H115" s="127">
        <v>888.3</v>
      </c>
      <c r="I115" s="120"/>
      <c r="J115" s="127">
        <v>2.0299999999999998</v>
      </c>
      <c r="K115" s="119"/>
      <c r="L115" s="127">
        <v>15</v>
      </c>
    </row>
    <row r="116" spans="1:12" x14ac:dyDescent="0.25">
      <c r="A116" s="127">
        <v>455</v>
      </c>
      <c r="B116" s="127">
        <v>460</v>
      </c>
      <c r="C116" s="127" t="s">
        <v>119</v>
      </c>
      <c r="D116" s="119"/>
      <c r="E116" s="119"/>
      <c r="F116" s="119"/>
      <c r="G116" s="127">
        <f t="shared" si="1"/>
        <v>457.5</v>
      </c>
      <c r="H116" s="127">
        <v>910.5</v>
      </c>
      <c r="I116" s="120"/>
      <c r="J116" s="127">
        <v>1.1200000000000001</v>
      </c>
      <c r="K116" s="119"/>
      <c r="L116" s="127">
        <v>15</v>
      </c>
    </row>
    <row r="117" spans="1:12" x14ac:dyDescent="0.25">
      <c r="A117" s="127">
        <v>460</v>
      </c>
      <c r="B117" s="127">
        <v>465</v>
      </c>
      <c r="C117" s="127" t="s">
        <v>120</v>
      </c>
      <c r="D117" s="119"/>
      <c r="E117" s="119"/>
      <c r="F117" s="119"/>
      <c r="G117" s="127">
        <f t="shared" si="1"/>
        <v>462.5</v>
      </c>
      <c r="H117" s="127">
        <v>910.1</v>
      </c>
      <c r="I117" s="120"/>
      <c r="J117" s="127">
        <v>1.59</v>
      </c>
      <c r="K117" s="119"/>
      <c r="L117" s="127">
        <v>15</v>
      </c>
    </row>
    <row r="118" spans="1:12" x14ac:dyDescent="0.25">
      <c r="A118" s="127">
        <v>465</v>
      </c>
      <c r="B118" s="127">
        <v>470</v>
      </c>
      <c r="C118" s="127" t="s">
        <v>121</v>
      </c>
      <c r="D118" s="119"/>
      <c r="E118" s="119"/>
      <c r="F118" s="119"/>
      <c r="G118" s="127">
        <f t="shared" si="1"/>
        <v>467.5</v>
      </c>
      <c r="H118" s="127">
        <v>913.5</v>
      </c>
      <c r="I118" s="120"/>
      <c r="J118" s="127">
        <v>0.95</v>
      </c>
      <c r="K118" s="119"/>
      <c r="L118" s="127">
        <v>15</v>
      </c>
    </row>
    <row r="119" spans="1:12" x14ac:dyDescent="0.25">
      <c r="A119" s="127">
        <v>470</v>
      </c>
      <c r="B119" s="127">
        <v>475</v>
      </c>
      <c r="C119" s="127" t="s">
        <v>122</v>
      </c>
      <c r="D119" s="119"/>
      <c r="E119" s="119"/>
      <c r="F119" s="119"/>
      <c r="G119" s="127">
        <f t="shared" si="1"/>
        <v>472.5</v>
      </c>
      <c r="H119" s="127">
        <v>902.6</v>
      </c>
      <c r="I119" s="120"/>
      <c r="J119" s="127">
        <v>0.95</v>
      </c>
      <c r="K119" s="119"/>
      <c r="L119" s="127">
        <v>15</v>
      </c>
    </row>
    <row r="120" spans="1:12" x14ac:dyDescent="0.25">
      <c r="A120" s="127">
        <v>475</v>
      </c>
      <c r="B120" s="127">
        <v>480</v>
      </c>
      <c r="C120" s="127" t="s">
        <v>123</v>
      </c>
      <c r="D120" s="119"/>
      <c r="E120" s="119"/>
      <c r="F120" s="119"/>
      <c r="G120" s="127">
        <f t="shared" si="1"/>
        <v>477.5</v>
      </c>
      <c r="H120" s="127">
        <v>893.4</v>
      </c>
      <c r="I120" s="120"/>
      <c r="J120" s="127">
        <v>0.94</v>
      </c>
      <c r="K120" s="119"/>
      <c r="L120" s="127">
        <v>15</v>
      </c>
    </row>
    <row r="121" spans="1:12" x14ac:dyDescent="0.25">
      <c r="A121" s="127">
        <v>480</v>
      </c>
      <c r="B121" s="127">
        <v>485</v>
      </c>
      <c r="C121" s="127" t="s">
        <v>124</v>
      </c>
      <c r="D121" s="119"/>
      <c r="E121" s="119"/>
      <c r="F121" s="119"/>
      <c r="G121" s="127">
        <f t="shared" si="1"/>
        <v>482.5</v>
      </c>
      <c r="H121" s="127">
        <v>901.5</v>
      </c>
      <c r="I121" s="120"/>
      <c r="J121" s="127">
        <v>1.31</v>
      </c>
      <c r="K121" s="119"/>
      <c r="L121" s="127">
        <v>15</v>
      </c>
    </row>
    <row r="122" spans="1:12" x14ac:dyDescent="0.25">
      <c r="A122" s="127">
        <v>485</v>
      </c>
      <c r="B122" s="127">
        <v>490</v>
      </c>
      <c r="C122" s="127" t="s">
        <v>125</v>
      </c>
      <c r="D122" s="119"/>
      <c r="E122" s="119"/>
      <c r="F122" s="119"/>
      <c r="G122" s="127">
        <f t="shared" si="1"/>
        <v>487.5</v>
      </c>
      <c r="H122" s="127">
        <v>908.3</v>
      </c>
      <c r="I122" s="120"/>
      <c r="J122" s="127">
        <v>1.37</v>
      </c>
      <c r="K122" s="119"/>
      <c r="L122" s="127">
        <v>15</v>
      </c>
    </row>
    <row r="123" spans="1:12" x14ac:dyDescent="0.25">
      <c r="A123" s="127">
        <v>490</v>
      </c>
      <c r="B123" s="127">
        <v>495</v>
      </c>
      <c r="C123" s="127" t="s">
        <v>126</v>
      </c>
      <c r="D123" s="119"/>
      <c r="E123" s="119"/>
      <c r="F123" s="119"/>
      <c r="G123" s="127">
        <f t="shared" si="1"/>
        <v>492.5</v>
      </c>
      <c r="H123" s="127">
        <v>913.4</v>
      </c>
      <c r="I123" s="120"/>
      <c r="J123" s="127">
        <v>2.04</v>
      </c>
      <c r="K123" s="119"/>
      <c r="L123" s="127">
        <v>15</v>
      </c>
    </row>
    <row r="124" spans="1:12" x14ac:dyDescent="0.25">
      <c r="A124" s="127">
        <v>495</v>
      </c>
      <c r="B124" s="127">
        <v>500</v>
      </c>
      <c r="C124" s="127" t="s">
        <v>127</v>
      </c>
      <c r="D124" s="119"/>
      <c r="E124" s="119"/>
      <c r="F124" s="119"/>
      <c r="G124" s="127">
        <f t="shared" si="1"/>
        <v>497.5</v>
      </c>
      <c r="H124" s="127">
        <v>917.2</v>
      </c>
      <c r="I124" s="120"/>
      <c r="J124" s="127">
        <v>1</v>
      </c>
      <c r="K124" s="119"/>
      <c r="L124" s="127">
        <v>15</v>
      </c>
    </row>
    <row r="125" spans="1:12" x14ac:dyDescent="0.25">
      <c r="A125" s="127">
        <v>500</v>
      </c>
      <c r="B125" s="127">
        <v>505</v>
      </c>
      <c r="C125" s="127" t="s">
        <v>128</v>
      </c>
      <c r="D125" s="119"/>
      <c r="E125" s="119"/>
      <c r="F125" s="119"/>
      <c r="G125" s="127">
        <f t="shared" si="1"/>
        <v>502.5</v>
      </c>
      <c r="H125" s="127">
        <v>912.3</v>
      </c>
      <c r="I125" s="120"/>
      <c r="J125" s="127">
        <v>0.91</v>
      </c>
      <c r="K125" s="119"/>
      <c r="L125" s="127">
        <v>15</v>
      </c>
    </row>
    <row r="126" spans="1:12" x14ac:dyDescent="0.25">
      <c r="A126" s="127">
        <v>505</v>
      </c>
      <c r="B126" s="127">
        <v>510</v>
      </c>
      <c r="C126" s="127" t="s">
        <v>129</v>
      </c>
      <c r="D126" s="119"/>
      <c r="E126" s="119"/>
      <c r="F126" s="119"/>
      <c r="G126" s="127">
        <f t="shared" si="1"/>
        <v>507.5</v>
      </c>
      <c r="H126" s="127">
        <v>909.9</v>
      </c>
      <c r="I126" s="120"/>
      <c r="J126" s="127">
        <v>1.1000000000000001</v>
      </c>
      <c r="K126" s="119"/>
      <c r="L126" s="127">
        <v>15</v>
      </c>
    </row>
    <row r="127" spans="1:12" x14ac:dyDescent="0.25">
      <c r="A127" s="127">
        <v>510</v>
      </c>
      <c r="B127" s="127">
        <v>513</v>
      </c>
      <c r="C127" s="127" t="s">
        <v>130</v>
      </c>
      <c r="D127" s="119"/>
      <c r="E127" s="119"/>
      <c r="F127" s="119"/>
      <c r="G127" s="127">
        <f t="shared" si="1"/>
        <v>511.5</v>
      </c>
      <c r="H127" s="127">
        <v>915.9</v>
      </c>
      <c r="I127" s="120"/>
      <c r="J127" s="127">
        <v>1.17</v>
      </c>
      <c r="K127" s="119"/>
      <c r="L127" s="127">
        <v>15</v>
      </c>
    </row>
    <row r="128" spans="1:12" x14ac:dyDescent="0.25">
      <c r="A128" s="127">
        <v>513</v>
      </c>
      <c r="B128" s="127">
        <v>518</v>
      </c>
      <c r="C128" s="127" t="s">
        <v>131</v>
      </c>
      <c r="D128" s="119"/>
      <c r="E128" s="119"/>
      <c r="F128" s="119"/>
      <c r="G128" s="127">
        <f t="shared" si="1"/>
        <v>515.5</v>
      </c>
      <c r="H128" s="127">
        <v>913.5</v>
      </c>
      <c r="I128" s="120"/>
      <c r="J128" s="127">
        <v>0.64</v>
      </c>
      <c r="K128" s="119"/>
      <c r="L128" s="127">
        <v>15</v>
      </c>
    </row>
    <row r="129" spans="1:12" x14ac:dyDescent="0.25">
      <c r="A129" s="119">
        <v>518</v>
      </c>
      <c r="B129" s="119">
        <v>524</v>
      </c>
      <c r="C129" s="119" t="s">
        <v>132</v>
      </c>
      <c r="D129" s="119"/>
      <c r="E129" s="119"/>
      <c r="F129" s="119"/>
      <c r="G129" s="127">
        <f t="shared" si="1"/>
        <v>521</v>
      </c>
      <c r="H129" s="119">
        <v>912.6</v>
      </c>
      <c r="I129" s="120"/>
      <c r="J129" s="119">
        <v>1.54</v>
      </c>
      <c r="K129" s="119"/>
      <c r="L129" s="119"/>
    </row>
    <row r="130" spans="1:12" x14ac:dyDescent="0.25">
      <c r="A130" s="119">
        <v>524</v>
      </c>
      <c r="B130" s="119">
        <v>531</v>
      </c>
      <c r="C130" s="119" t="s">
        <v>133</v>
      </c>
      <c r="D130" s="119"/>
      <c r="E130" s="119"/>
      <c r="F130" s="119"/>
      <c r="G130" s="127">
        <f t="shared" si="1"/>
        <v>527.5</v>
      </c>
      <c r="H130" s="119">
        <v>914.4</v>
      </c>
      <c r="I130" s="120"/>
      <c r="J130" s="119">
        <v>1.59</v>
      </c>
      <c r="K130" s="119"/>
      <c r="L130" s="119"/>
    </row>
    <row r="131" spans="1:12" x14ac:dyDescent="0.25">
      <c r="A131" s="119">
        <v>531</v>
      </c>
      <c r="B131" s="119">
        <v>539</v>
      </c>
      <c r="C131" s="119" t="s">
        <v>134</v>
      </c>
      <c r="D131" s="119"/>
      <c r="E131" s="119"/>
      <c r="F131" s="119"/>
      <c r="G131" s="127">
        <f t="shared" si="1"/>
        <v>535</v>
      </c>
      <c r="H131" s="119">
        <v>914.7</v>
      </c>
      <c r="I131" s="120"/>
      <c r="J131" s="119">
        <v>1.96</v>
      </c>
      <c r="K131" s="119"/>
      <c r="L131" s="119"/>
    </row>
    <row r="132" spans="1:12" x14ac:dyDescent="0.25">
      <c r="A132" s="119">
        <v>539</v>
      </c>
      <c r="B132" s="119">
        <v>548</v>
      </c>
      <c r="C132" s="119" t="s">
        <v>135</v>
      </c>
      <c r="D132" s="119"/>
      <c r="E132" s="119"/>
      <c r="F132" s="119"/>
      <c r="G132" s="127">
        <f t="shared" si="1"/>
        <v>543.5</v>
      </c>
      <c r="H132" s="119">
        <v>916.2</v>
      </c>
      <c r="I132" s="120"/>
      <c r="J132" s="119">
        <v>2.74</v>
      </c>
      <c r="K132" s="119"/>
      <c r="L132" s="119"/>
    </row>
    <row r="133" spans="1:12" x14ac:dyDescent="0.25">
      <c r="A133" s="119">
        <v>548</v>
      </c>
      <c r="B133" s="119">
        <v>558</v>
      </c>
      <c r="C133" s="119" t="s">
        <v>136</v>
      </c>
      <c r="D133" s="119"/>
      <c r="E133" s="119"/>
      <c r="F133" s="119"/>
      <c r="G133" s="127">
        <f t="shared" si="1"/>
        <v>553</v>
      </c>
      <c r="H133" s="119">
        <v>909.8</v>
      </c>
      <c r="I133" s="120"/>
      <c r="J133" s="119">
        <v>2.2799999999999998</v>
      </c>
      <c r="K133" s="119"/>
      <c r="L133" s="119"/>
    </row>
    <row r="134" spans="1:12" x14ac:dyDescent="0.25">
      <c r="A134" s="119">
        <v>558</v>
      </c>
      <c r="B134" s="119">
        <v>569</v>
      </c>
      <c r="C134" s="119" t="s">
        <v>137</v>
      </c>
      <c r="D134" s="119"/>
      <c r="E134" s="119"/>
      <c r="F134" s="119"/>
      <c r="G134" s="127">
        <f t="shared" si="1"/>
        <v>563.5</v>
      </c>
      <c r="H134" s="119">
        <v>910</v>
      </c>
      <c r="I134" s="120"/>
      <c r="J134" s="119">
        <v>1.87</v>
      </c>
      <c r="K134" s="119"/>
      <c r="L134" s="119"/>
    </row>
    <row r="135" spans="1:12" x14ac:dyDescent="0.25">
      <c r="A135" s="119">
        <v>569</v>
      </c>
      <c r="B135" s="119">
        <v>581</v>
      </c>
      <c r="C135" s="119" t="s">
        <v>138</v>
      </c>
      <c r="D135" s="119"/>
      <c r="E135" s="119"/>
      <c r="F135" s="119"/>
      <c r="G135" s="127">
        <f t="shared" si="1"/>
        <v>575</v>
      </c>
      <c r="H135" s="119">
        <v>912.6</v>
      </c>
      <c r="I135" s="120"/>
      <c r="J135" s="119">
        <v>1.65</v>
      </c>
      <c r="K135" s="119"/>
      <c r="L135" s="119"/>
    </row>
    <row r="136" spans="1:12" x14ac:dyDescent="0.25">
      <c r="A136" s="119">
        <v>581</v>
      </c>
      <c r="B136" s="119">
        <v>594</v>
      </c>
      <c r="C136" s="119" t="s">
        <v>139</v>
      </c>
      <c r="D136" s="119"/>
      <c r="E136" s="119"/>
      <c r="F136" s="119"/>
      <c r="G136" s="127">
        <f t="shared" si="1"/>
        <v>587.5</v>
      </c>
      <c r="H136" s="119">
        <v>910.4</v>
      </c>
      <c r="I136" s="120"/>
      <c r="J136" s="119">
        <v>2.23</v>
      </c>
      <c r="K136" s="119"/>
      <c r="L136" s="119"/>
    </row>
  </sheetData>
  <mergeCells count="7">
    <mergeCell ref="B7:D7"/>
    <mergeCell ref="A1:C1"/>
    <mergeCell ref="B2:C2"/>
    <mergeCell ref="B3:C3"/>
    <mergeCell ref="B4:C4"/>
    <mergeCell ref="B5:C5"/>
    <mergeCell ref="B6:C6"/>
  </mergeCells>
  <phoneticPr fontId="22" type="noConversion"/>
  <pageMargins left="0.7" right="0.7" top="0.75" bottom="0.75" header="0.3" footer="0.3"/>
  <pageSetup paperSize="9" scale="66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Station Overview</vt:lpstr>
      <vt:lpstr>Salinity Core</vt:lpstr>
      <vt:lpstr>Temperature Core</vt:lpstr>
      <vt:lpstr>Density Core</vt:lpstr>
      <vt:lpstr>asdfasdf</vt:lpstr>
      <vt:lpstr>ExpID</vt:lpstr>
      <vt:lpstr>ObsDate</vt:lpstr>
      <vt:lpstr>'Density Core'!Print_Area</vt:lpstr>
      <vt:lpstr>'Salinity Core'!Print_Area</vt:lpstr>
      <vt:lpstr>'Station Overview'!Print_Area</vt:lpstr>
      <vt:lpstr>'Temperature Core'!Print_Area</vt:lpstr>
      <vt:lpstr>StnDay</vt:lpstr>
      <vt:lpstr>StnNum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 Bjørdal</dc:creator>
  <dc:description/>
  <cp:lastModifiedBy>Evgenii Salganik</cp:lastModifiedBy>
  <cp:revision>5</cp:revision>
  <cp:lastPrinted>2011-02-07T12:20:41Z</cp:lastPrinted>
  <dcterms:created xsi:type="dcterms:W3CDTF">2011-01-27T20:27:49Z</dcterms:created>
  <dcterms:modified xsi:type="dcterms:W3CDTF">2026-05-17T07:19:41Z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_NewReviewCycle">
    <vt:lpwstr/>
  </property>
  <property fmtid="{D5CDD505-2E9C-101B-9397-08002B2CF9AE}" pid="9" name="contentStatus">
    <vt:lpwstr>Rev. September 2011</vt:lpwstr>
  </property>
</Properties>
</file>