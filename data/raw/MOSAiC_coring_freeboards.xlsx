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cript\data\raw\"/>
    </mc:Choice>
  </mc:AlternateContent>
  <xr:revisionPtr revIDLastSave="0" documentId="13_ncr:1_{FE5FCF2C-7A63-45F8-9402-DBADB7821DED}" xr6:coauthVersionLast="47" xr6:coauthVersionMax="47" xr10:uidLastSave="{00000000-0000-0000-0000-000000000000}"/>
  <bookViews>
    <workbookView xWindow="-105" yWindow="0" windowWidth="19410" windowHeight="20985" activeTab="1" xr2:uid="{19EAEE34-8156-45EE-9599-64828BFD56EA}"/>
  </bookViews>
  <sheets>
    <sheet name="FYI" sheetId="1" r:id="rId1"/>
    <sheet name="SY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5" i="2" l="1"/>
  <c r="AJ5" i="2"/>
  <c r="AH5" i="2"/>
  <c r="AF5" i="2"/>
  <c r="AD5" i="2"/>
  <c r="AB5" i="2"/>
  <c r="Z5" i="2"/>
  <c r="X5" i="2"/>
  <c r="V5" i="2"/>
  <c r="T5" i="2"/>
  <c r="R5" i="2"/>
  <c r="P5" i="2"/>
  <c r="N5" i="2"/>
  <c r="L5" i="2"/>
  <c r="J5" i="2"/>
  <c r="H5" i="2"/>
  <c r="F5" i="2"/>
  <c r="D5" i="2"/>
  <c r="B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AT4" i="1" l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N4" i="1"/>
  <c r="M4" i="1"/>
  <c r="L4" i="1"/>
  <c r="K4" i="1"/>
  <c r="J4" i="1"/>
  <c r="I4" i="1"/>
  <c r="H4" i="1"/>
  <c r="G4" i="1"/>
  <c r="D4" i="1"/>
  <c r="C4" i="1"/>
  <c r="B4" i="1"/>
  <c r="A4" i="1"/>
</calcChain>
</file>

<file path=xl/sharedStrings.xml><?xml version="1.0" encoding="utf-8"?>
<sst xmlns="http://schemas.openxmlformats.org/spreadsheetml/2006/main" count="158" uniqueCount="40">
  <si>
    <t>1_5-3</t>
  </si>
  <si>
    <t>1_6-34</t>
  </si>
  <si>
    <t>1_7-6</t>
  </si>
  <si>
    <t>1_7-97</t>
  </si>
  <si>
    <t>1_8-2</t>
  </si>
  <si>
    <t>1_9-6</t>
  </si>
  <si>
    <t>1_9-93</t>
  </si>
  <si>
    <t>1_10-19</t>
  </si>
  <si>
    <t>2_17-3</t>
  </si>
  <si>
    <t>2_19-7</t>
  </si>
  <si>
    <t>2_21-13</t>
  </si>
  <si>
    <t>2_23-3</t>
  </si>
  <si>
    <t>2_24-8</t>
  </si>
  <si>
    <t>3_32-63</t>
  </si>
  <si>
    <t>3_35-11</t>
  </si>
  <si>
    <t>3_36-21</t>
  </si>
  <si>
    <t>3_38-24</t>
  </si>
  <si>
    <t xml:space="preserve">Snow thickness </t>
  </si>
  <si>
    <t>h</t>
  </si>
  <si>
    <t>d</t>
  </si>
  <si>
    <t>1_5-78</t>
  </si>
  <si>
    <t>1_6-36</t>
  </si>
  <si>
    <t>1_7-9</t>
  </si>
  <si>
    <t>1_7-53</t>
  </si>
  <si>
    <t>1_9-11</t>
  </si>
  <si>
    <t>1_10-16</t>
  </si>
  <si>
    <t>2_17</t>
  </si>
  <si>
    <t>2_20-5</t>
  </si>
  <si>
    <t>2_22-7</t>
  </si>
  <si>
    <t>2_25-15</t>
  </si>
  <si>
    <t>3_33-18</t>
  </si>
  <si>
    <t>3_35-4</t>
  </si>
  <si>
    <t>3_36-4</t>
  </si>
  <si>
    <t>3_38-16</t>
  </si>
  <si>
    <t>3_39-18</t>
  </si>
  <si>
    <t>4_45-29</t>
  </si>
  <si>
    <t>4_46-20</t>
  </si>
  <si>
    <t>4_47-18</t>
  </si>
  <si>
    <t>4_48-25</t>
  </si>
  <si>
    <t>Snow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</si>
</sst>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;@"/>
    <numFmt numFmtId="165" formatCode="0.0"/>
    <numFmt numFmtId="166" formatCode="m/d;@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left"/>
    </xf>
    <xf numFmtId="165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A9F0-B116-4404-9897-3F9F38732264}">
  <dimension ref="A1:AZ39"/>
  <sheetViews>
    <sheetView workbookViewId="0">
      <selection activeCell="I30" sqref="I30"/>
    </sheetView>
  </sheetViews>
  <sheetFormatPr defaultColWidth="9.140625" defaultRowHeight="15" x14ac:dyDescent="0.25"/>
  <cols>
    <col min="1" max="1" width="6.7109375" style="3" bestFit="1" customWidth="1"/>
    <col min="2" max="2" width="6.7109375" style="3" customWidth="1"/>
    <col min="3" max="3" width="6.7109375" style="3" bestFit="1" customWidth="1"/>
    <col min="4" max="4" width="6.7109375" style="3" customWidth="1"/>
    <col min="5" max="5" width="7.28515625" style="3" bestFit="1" customWidth="1"/>
    <col min="6" max="6" width="7.28515625" style="3" customWidth="1"/>
    <col min="7" max="7" width="7.28515625" style="3" bestFit="1" customWidth="1"/>
    <col min="8" max="8" width="7.28515625" style="3" customWidth="1"/>
    <col min="9" max="9" width="7.28515625" style="3" bestFit="1" customWidth="1"/>
    <col min="10" max="10" width="7.28515625" style="3" customWidth="1"/>
    <col min="11" max="11" width="7.28515625" style="3" bestFit="1" customWidth="1"/>
    <col min="12" max="12" width="7.28515625" style="3" customWidth="1"/>
    <col min="13" max="13" width="7.28515625" style="3" bestFit="1" customWidth="1"/>
    <col min="14" max="14" width="7.28515625" style="3" customWidth="1"/>
    <col min="15" max="15" width="7.7109375" style="3" bestFit="1" customWidth="1"/>
    <col min="16" max="16" width="7.7109375" style="3" customWidth="1"/>
    <col min="17" max="17" width="7" style="17" bestFit="1" customWidth="1"/>
    <col min="18" max="18" width="7" style="17" customWidth="1"/>
    <col min="19" max="19" width="6.7109375" style="17" bestFit="1" customWidth="1"/>
    <col min="20" max="20" width="6.7109375" style="17" customWidth="1"/>
    <col min="21" max="21" width="7.7109375" style="3" bestFit="1" customWidth="1"/>
    <col min="22" max="22" width="7.7109375" style="3" customWidth="1"/>
    <col min="23" max="23" width="6.7109375" style="3" bestFit="1" customWidth="1"/>
    <col min="24" max="24" width="6.7109375" style="3" customWidth="1"/>
    <col min="25" max="25" width="7" style="3" bestFit="1" customWidth="1"/>
    <col min="26" max="26" width="7" style="3" customWidth="1"/>
    <col min="27" max="27" width="7.7109375" style="3" bestFit="1" customWidth="1"/>
    <col min="28" max="28" width="7.7109375" style="3" customWidth="1"/>
    <col min="29" max="29" width="7.7109375" style="3" bestFit="1" customWidth="1"/>
    <col min="30" max="30" width="7.7109375" style="3" customWidth="1"/>
    <col min="31" max="31" width="7.7109375" style="3" bestFit="1" customWidth="1"/>
    <col min="32" max="32" width="7.7109375" style="3" customWidth="1"/>
    <col min="33" max="33" width="7.7109375" style="3" bestFit="1" customWidth="1"/>
    <col min="34" max="34" width="7.7109375" style="3" customWidth="1"/>
    <col min="35" max="35" width="6.42578125" style="3" bestFit="1" customWidth="1"/>
    <col min="36" max="36" width="6.42578125" style="3" customWidth="1"/>
    <col min="37" max="37" width="6.7109375" style="3" bestFit="1" customWidth="1"/>
    <col min="38" max="38" width="6.7109375" style="3" customWidth="1"/>
    <col min="39" max="39" width="6" style="3" bestFit="1" customWidth="1"/>
    <col min="40" max="40" width="6" style="3" customWidth="1"/>
    <col min="41" max="41" width="6.140625" style="3" bestFit="1" customWidth="1"/>
    <col min="42" max="42" width="6.140625" style="3" customWidth="1"/>
    <col min="43" max="43" width="6.140625" style="3" bestFit="1" customWidth="1"/>
    <col min="44" max="44" width="6.140625" style="3" customWidth="1"/>
    <col min="45" max="45" width="6.140625" style="3" bestFit="1" customWidth="1"/>
    <col min="46" max="46" width="6.140625" style="3" customWidth="1"/>
    <col min="47" max="16384" width="9.140625" style="3"/>
  </cols>
  <sheetData>
    <row r="1" spans="1:52" x14ac:dyDescent="0.25">
      <c r="A1" s="1">
        <v>1</v>
      </c>
      <c r="B1" s="1">
        <v>1</v>
      </c>
      <c r="C1" s="2">
        <v>2</v>
      </c>
      <c r="D1" s="2">
        <v>2</v>
      </c>
      <c r="E1" s="3">
        <v>3</v>
      </c>
      <c r="F1" s="3">
        <v>3</v>
      </c>
      <c r="G1" s="2">
        <v>4</v>
      </c>
      <c r="H1" s="2">
        <v>4</v>
      </c>
      <c r="I1" s="1">
        <v>5</v>
      </c>
      <c r="J1" s="1">
        <v>5</v>
      </c>
      <c r="K1" s="2">
        <v>6</v>
      </c>
      <c r="L1" s="2">
        <v>6</v>
      </c>
      <c r="M1" s="1">
        <v>7</v>
      </c>
      <c r="N1" s="1">
        <v>7</v>
      </c>
      <c r="O1" s="2">
        <v>8</v>
      </c>
      <c r="P1" s="2">
        <v>8</v>
      </c>
      <c r="Q1" s="1">
        <v>9</v>
      </c>
      <c r="R1" s="1">
        <v>9</v>
      </c>
      <c r="S1" s="2">
        <v>10</v>
      </c>
      <c r="T1" s="2">
        <v>10</v>
      </c>
      <c r="U1" s="1">
        <v>11</v>
      </c>
      <c r="V1" s="1">
        <v>11</v>
      </c>
      <c r="W1" s="2">
        <v>12</v>
      </c>
      <c r="X1" s="2">
        <v>12</v>
      </c>
      <c r="Y1" s="1">
        <v>13</v>
      </c>
      <c r="Z1" s="1">
        <v>13</v>
      </c>
      <c r="AA1" s="2">
        <v>14</v>
      </c>
      <c r="AB1" s="2">
        <v>14</v>
      </c>
      <c r="AC1" s="1">
        <v>15</v>
      </c>
      <c r="AD1" s="1">
        <v>15</v>
      </c>
      <c r="AE1" s="2">
        <v>16</v>
      </c>
      <c r="AF1" s="2">
        <v>16</v>
      </c>
      <c r="AG1" s="1">
        <v>17</v>
      </c>
      <c r="AH1" s="1">
        <v>17</v>
      </c>
      <c r="AI1" s="2">
        <v>18</v>
      </c>
      <c r="AJ1" s="2">
        <v>18</v>
      </c>
      <c r="AK1" s="1">
        <v>19</v>
      </c>
      <c r="AL1" s="1">
        <v>19</v>
      </c>
      <c r="AM1" s="2">
        <v>20</v>
      </c>
      <c r="AN1" s="2">
        <v>20</v>
      </c>
      <c r="AO1" s="1">
        <v>21</v>
      </c>
      <c r="AP1" s="1">
        <v>21</v>
      </c>
      <c r="AQ1" s="2">
        <v>22</v>
      </c>
      <c r="AR1" s="2">
        <v>22</v>
      </c>
      <c r="AS1" s="1">
        <v>23</v>
      </c>
      <c r="AT1" s="1">
        <v>23</v>
      </c>
    </row>
    <row r="2" spans="1:52" s="6" customFormat="1" x14ac:dyDescent="0.25">
      <c r="A2" s="4">
        <v>43766.5</v>
      </c>
      <c r="B2" s="4">
        <v>43766.5</v>
      </c>
      <c r="C2" s="5">
        <v>43773.066666666666</v>
      </c>
      <c r="D2" s="5">
        <v>43773.066666666666</v>
      </c>
      <c r="E2" s="6">
        <v>43780.125</v>
      </c>
      <c r="F2" s="6">
        <v>43780.125</v>
      </c>
      <c r="G2" s="5">
        <v>43785.5</v>
      </c>
      <c r="H2" s="5">
        <v>43785.5</v>
      </c>
      <c r="I2" s="4">
        <v>43787.340277777781</v>
      </c>
      <c r="J2" s="4">
        <v>43787.340277777781</v>
      </c>
      <c r="K2" s="5">
        <v>43794.201388888891</v>
      </c>
      <c r="L2" s="5">
        <v>43794.201388888891</v>
      </c>
      <c r="M2" s="4">
        <v>43799.456250000003</v>
      </c>
      <c r="N2" s="4">
        <v>43799.456250000003</v>
      </c>
      <c r="O2" s="5">
        <v>43801.229861111111</v>
      </c>
      <c r="P2" s="5">
        <v>43801.229861111111</v>
      </c>
      <c r="Q2" s="4">
        <v>43822.49722222222</v>
      </c>
      <c r="R2" s="4">
        <v>43822.49722222222</v>
      </c>
      <c r="S2" s="5">
        <v>43836.363194444442</v>
      </c>
      <c r="T2" s="5">
        <v>43836.363194444442</v>
      </c>
      <c r="U2" s="4">
        <v>43850.322222222225</v>
      </c>
      <c r="V2" s="4">
        <v>43850.322222222225</v>
      </c>
      <c r="W2" s="5">
        <v>43864.322916666664</v>
      </c>
      <c r="X2" s="5">
        <v>43864.322916666664</v>
      </c>
      <c r="Y2" s="4">
        <v>43871.340277777781</v>
      </c>
      <c r="Z2" s="4">
        <v>43871.340277777781</v>
      </c>
      <c r="AA2" s="5">
        <v>43911.34652777778</v>
      </c>
      <c r="AB2" s="5">
        <v>43911.34652777778</v>
      </c>
      <c r="AC2" s="4">
        <v>43927.5</v>
      </c>
      <c r="AD2" s="4">
        <v>43927.5</v>
      </c>
      <c r="AE2" s="5">
        <v>43935.5</v>
      </c>
      <c r="AF2" s="5">
        <v>43935.5</v>
      </c>
      <c r="AG2" s="4">
        <v>43948.5</v>
      </c>
      <c r="AH2" s="4">
        <v>43948.5</v>
      </c>
      <c r="AI2" s="5">
        <v>43955.5</v>
      </c>
      <c r="AJ2" s="5">
        <v>43955.5</v>
      </c>
      <c r="AK2" s="4">
        <v>44004.5</v>
      </c>
      <c r="AL2" s="4">
        <v>44004.5</v>
      </c>
      <c r="AM2" s="5">
        <v>44018.5</v>
      </c>
      <c r="AN2" s="5">
        <v>44018.5</v>
      </c>
      <c r="AO2" s="4">
        <v>44025.5</v>
      </c>
      <c r="AP2" s="4">
        <v>44025.5</v>
      </c>
      <c r="AQ2" s="5">
        <v>44032.5</v>
      </c>
      <c r="AR2" s="5">
        <v>44032.5</v>
      </c>
      <c r="AS2" s="4">
        <v>44041.5</v>
      </c>
      <c r="AT2" s="4">
        <v>44041.5</v>
      </c>
    </row>
    <row r="3" spans="1:52" s="14" customFormat="1" x14ac:dyDescent="0.25">
      <c r="A3" s="7" t="s">
        <v>0</v>
      </c>
      <c r="B3" s="7" t="s">
        <v>0</v>
      </c>
      <c r="C3" s="8" t="s">
        <v>1</v>
      </c>
      <c r="D3" s="8" t="s">
        <v>1</v>
      </c>
      <c r="E3" s="9" t="s">
        <v>2</v>
      </c>
      <c r="F3" s="9" t="s">
        <v>2</v>
      </c>
      <c r="G3" s="10" t="s">
        <v>3</v>
      </c>
      <c r="H3" s="10" t="s">
        <v>3</v>
      </c>
      <c r="I3" s="7" t="s">
        <v>4</v>
      </c>
      <c r="J3" s="7" t="s">
        <v>4</v>
      </c>
      <c r="K3" s="10" t="s">
        <v>5</v>
      </c>
      <c r="L3" s="10" t="s">
        <v>5</v>
      </c>
      <c r="M3" s="7" t="s">
        <v>6</v>
      </c>
      <c r="N3" s="7" t="s">
        <v>6</v>
      </c>
      <c r="O3" s="11" t="s">
        <v>7</v>
      </c>
      <c r="P3" s="11" t="s">
        <v>7</v>
      </c>
      <c r="Q3" s="7" t="s">
        <v>8</v>
      </c>
      <c r="R3" s="7" t="s">
        <v>8</v>
      </c>
      <c r="S3" s="10" t="s">
        <v>9</v>
      </c>
      <c r="T3" s="10" t="s">
        <v>9</v>
      </c>
      <c r="U3" s="7" t="s">
        <v>10</v>
      </c>
      <c r="V3" s="7" t="s">
        <v>10</v>
      </c>
      <c r="W3" s="12" t="s">
        <v>11</v>
      </c>
      <c r="X3" s="12" t="s">
        <v>11</v>
      </c>
      <c r="Y3" s="1" t="s">
        <v>12</v>
      </c>
      <c r="Z3" s="1" t="s">
        <v>12</v>
      </c>
      <c r="AA3" s="12" t="s">
        <v>13</v>
      </c>
      <c r="AB3" s="12" t="s">
        <v>13</v>
      </c>
      <c r="AC3" s="1" t="s">
        <v>14</v>
      </c>
      <c r="AD3" s="1" t="s">
        <v>14</v>
      </c>
      <c r="AE3" s="12" t="s">
        <v>15</v>
      </c>
      <c r="AF3" s="12" t="s">
        <v>15</v>
      </c>
      <c r="AG3" s="1" t="s">
        <v>16</v>
      </c>
      <c r="AH3" s="1" t="s">
        <v>16</v>
      </c>
      <c r="AI3" s="8"/>
      <c r="AJ3" s="8"/>
      <c r="AK3" s="13"/>
      <c r="AL3" s="13"/>
      <c r="AM3" s="8"/>
      <c r="AN3" s="8"/>
      <c r="AO3" s="13"/>
      <c r="AP3" s="13"/>
      <c r="AQ3" s="8"/>
      <c r="AR3" s="8"/>
      <c r="AS3" s="13"/>
      <c r="AT3" s="13"/>
    </row>
    <row r="4" spans="1:52" s="14" customFormat="1" x14ac:dyDescent="0.25">
      <c r="A4" s="15">
        <f>AVERAGE(A8:A43)</f>
        <v>42.008695652173913</v>
      </c>
      <c r="B4" s="15">
        <f>AVERAGE(B8:B43)</f>
        <v>39.465217391304357</v>
      </c>
      <c r="C4" s="16">
        <f>AVERAGE(C8:C43)</f>
        <v>44.026315789473692</v>
      </c>
      <c r="D4" s="16">
        <f>AVERAGE(D8:D43)</f>
        <v>40.1</v>
      </c>
      <c r="E4" s="17"/>
      <c r="F4" s="17"/>
      <c r="G4" s="16">
        <f t="shared" ref="G4:V4" si="0">AVERAGE(G8:G43)</f>
        <v>51.5</v>
      </c>
      <c r="H4" s="16">
        <f t="shared" si="0"/>
        <v>50.5</v>
      </c>
      <c r="I4" s="15">
        <f t="shared" si="0"/>
        <v>53</v>
      </c>
      <c r="J4" s="15">
        <f t="shared" si="0"/>
        <v>50</v>
      </c>
      <c r="K4" s="16">
        <f t="shared" si="0"/>
        <v>57.4</v>
      </c>
      <c r="L4" s="16">
        <f t="shared" si="0"/>
        <v>53.25</v>
      </c>
      <c r="M4" s="15">
        <f t="shared" si="0"/>
        <v>57.193749999999994</v>
      </c>
      <c r="N4" s="15">
        <f t="shared" si="0"/>
        <v>52.893749999999997</v>
      </c>
      <c r="O4" s="16"/>
      <c r="P4" s="16"/>
      <c r="Q4" s="15">
        <f t="shared" si="0"/>
        <v>86.195652173913047</v>
      </c>
      <c r="R4" s="15">
        <f t="shared" si="0"/>
        <v>79.086956521739125</v>
      </c>
      <c r="S4" s="16">
        <f t="shared" si="0"/>
        <v>86.5</v>
      </c>
      <c r="T4" s="16">
        <f t="shared" si="0"/>
        <v>78</v>
      </c>
      <c r="U4" s="15">
        <f t="shared" si="0"/>
        <v>102.85714285714286</v>
      </c>
      <c r="V4" s="15">
        <f t="shared" si="0"/>
        <v>94.714285714285708</v>
      </c>
      <c r="W4" s="16">
        <f>AVERAGE(W8:W37)</f>
        <v>121.27272727272727</v>
      </c>
      <c r="X4" s="16">
        <f>AVERAGE(X8:X37)</f>
        <v>112.68181818181819</v>
      </c>
      <c r="Y4" s="15">
        <f>AVERAGE(Y8:Y37)</f>
        <v>113.18181818181819</v>
      </c>
      <c r="Z4" s="15">
        <f>AVERAGE(Z8:Z37)</f>
        <v>98.545454545454547</v>
      </c>
      <c r="AA4" s="16">
        <f t="shared" ref="AA4:AD4" si="1">AVERAGE(AA8:AA43)</f>
        <v>329.66666666666669</v>
      </c>
      <c r="AB4" s="16">
        <f t="shared" si="1"/>
        <v>302</v>
      </c>
      <c r="AC4" s="15">
        <f t="shared" si="1"/>
        <v>164.94</v>
      </c>
      <c r="AD4" s="15">
        <f t="shared" si="1"/>
        <v>145.84</v>
      </c>
      <c r="AE4" s="16">
        <f>AVERAGE(AE8:AE43)</f>
        <v>200.55</v>
      </c>
      <c r="AF4" s="16">
        <f>AVERAGE(AF8:AF43)</f>
        <v>180.45</v>
      </c>
      <c r="AG4" s="15">
        <f>AVERAGE(AG8:AG43)</f>
        <v>157.95454545454547</v>
      </c>
      <c r="AH4" s="15">
        <f>AVERAGE(AH8:AH43)</f>
        <v>155.84090909090909</v>
      </c>
      <c r="AI4" s="16">
        <f t="shared" ref="AI4:AT4" si="2">AVERAGE(AI8:AI43)</f>
        <v>161.80000000000001</v>
      </c>
      <c r="AJ4" s="16">
        <f t="shared" si="2"/>
        <v>160.58000000000001</v>
      </c>
      <c r="AK4" s="15">
        <f t="shared" si="2"/>
        <v>158.54545454545453</v>
      </c>
      <c r="AL4" s="15">
        <f t="shared" si="2"/>
        <v>146.40909090909091</v>
      </c>
      <c r="AM4" s="16">
        <f t="shared" si="2"/>
        <v>188.92307692307693</v>
      </c>
      <c r="AN4" s="16">
        <f t="shared" si="2"/>
        <v>174.15384615384616</v>
      </c>
      <c r="AO4" s="15">
        <f t="shared" si="2"/>
        <v>143.74074074074073</v>
      </c>
      <c r="AP4" s="15">
        <f t="shared" si="2"/>
        <v>122.14814814814815</v>
      </c>
      <c r="AQ4" s="16">
        <f t="shared" si="2"/>
        <v>126.73333333333333</v>
      </c>
      <c r="AR4" s="16">
        <f t="shared" si="2"/>
        <v>112.26666666666667</v>
      </c>
      <c r="AS4" s="15">
        <f t="shared" si="2"/>
        <v>107.14285714285714</v>
      </c>
      <c r="AT4" s="15">
        <f t="shared" si="2"/>
        <v>93</v>
      </c>
      <c r="AU4" s="17"/>
      <c r="AV4" s="17"/>
      <c r="AW4" s="17"/>
    </row>
    <row r="5" spans="1:52" s="14" customFormat="1" x14ac:dyDescent="0.25">
      <c r="A5" s="15">
        <v>8.9</v>
      </c>
      <c r="B5" s="15">
        <v>8.9</v>
      </c>
      <c r="C5" s="16">
        <v>8</v>
      </c>
      <c r="D5" s="16">
        <v>8</v>
      </c>
      <c r="E5" s="17"/>
      <c r="F5" s="17"/>
      <c r="G5" s="16">
        <v>12.4</v>
      </c>
      <c r="H5" s="16">
        <v>12.4</v>
      </c>
      <c r="I5" s="15">
        <v>9</v>
      </c>
      <c r="J5" s="15">
        <v>9</v>
      </c>
      <c r="K5" s="16">
        <v>8</v>
      </c>
      <c r="L5" s="16">
        <v>8</v>
      </c>
      <c r="M5" s="15">
        <v>8.8000000000000007</v>
      </c>
      <c r="N5" s="15">
        <v>8.8000000000000007</v>
      </c>
      <c r="O5" s="16"/>
      <c r="P5" s="16"/>
      <c r="Q5" s="15">
        <v>9.1</v>
      </c>
      <c r="R5" s="15">
        <v>9.1</v>
      </c>
      <c r="S5" s="16">
        <v>8.4</v>
      </c>
      <c r="T5" s="16">
        <v>8.4</v>
      </c>
      <c r="U5" s="15">
        <v>10</v>
      </c>
      <c r="V5" s="15">
        <v>10</v>
      </c>
      <c r="W5" s="16">
        <v>12.3</v>
      </c>
      <c r="X5" s="16">
        <v>12.3</v>
      </c>
      <c r="Y5" s="15">
        <v>9.6999999999999993</v>
      </c>
      <c r="Z5" s="15">
        <v>9.6999999999999993</v>
      </c>
      <c r="AA5" s="16">
        <v>12</v>
      </c>
      <c r="AB5" s="16">
        <v>12</v>
      </c>
      <c r="AC5" s="15">
        <v>18.2</v>
      </c>
      <c r="AD5" s="15">
        <v>18.2</v>
      </c>
      <c r="AE5" s="16">
        <v>11.2</v>
      </c>
      <c r="AF5" s="16">
        <v>11.2</v>
      </c>
      <c r="AG5" s="15">
        <v>13</v>
      </c>
      <c r="AH5" s="15">
        <v>13</v>
      </c>
      <c r="AI5" s="16">
        <v>21</v>
      </c>
      <c r="AJ5" s="16">
        <v>21</v>
      </c>
      <c r="AK5" s="15">
        <v>8</v>
      </c>
      <c r="AL5" s="15">
        <v>8</v>
      </c>
      <c r="AM5" s="16">
        <v>4.8</v>
      </c>
      <c r="AN5" s="16">
        <v>4.8</v>
      </c>
      <c r="AO5" s="15">
        <v>6.5</v>
      </c>
      <c r="AP5" s="15">
        <v>6.5</v>
      </c>
      <c r="AQ5" s="16">
        <v>5</v>
      </c>
      <c r="AR5" s="16">
        <v>5</v>
      </c>
      <c r="AS5" s="15">
        <v>5</v>
      </c>
      <c r="AT5" s="15">
        <v>5</v>
      </c>
      <c r="AU5" s="18" t="s">
        <v>17</v>
      </c>
      <c r="AV5" s="17"/>
      <c r="AW5" s="17"/>
    </row>
    <row r="6" spans="1:52" s="14" customFormat="1" x14ac:dyDescent="0.25">
      <c r="A6" s="13"/>
      <c r="B6" s="13"/>
      <c r="C6" s="8"/>
      <c r="D6" s="8"/>
      <c r="G6" s="19"/>
      <c r="H6" s="19"/>
      <c r="I6" s="13"/>
      <c r="J6" s="13"/>
      <c r="K6" s="2"/>
      <c r="L6" s="2"/>
      <c r="M6" s="13"/>
      <c r="N6" s="13"/>
      <c r="O6" s="8"/>
      <c r="P6" s="8"/>
      <c r="Q6" s="13"/>
      <c r="R6" s="13"/>
      <c r="S6" s="8"/>
      <c r="T6" s="8"/>
      <c r="U6" s="13"/>
      <c r="V6" s="13"/>
      <c r="W6" s="8"/>
      <c r="X6" s="8"/>
      <c r="Y6" s="13"/>
      <c r="Z6" s="13"/>
      <c r="AA6" s="8"/>
      <c r="AB6" s="8"/>
      <c r="AC6" s="20"/>
      <c r="AD6" s="20"/>
      <c r="AE6" s="8"/>
      <c r="AF6" s="8"/>
      <c r="AG6" s="20"/>
      <c r="AH6" s="20"/>
      <c r="AI6" s="21"/>
      <c r="AJ6" s="21"/>
      <c r="AK6" s="20"/>
      <c r="AL6" s="20"/>
      <c r="AM6" s="21"/>
      <c r="AN6" s="21"/>
      <c r="AO6" s="20"/>
      <c r="AP6" s="20"/>
      <c r="AQ6" s="21"/>
      <c r="AR6" s="21"/>
      <c r="AS6" s="20"/>
      <c r="AT6" s="20"/>
    </row>
    <row r="7" spans="1:52" s="14" customFormat="1" x14ac:dyDescent="0.25">
      <c r="A7" s="7" t="s">
        <v>18</v>
      </c>
      <c r="B7" s="7" t="s">
        <v>19</v>
      </c>
      <c r="C7" s="8" t="s">
        <v>18</v>
      </c>
      <c r="D7" s="8" t="s">
        <v>19</v>
      </c>
      <c r="E7" s="9" t="s">
        <v>18</v>
      </c>
      <c r="F7" s="9" t="s">
        <v>19</v>
      </c>
      <c r="G7" s="10" t="s">
        <v>18</v>
      </c>
      <c r="H7" s="10" t="s">
        <v>19</v>
      </c>
      <c r="I7" s="7" t="s">
        <v>18</v>
      </c>
      <c r="J7" s="7" t="s">
        <v>19</v>
      </c>
      <c r="K7" s="10" t="s">
        <v>18</v>
      </c>
      <c r="L7" s="10" t="s">
        <v>19</v>
      </c>
      <c r="M7" s="7" t="s">
        <v>18</v>
      </c>
      <c r="N7" s="7" t="s">
        <v>19</v>
      </c>
      <c r="O7" s="10" t="s">
        <v>18</v>
      </c>
      <c r="P7" s="10" t="s">
        <v>19</v>
      </c>
      <c r="Q7" s="7" t="s">
        <v>18</v>
      </c>
      <c r="R7" s="7" t="s">
        <v>19</v>
      </c>
      <c r="S7" s="8" t="s">
        <v>18</v>
      </c>
      <c r="T7" s="8" t="s">
        <v>19</v>
      </c>
      <c r="U7" s="7" t="s">
        <v>18</v>
      </c>
      <c r="V7" s="7" t="s">
        <v>19</v>
      </c>
      <c r="W7" s="8" t="s">
        <v>18</v>
      </c>
      <c r="X7" s="8" t="s">
        <v>19</v>
      </c>
      <c r="Y7" s="7" t="s">
        <v>18</v>
      </c>
      <c r="Z7" s="7" t="s">
        <v>19</v>
      </c>
      <c r="AA7" s="8" t="s">
        <v>18</v>
      </c>
      <c r="AB7" s="8" t="s">
        <v>19</v>
      </c>
      <c r="AC7" s="7" t="s">
        <v>18</v>
      </c>
      <c r="AD7" s="7" t="s">
        <v>19</v>
      </c>
      <c r="AE7" s="8" t="s">
        <v>18</v>
      </c>
      <c r="AF7" s="8" t="s">
        <v>19</v>
      </c>
      <c r="AG7" s="7" t="s">
        <v>18</v>
      </c>
      <c r="AH7" s="7" t="s">
        <v>19</v>
      </c>
      <c r="AI7" s="8" t="s">
        <v>18</v>
      </c>
      <c r="AJ7" s="8" t="s">
        <v>19</v>
      </c>
      <c r="AK7" s="7" t="s">
        <v>18</v>
      </c>
      <c r="AL7" s="7" t="s">
        <v>19</v>
      </c>
      <c r="AM7" s="8" t="s">
        <v>18</v>
      </c>
      <c r="AN7" s="8" t="s">
        <v>19</v>
      </c>
      <c r="AO7" s="7" t="s">
        <v>18</v>
      </c>
      <c r="AP7" s="7" t="s">
        <v>19</v>
      </c>
      <c r="AQ7" s="8" t="s">
        <v>18</v>
      </c>
      <c r="AR7" s="8" t="s">
        <v>19</v>
      </c>
      <c r="AS7" s="7" t="s">
        <v>18</v>
      </c>
      <c r="AT7" s="7" t="s">
        <v>19</v>
      </c>
    </row>
    <row r="8" spans="1:52" x14ac:dyDescent="0.25">
      <c r="A8" s="1">
        <v>42.1</v>
      </c>
      <c r="B8" s="1">
        <v>39.799999999999997</v>
      </c>
      <c r="C8" s="2">
        <v>45.6</v>
      </c>
      <c r="D8" s="2">
        <v>40.4</v>
      </c>
      <c r="G8" s="2">
        <v>51.5</v>
      </c>
      <c r="H8" s="2">
        <v>50.5</v>
      </c>
      <c r="I8" s="1">
        <v>53</v>
      </c>
      <c r="J8" s="1">
        <v>50</v>
      </c>
      <c r="K8" s="2">
        <v>58</v>
      </c>
      <c r="L8" s="2">
        <v>54</v>
      </c>
      <c r="M8" s="1">
        <v>57.7</v>
      </c>
      <c r="N8" s="1">
        <v>52.1</v>
      </c>
      <c r="Q8" s="1">
        <v>88</v>
      </c>
      <c r="R8" s="1">
        <v>81</v>
      </c>
      <c r="S8" s="2">
        <v>87</v>
      </c>
      <c r="T8" s="2">
        <v>79</v>
      </c>
      <c r="U8" s="1">
        <v>100</v>
      </c>
      <c r="V8" s="1">
        <v>91</v>
      </c>
      <c r="W8" s="2">
        <v>125</v>
      </c>
      <c r="X8" s="2">
        <v>115</v>
      </c>
      <c r="Y8" s="1">
        <v>113</v>
      </c>
      <c r="Z8" s="1">
        <v>98</v>
      </c>
      <c r="AA8" s="2">
        <v>331</v>
      </c>
      <c r="AB8" s="2">
        <v>307</v>
      </c>
      <c r="AC8" s="1">
        <v>163</v>
      </c>
      <c r="AD8" s="1">
        <v>145</v>
      </c>
      <c r="AE8" s="2">
        <v>234.5</v>
      </c>
      <c r="AF8" s="2">
        <v>211</v>
      </c>
      <c r="AG8" s="7">
        <v>159</v>
      </c>
      <c r="AH8" s="7">
        <v>153.5</v>
      </c>
      <c r="AI8" s="10">
        <v>160</v>
      </c>
      <c r="AJ8" s="10">
        <v>157.5</v>
      </c>
      <c r="AK8" s="7">
        <v>159</v>
      </c>
      <c r="AL8" s="7">
        <v>148</v>
      </c>
      <c r="AM8" s="10">
        <v>198</v>
      </c>
      <c r="AN8" s="10">
        <v>181</v>
      </c>
      <c r="AO8" s="7">
        <v>140</v>
      </c>
      <c r="AP8" s="7">
        <v>120</v>
      </c>
      <c r="AQ8" s="10">
        <v>145</v>
      </c>
      <c r="AR8" s="10">
        <v>130</v>
      </c>
      <c r="AS8" s="7">
        <v>115</v>
      </c>
      <c r="AT8" s="7">
        <v>102</v>
      </c>
      <c r="AV8" s="9"/>
      <c r="AW8" s="9"/>
      <c r="AX8" s="22"/>
      <c r="AY8" s="9"/>
      <c r="AZ8" s="9"/>
    </row>
    <row r="9" spans="1:52" x14ac:dyDescent="0.25">
      <c r="A9" s="1">
        <v>43</v>
      </c>
      <c r="B9" s="1">
        <v>39.9</v>
      </c>
      <c r="C9" s="2">
        <v>44.6</v>
      </c>
      <c r="D9" s="2">
        <v>39.799999999999997</v>
      </c>
      <c r="E9" s="23"/>
      <c r="F9" s="23"/>
      <c r="I9" s="23"/>
      <c r="J9" s="23"/>
      <c r="K9" s="2">
        <v>58</v>
      </c>
      <c r="L9" s="2">
        <v>54</v>
      </c>
      <c r="M9" s="1">
        <v>57.7</v>
      </c>
      <c r="N9" s="1">
        <v>52.3</v>
      </c>
      <c r="O9" s="24"/>
      <c r="P9" s="24"/>
      <c r="Q9" s="1">
        <v>85</v>
      </c>
      <c r="R9" s="1">
        <v>76</v>
      </c>
      <c r="S9" s="2">
        <v>82</v>
      </c>
      <c r="T9" s="2">
        <v>74</v>
      </c>
      <c r="U9" s="1">
        <v>103</v>
      </c>
      <c r="V9" s="1">
        <v>94</v>
      </c>
      <c r="W9" s="2">
        <v>113</v>
      </c>
      <c r="X9" s="2">
        <v>105</v>
      </c>
      <c r="Y9" s="1">
        <v>113</v>
      </c>
      <c r="Z9" s="1">
        <v>99</v>
      </c>
      <c r="AA9" s="2">
        <v>329</v>
      </c>
      <c r="AB9" s="2">
        <v>300</v>
      </c>
      <c r="AC9" s="1">
        <v>167</v>
      </c>
      <c r="AD9" s="1">
        <v>147</v>
      </c>
      <c r="AE9" s="2">
        <v>211</v>
      </c>
      <c r="AF9" s="2">
        <v>188</v>
      </c>
      <c r="AG9" s="7">
        <v>158</v>
      </c>
      <c r="AH9" s="7">
        <v>154</v>
      </c>
      <c r="AI9" s="10">
        <v>160.5</v>
      </c>
      <c r="AJ9" s="10">
        <v>158</v>
      </c>
      <c r="AK9" s="7">
        <v>160</v>
      </c>
      <c r="AL9" s="7">
        <v>149</v>
      </c>
      <c r="AM9" s="10">
        <v>192</v>
      </c>
      <c r="AN9" s="10">
        <v>180</v>
      </c>
      <c r="AO9" s="7">
        <v>136</v>
      </c>
      <c r="AP9" s="7">
        <v>118</v>
      </c>
      <c r="AQ9" s="10">
        <v>136</v>
      </c>
      <c r="AR9" s="10">
        <v>115</v>
      </c>
      <c r="AS9" s="7">
        <v>106.5</v>
      </c>
      <c r="AT9" s="7">
        <v>94</v>
      </c>
      <c r="AV9" s="9"/>
      <c r="AW9" s="9"/>
      <c r="AX9" s="22"/>
      <c r="AY9" s="9"/>
      <c r="AZ9" s="9"/>
    </row>
    <row r="10" spans="1:52" x14ac:dyDescent="0.25">
      <c r="A10" s="1">
        <v>42.2</v>
      </c>
      <c r="B10" s="1">
        <v>39.799999999999997</v>
      </c>
      <c r="C10" s="2">
        <v>43.6</v>
      </c>
      <c r="D10" s="2">
        <v>39.6</v>
      </c>
      <c r="K10" s="2">
        <v>56</v>
      </c>
      <c r="L10" s="2">
        <v>51</v>
      </c>
      <c r="M10" s="1">
        <v>57</v>
      </c>
      <c r="N10" s="1">
        <v>52</v>
      </c>
      <c r="Q10" s="1">
        <v>81</v>
      </c>
      <c r="R10" s="1">
        <v>73</v>
      </c>
      <c r="S10" s="2">
        <v>90</v>
      </c>
      <c r="T10" s="2">
        <v>80</v>
      </c>
      <c r="U10" s="1">
        <v>103</v>
      </c>
      <c r="V10" s="1">
        <v>97</v>
      </c>
      <c r="W10" s="2">
        <v>117</v>
      </c>
      <c r="X10" s="2">
        <v>111</v>
      </c>
      <c r="Y10" s="1">
        <v>113</v>
      </c>
      <c r="Z10" s="1">
        <v>100</v>
      </c>
      <c r="AA10" s="2">
        <v>329</v>
      </c>
      <c r="AB10" s="2">
        <v>299</v>
      </c>
      <c r="AC10" s="1">
        <v>167</v>
      </c>
      <c r="AD10" s="1">
        <v>148</v>
      </c>
      <c r="AE10" s="2">
        <v>189</v>
      </c>
      <c r="AF10" s="2">
        <v>169</v>
      </c>
      <c r="AG10" s="7">
        <v>158</v>
      </c>
      <c r="AH10" s="7">
        <v>153</v>
      </c>
      <c r="AI10" s="10">
        <v>162</v>
      </c>
      <c r="AJ10" s="10">
        <v>159.5</v>
      </c>
      <c r="AK10" s="7">
        <v>163</v>
      </c>
      <c r="AL10" s="7">
        <v>149</v>
      </c>
      <c r="AM10" s="10">
        <v>155</v>
      </c>
      <c r="AN10" s="10">
        <v>139</v>
      </c>
      <c r="AO10" s="7">
        <v>133</v>
      </c>
      <c r="AP10" s="7">
        <v>117</v>
      </c>
      <c r="AQ10" s="10">
        <v>132</v>
      </c>
      <c r="AR10" s="10">
        <v>110</v>
      </c>
      <c r="AS10" s="7">
        <v>103.5</v>
      </c>
      <c r="AT10" s="7">
        <v>89</v>
      </c>
      <c r="AV10" s="9"/>
      <c r="AW10" s="9"/>
      <c r="AX10" s="22"/>
      <c r="AY10" s="9"/>
      <c r="AZ10" s="9"/>
    </row>
    <row r="11" spans="1:52" x14ac:dyDescent="0.25">
      <c r="A11" s="1">
        <v>42</v>
      </c>
      <c r="B11" s="1">
        <v>39.9</v>
      </c>
      <c r="C11" s="2">
        <v>43.8</v>
      </c>
      <c r="D11" s="2">
        <v>40</v>
      </c>
      <c r="K11" s="2">
        <v>57</v>
      </c>
      <c r="L11" s="2">
        <v>52</v>
      </c>
      <c r="M11" s="1">
        <v>57.1</v>
      </c>
      <c r="N11" s="1">
        <v>51.9</v>
      </c>
      <c r="Q11" s="1">
        <v>89.5</v>
      </c>
      <c r="R11" s="1">
        <v>82</v>
      </c>
      <c r="S11" s="2">
        <v>90</v>
      </c>
      <c r="T11" s="2">
        <v>80</v>
      </c>
      <c r="U11" s="1">
        <v>102</v>
      </c>
      <c r="V11" s="1">
        <v>95</v>
      </c>
      <c r="W11" s="2">
        <v>117</v>
      </c>
      <c r="X11" s="2">
        <v>109</v>
      </c>
      <c r="Y11" s="1">
        <v>113</v>
      </c>
      <c r="Z11" s="1">
        <v>98</v>
      </c>
      <c r="AC11" s="1">
        <v>166</v>
      </c>
      <c r="AD11" s="1">
        <v>146</v>
      </c>
      <c r="AE11" s="2">
        <v>198</v>
      </c>
      <c r="AF11" s="2">
        <v>177</v>
      </c>
      <c r="AG11" s="7">
        <v>159</v>
      </c>
      <c r="AH11" s="7">
        <v>157.5</v>
      </c>
      <c r="AI11" s="10">
        <v>161</v>
      </c>
      <c r="AJ11" s="10">
        <v>159.5</v>
      </c>
      <c r="AK11" s="7">
        <v>160</v>
      </c>
      <c r="AL11" s="7">
        <v>148</v>
      </c>
      <c r="AM11" s="10">
        <v>187</v>
      </c>
      <c r="AN11" s="10">
        <v>172</v>
      </c>
      <c r="AO11" s="7">
        <v>136</v>
      </c>
      <c r="AP11" s="7">
        <v>120</v>
      </c>
      <c r="AQ11" s="10">
        <v>120</v>
      </c>
      <c r="AR11" s="10">
        <v>107</v>
      </c>
      <c r="AS11" s="7">
        <v>111</v>
      </c>
      <c r="AT11" s="7">
        <v>97</v>
      </c>
      <c r="AV11" s="9"/>
      <c r="AW11" s="9"/>
      <c r="AX11" s="22"/>
      <c r="AY11" s="9"/>
      <c r="AZ11" s="9"/>
    </row>
    <row r="12" spans="1:52" x14ac:dyDescent="0.25">
      <c r="A12" s="1">
        <v>41.6</v>
      </c>
      <c r="B12" s="1">
        <v>39.4</v>
      </c>
      <c r="C12" s="2">
        <v>45</v>
      </c>
      <c r="D12" s="2">
        <v>40</v>
      </c>
      <c r="K12" s="2">
        <v>57</v>
      </c>
      <c r="L12" s="2">
        <v>52</v>
      </c>
      <c r="M12" s="1">
        <v>57.3</v>
      </c>
      <c r="N12" s="1">
        <v>54</v>
      </c>
      <c r="Q12" s="1">
        <v>85</v>
      </c>
      <c r="R12" s="1">
        <v>78</v>
      </c>
      <c r="S12" s="2">
        <v>88</v>
      </c>
      <c r="T12" s="2">
        <v>79</v>
      </c>
      <c r="U12" s="1">
        <v>102</v>
      </c>
      <c r="V12" s="1">
        <v>94</v>
      </c>
      <c r="W12" s="2">
        <v>124</v>
      </c>
      <c r="X12" s="2">
        <v>115</v>
      </c>
      <c r="Y12" s="1">
        <v>113</v>
      </c>
      <c r="Z12" s="1">
        <v>99</v>
      </c>
      <c r="AC12" s="1">
        <v>164</v>
      </c>
      <c r="AD12" s="1">
        <v>145</v>
      </c>
      <c r="AE12" s="2">
        <v>189</v>
      </c>
      <c r="AF12" s="2">
        <v>169</v>
      </c>
      <c r="AG12" s="7">
        <v>158.5</v>
      </c>
      <c r="AH12" s="7">
        <v>155</v>
      </c>
      <c r="AI12" s="10">
        <v>161</v>
      </c>
      <c r="AJ12" s="10">
        <v>160.5</v>
      </c>
      <c r="AK12" s="7">
        <v>160</v>
      </c>
      <c r="AL12" s="7">
        <v>149</v>
      </c>
      <c r="AM12" s="10">
        <v>190</v>
      </c>
      <c r="AN12" s="10">
        <v>176</v>
      </c>
      <c r="AO12" s="7">
        <v>125</v>
      </c>
      <c r="AP12" s="7">
        <v>112</v>
      </c>
      <c r="AQ12" s="10">
        <v>123</v>
      </c>
      <c r="AR12" s="10">
        <v>110</v>
      </c>
      <c r="AS12" s="7">
        <v>112</v>
      </c>
      <c r="AT12" s="7">
        <v>96</v>
      </c>
      <c r="AV12" s="9"/>
      <c r="AW12" s="9"/>
      <c r="AX12" s="22"/>
      <c r="AY12" s="9"/>
      <c r="AZ12" s="9"/>
    </row>
    <row r="13" spans="1:52" x14ac:dyDescent="0.25">
      <c r="A13" s="1">
        <v>43.2</v>
      </c>
      <c r="B13" s="1">
        <v>41</v>
      </c>
      <c r="C13" s="2">
        <v>45.4</v>
      </c>
      <c r="D13" s="2">
        <v>40.799999999999997</v>
      </c>
      <c r="K13" s="2">
        <v>58.5</v>
      </c>
      <c r="L13" s="2">
        <v>54</v>
      </c>
      <c r="M13" s="1">
        <v>55</v>
      </c>
      <c r="N13" s="1">
        <v>52</v>
      </c>
      <c r="Q13" s="1">
        <v>80</v>
      </c>
      <c r="R13" s="1">
        <v>72</v>
      </c>
      <c r="S13" s="2">
        <v>90</v>
      </c>
      <c r="T13" s="2">
        <v>80</v>
      </c>
      <c r="U13" s="1">
        <v>107</v>
      </c>
      <c r="V13" s="1">
        <v>97</v>
      </c>
      <c r="W13" s="2">
        <v>127</v>
      </c>
      <c r="X13" s="2">
        <v>119</v>
      </c>
      <c r="Y13" s="1">
        <v>115</v>
      </c>
      <c r="Z13" s="1">
        <v>99</v>
      </c>
      <c r="AC13" s="1">
        <v>165</v>
      </c>
      <c r="AD13" s="1">
        <v>146</v>
      </c>
      <c r="AE13" s="2">
        <v>207</v>
      </c>
      <c r="AF13" s="2">
        <v>180</v>
      </c>
      <c r="AG13" s="7">
        <v>159.5</v>
      </c>
      <c r="AH13" s="7">
        <v>157</v>
      </c>
      <c r="AI13" s="10">
        <v>161</v>
      </c>
      <c r="AJ13" s="10">
        <v>161</v>
      </c>
      <c r="AK13" s="7">
        <v>161</v>
      </c>
      <c r="AL13" s="7">
        <v>146</v>
      </c>
      <c r="AM13" s="10">
        <v>190</v>
      </c>
      <c r="AN13" s="10">
        <v>172</v>
      </c>
      <c r="AO13" s="7">
        <v>138</v>
      </c>
      <c r="AP13" s="7">
        <v>116</v>
      </c>
      <c r="AQ13" s="10">
        <v>121</v>
      </c>
      <c r="AR13" s="10">
        <v>109</v>
      </c>
      <c r="AS13" s="7">
        <v>107</v>
      </c>
      <c r="AT13" s="7">
        <v>96</v>
      </c>
      <c r="AV13" s="9"/>
      <c r="AW13" s="9"/>
      <c r="AX13" s="22"/>
      <c r="AY13" s="9"/>
      <c r="AZ13" s="9"/>
    </row>
    <row r="14" spans="1:52" x14ac:dyDescent="0.25">
      <c r="A14" s="1">
        <v>44.2</v>
      </c>
      <c r="B14" s="1">
        <v>38.4</v>
      </c>
      <c r="C14" s="2">
        <v>42.2</v>
      </c>
      <c r="D14" s="2">
        <v>39</v>
      </c>
      <c r="K14" s="2">
        <v>65</v>
      </c>
      <c r="L14" s="2">
        <v>60</v>
      </c>
      <c r="M14" s="1">
        <v>56</v>
      </c>
      <c r="N14" s="1">
        <v>51</v>
      </c>
      <c r="Q14" s="1">
        <v>81</v>
      </c>
      <c r="R14" s="1">
        <v>73</v>
      </c>
      <c r="S14" s="2">
        <v>88</v>
      </c>
      <c r="T14" s="2">
        <v>80</v>
      </c>
      <c r="U14" s="1">
        <v>105</v>
      </c>
      <c r="V14" s="1">
        <v>97</v>
      </c>
      <c r="W14" s="2">
        <v>126</v>
      </c>
      <c r="X14" s="2">
        <v>117</v>
      </c>
      <c r="Y14" s="1">
        <v>113</v>
      </c>
      <c r="Z14" s="1">
        <v>98</v>
      </c>
      <c r="AC14" s="1">
        <v>163</v>
      </c>
      <c r="AD14" s="1">
        <v>145</v>
      </c>
      <c r="AE14" s="2">
        <v>178</v>
      </c>
      <c r="AF14" s="2">
        <v>158</v>
      </c>
      <c r="AG14" s="7">
        <v>156.5</v>
      </c>
      <c r="AH14" s="7">
        <v>153</v>
      </c>
      <c r="AI14" s="10">
        <v>161.5</v>
      </c>
      <c r="AJ14" s="10">
        <v>158</v>
      </c>
      <c r="AK14" s="7">
        <v>162</v>
      </c>
      <c r="AL14" s="7">
        <v>147</v>
      </c>
      <c r="AM14" s="10">
        <v>193</v>
      </c>
      <c r="AN14" s="10">
        <v>176</v>
      </c>
      <c r="AO14" s="7">
        <v>130</v>
      </c>
      <c r="AP14" s="7">
        <v>112</v>
      </c>
      <c r="AQ14" s="10">
        <v>130</v>
      </c>
      <c r="AR14" s="10">
        <v>110</v>
      </c>
      <c r="AS14" s="7">
        <v>110</v>
      </c>
      <c r="AT14" s="7">
        <v>94</v>
      </c>
      <c r="AV14" s="9"/>
      <c r="AW14" s="9"/>
      <c r="AX14" s="22"/>
      <c r="AY14" s="9"/>
      <c r="AZ14" s="9"/>
    </row>
    <row r="15" spans="1:52" x14ac:dyDescent="0.25">
      <c r="A15" s="1">
        <v>40.200000000000003</v>
      </c>
      <c r="B15" s="1">
        <v>37.799999999999997</v>
      </c>
      <c r="C15" s="2">
        <v>42.8</v>
      </c>
      <c r="D15" s="2">
        <v>39.200000000000003</v>
      </c>
      <c r="K15" s="2">
        <v>56</v>
      </c>
      <c r="L15" s="2">
        <v>55</v>
      </c>
      <c r="M15" s="1">
        <v>62</v>
      </c>
      <c r="N15" s="1">
        <v>56</v>
      </c>
      <c r="Q15" s="1">
        <v>82</v>
      </c>
      <c r="R15" s="1">
        <v>75</v>
      </c>
      <c r="S15" s="2">
        <v>85</v>
      </c>
      <c r="T15" s="2">
        <v>78</v>
      </c>
      <c r="U15" s="1">
        <v>102</v>
      </c>
      <c r="V15" s="1">
        <v>94</v>
      </c>
      <c r="W15" s="2">
        <v>117</v>
      </c>
      <c r="X15" s="2">
        <v>109</v>
      </c>
      <c r="Y15" s="1">
        <v>113</v>
      </c>
      <c r="Z15" s="1">
        <v>98</v>
      </c>
      <c r="AC15" s="1">
        <v>164.5</v>
      </c>
      <c r="AD15" s="1">
        <v>145</v>
      </c>
      <c r="AE15" s="2">
        <v>201</v>
      </c>
      <c r="AF15" s="2">
        <v>179</v>
      </c>
      <c r="AG15" s="7">
        <v>158</v>
      </c>
      <c r="AH15" s="7">
        <v>156</v>
      </c>
      <c r="AI15" s="10">
        <v>163</v>
      </c>
      <c r="AJ15" s="10">
        <v>162.5</v>
      </c>
      <c r="AK15" s="7">
        <v>162</v>
      </c>
      <c r="AL15" s="7">
        <v>148</v>
      </c>
      <c r="AM15" s="10">
        <v>191</v>
      </c>
      <c r="AN15" s="10">
        <v>180</v>
      </c>
      <c r="AO15" s="7">
        <v>142</v>
      </c>
      <c r="AP15" s="7">
        <v>120</v>
      </c>
      <c r="AQ15" s="10">
        <v>123</v>
      </c>
      <c r="AR15" s="10">
        <v>110</v>
      </c>
      <c r="AS15" s="7">
        <v>109</v>
      </c>
      <c r="AT15" s="7">
        <v>96</v>
      </c>
      <c r="AV15" s="9"/>
      <c r="AW15" s="9"/>
      <c r="AX15" s="22"/>
      <c r="AY15" s="9"/>
      <c r="AZ15" s="9"/>
    </row>
    <row r="16" spans="1:52" x14ac:dyDescent="0.25">
      <c r="A16" s="1">
        <v>44.2</v>
      </c>
      <c r="B16" s="1">
        <v>41</v>
      </c>
      <c r="C16" s="2">
        <v>45</v>
      </c>
      <c r="D16" s="2">
        <v>40.9</v>
      </c>
      <c r="K16" s="2">
        <v>55</v>
      </c>
      <c r="L16" s="10">
        <v>50</v>
      </c>
      <c r="M16" s="1">
        <v>60</v>
      </c>
      <c r="N16" s="1">
        <v>54</v>
      </c>
      <c r="Q16" s="1">
        <v>84</v>
      </c>
      <c r="R16" s="1">
        <v>78</v>
      </c>
      <c r="S16" s="2">
        <v>83</v>
      </c>
      <c r="T16" s="2">
        <v>76</v>
      </c>
      <c r="U16" s="1">
        <v>103</v>
      </c>
      <c r="V16" s="1">
        <v>95</v>
      </c>
      <c r="W16" s="2">
        <v>122</v>
      </c>
      <c r="X16" s="2">
        <v>113</v>
      </c>
      <c r="Y16" s="1">
        <v>113</v>
      </c>
      <c r="Z16" s="1">
        <v>99</v>
      </c>
      <c r="AC16" s="1">
        <v>164</v>
      </c>
      <c r="AD16" s="1">
        <v>146</v>
      </c>
      <c r="AE16" s="2">
        <v>192.5</v>
      </c>
      <c r="AF16" s="2">
        <v>172</v>
      </c>
      <c r="AG16" s="7">
        <v>158</v>
      </c>
      <c r="AH16" s="7">
        <v>158</v>
      </c>
      <c r="AI16" s="10">
        <v>163</v>
      </c>
      <c r="AJ16" s="10">
        <v>163</v>
      </c>
      <c r="AK16" s="7">
        <v>131</v>
      </c>
      <c r="AL16" s="7">
        <v>119</v>
      </c>
      <c r="AM16" s="10">
        <v>191</v>
      </c>
      <c r="AN16" s="10">
        <v>186</v>
      </c>
      <c r="AO16" s="7">
        <v>145</v>
      </c>
      <c r="AP16" s="7">
        <v>120</v>
      </c>
      <c r="AQ16" s="10">
        <v>138</v>
      </c>
      <c r="AR16" s="10">
        <v>118</v>
      </c>
      <c r="AS16" s="7">
        <v>103</v>
      </c>
      <c r="AT16" s="7">
        <v>90</v>
      </c>
      <c r="AV16" s="9"/>
      <c r="AW16" s="9"/>
      <c r="AX16" s="22"/>
      <c r="AY16" s="9"/>
      <c r="AZ16" s="9"/>
    </row>
    <row r="17" spans="1:52" x14ac:dyDescent="0.25">
      <c r="A17" s="1">
        <v>46.2</v>
      </c>
      <c r="B17" s="1">
        <v>43.8</v>
      </c>
      <c r="C17" s="2">
        <v>44</v>
      </c>
      <c r="D17" s="2">
        <v>40.799999999999997</v>
      </c>
      <c r="K17" s="2">
        <v>55</v>
      </c>
      <c r="L17" s="2">
        <v>51</v>
      </c>
      <c r="M17" s="1">
        <v>58</v>
      </c>
      <c r="N17" s="1">
        <v>54</v>
      </c>
      <c r="Q17" s="1">
        <v>89</v>
      </c>
      <c r="R17" s="1">
        <v>81</v>
      </c>
      <c r="S17" s="2">
        <v>84</v>
      </c>
      <c r="T17" s="2">
        <v>75</v>
      </c>
      <c r="U17" s="1">
        <v>103</v>
      </c>
      <c r="V17" s="1">
        <v>94</v>
      </c>
      <c r="W17" s="2">
        <v>125</v>
      </c>
      <c r="X17" s="2">
        <v>115</v>
      </c>
      <c r="Y17" s="1">
        <v>113</v>
      </c>
      <c r="Z17" s="1">
        <v>98</v>
      </c>
      <c r="AC17" s="1">
        <v>165</v>
      </c>
      <c r="AD17" s="1">
        <v>146</v>
      </c>
      <c r="AE17" s="2">
        <v>212</v>
      </c>
      <c r="AF17" s="2">
        <v>202</v>
      </c>
      <c r="AG17" s="7">
        <v>157.5</v>
      </c>
      <c r="AH17" s="7">
        <v>157</v>
      </c>
      <c r="AI17" s="10">
        <v>162.5</v>
      </c>
      <c r="AJ17" s="10">
        <v>161</v>
      </c>
      <c r="AK17" s="7">
        <v>163</v>
      </c>
      <c r="AL17" s="7">
        <v>148</v>
      </c>
      <c r="AM17" s="10">
        <v>195</v>
      </c>
      <c r="AN17" s="10">
        <v>181</v>
      </c>
      <c r="AO17" s="7">
        <v>143</v>
      </c>
      <c r="AP17" s="7">
        <v>120</v>
      </c>
      <c r="AQ17" s="10">
        <v>133</v>
      </c>
      <c r="AR17" s="10">
        <v>114</v>
      </c>
      <c r="AS17" s="7">
        <v>107</v>
      </c>
      <c r="AT17" s="7">
        <v>90</v>
      </c>
      <c r="AV17" s="9"/>
      <c r="AW17" s="9"/>
      <c r="AX17" s="22"/>
      <c r="AY17" s="9"/>
      <c r="AZ17" s="9"/>
    </row>
    <row r="18" spans="1:52" x14ac:dyDescent="0.25">
      <c r="A18" s="1">
        <v>41.9</v>
      </c>
      <c r="B18" s="1">
        <v>40</v>
      </c>
      <c r="C18" s="2">
        <v>43.4</v>
      </c>
      <c r="D18" s="2">
        <v>39.5</v>
      </c>
      <c r="K18" s="2">
        <v>56</v>
      </c>
      <c r="L18" s="2">
        <v>52</v>
      </c>
      <c r="M18" s="1">
        <v>58.3</v>
      </c>
      <c r="N18" s="1">
        <v>54</v>
      </c>
      <c r="Q18" s="1">
        <v>89</v>
      </c>
      <c r="R18" s="1">
        <v>82</v>
      </c>
      <c r="S18" s="2">
        <v>90</v>
      </c>
      <c r="T18" s="2">
        <v>80</v>
      </c>
      <c r="U18" s="1">
        <v>102</v>
      </c>
      <c r="V18" s="1">
        <v>95</v>
      </c>
      <c r="W18" s="2">
        <v>120</v>
      </c>
      <c r="X18" s="2">
        <v>112</v>
      </c>
      <c r="Y18" s="1">
        <v>113</v>
      </c>
      <c r="Z18" s="1">
        <v>98</v>
      </c>
      <c r="AC18" s="1">
        <v>169</v>
      </c>
      <c r="AD18" s="1">
        <v>149</v>
      </c>
      <c r="AE18" s="2">
        <v>191.5</v>
      </c>
      <c r="AF18" s="2">
        <v>170</v>
      </c>
      <c r="AG18" s="7">
        <v>157</v>
      </c>
      <c r="AH18" s="7">
        <v>157</v>
      </c>
      <c r="AI18" s="10">
        <v>161</v>
      </c>
      <c r="AJ18" s="10">
        <v>159</v>
      </c>
      <c r="AK18" s="7">
        <v>163</v>
      </c>
      <c r="AL18" s="7">
        <v>148</v>
      </c>
      <c r="AM18" s="10">
        <v>195</v>
      </c>
      <c r="AN18" s="10">
        <v>178</v>
      </c>
      <c r="AO18" s="7">
        <v>154</v>
      </c>
      <c r="AP18" s="7">
        <v>127</v>
      </c>
      <c r="AQ18" s="10">
        <v>128</v>
      </c>
      <c r="AR18" s="10">
        <v>108</v>
      </c>
      <c r="AS18" s="7">
        <v>108</v>
      </c>
      <c r="AT18" s="7">
        <v>95</v>
      </c>
      <c r="AV18" s="9"/>
      <c r="AW18" s="9"/>
      <c r="AX18" s="22"/>
      <c r="AY18" s="9"/>
      <c r="AZ18" s="9"/>
    </row>
    <row r="19" spans="1:52" x14ac:dyDescent="0.25">
      <c r="A19" s="1">
        <v>41.7</v>
      </c>
      <c r="B19" s="1">
        <v>39.200000000000003</v>
      </c>
      <c r="C19" s="2">
        <v>47.2</v>
      </c>
      <c r="D19" s="2">
        <v>43.8</v>
      </c>
      <c r="K19" s="2">
        <v>57.3</v>
      </c>
      <c r="L19" s="2">
        <v>54</v>
      </c>
      <c r="M19" s="1">
        <v>58</v>
      </c>
      <c r="N19" s="1">
        <v>52</v>
      </c>
      <c r="Q19" s="1">
        <v>89</v>
      </c>
      <c r="R19" s="1">
        <v>84</v>
      </c>
      <c r="S19" s="2">
        <v>86</v>
      </c>
      <c r="T19" s="2">
        <v>78</v>
      </c>
      <c r="U19" s="1">
        <v>102</v>
      </c>
      <c r="V19" s="1">
        <v>95</v>
      </c>
      <c r="W19" s="2">
        <v>123</v>
      </c>
      <c r="X19" s="2">
        <v>114</v>
      </c>
      <c r="AC19" s="1">
        <v>166.5</v>
      </c>
      <c r="AD19" s="1">
        <v>147</v>
      </c>
      <c r="AE19" s="2">
        <v>199</v>
      </c>
      <c r="AF19" s="2">
        <v>177</v>
      </c>
      <c r="AG19" s="7">
        <v>158</v>
      </c>
      <c r="AH19" s="7">
        <v>156.5</v>
      </c>
      <c r="AI19" s="10">
        <v>162</v>
      </c>
      <c r="AJ19" s="10">
        <v>159.5</v>
      </c>
      <c r="AK19" s="7">
        <v>167</v>
      </c>
      <c r="AL19" s="7">
        <v>147</v>
      </c>
      <c r="AM19" s="10">
        <v>189</v>
      </c>
      <c r="AN19" s="10">
        <v>172</v>
      </c>
      <c r="AO19" s="7">
        <v>142</v>
      </c>
      <c r="AP19" s="7">
        <v>120</v>
      </c>
      <c r="AQ19" s="10">
        <v>122</v>
      </c>
      <c r="AR19" s="10">
        <v>107</v>
      </c>
      <c r="AS19" s="7">
        <v>107</v>
      </c>
      <c r="AT19" s="7">
        <v>94</v>
      </c>
      <c r="AV19" s="9"/>
      <c r="AW19" s="9"/>
      <c r="AX19" s="22"/>
      <c r="AY19" s="9"/>
      <c r="AZ19" s="9"/>
    </row>
    <row r="20" spans="1:52" x14ac:dyDescent="0.25">
      <c r="A20" s="1">
        <v>41.6</v>
      </c>
      <c r="B20" s="1">
        <v>39</v>
      </c>
      <c r="C20" s="2">
        <v>44.4</v>
      </c>
      <c r="D20" s="2">
        <v>40.6</v>
      </c>
      <c r="M20" s="1">
        <v>56</v>
      </c>
      <c r="N20" s="1">
        <v>51</v>
      </c>
      <c r="Q20" s="1">
        <v>94</v>
      </c>
      <c r="R20" s="1">
        <v>87</v>
      </c>
      <c r="S20" s="2">
        <v>88</v>
      </c>
      <c r="T20" s="2">
        <v>80</v>
      </c>
      <c r="U20" s="1">
        <v>103</v>
      </c>
      <c r="V20" s="1">
        <v>95</v>
      </c>
      <c r="W20" s="2">
        <v>125</v>
      </c>
      <c r="X20" s="2">
        <v>115</v>
      </c>
      <c r="AC20" s="1">
        <v>164.5</v>
      </c>
      <c r="AD20" s="1">
        <v>146</v>
      </c>
      <c r="AE20" s="2">
        <v>195</v>
      </c>
      <c r="AF20" s="2">
        <v>175</v>
      </c>
      <c r="AG20" s="7">
        <v>159</v>
      </c>
      <c r="AH20" s="7">
        <v>155</v>
      </c>
      <c r="AI20" s="10">
        <v>162</v>
      </c>
      <c r="AJ20" s="10">
        <v>161</v>
      </c>
      <c r="AK20" s="7">
        <v>158</v>
      </c>
      <c r="AL20" s="7">
        <v>150</v>
      </c>
      <c r="AM20" s="10">
        <v>190</v>
      </c>
      <c r="AN20" s="10">
        <v>171</v>
      </c>
      <c r="AO20" s="7">
        <v>132</v>
      </c>
      <c r="AP20" s="7">
        <v>118</v>
      </c>
      <c r="AQ20" s="10">
        <v>120</v>
      </c>
      <c r="AR20" s="10">
        <v>114</v>
      </c>
      <c r="AS20" s="7">
        <v>103</v>
      </c>
      <c r="AT20" s="7">
        <v>90</v>
      </c>
      <c r="AV20" s="9"/>
      <c r="AW20" s="9"/>
      <c r="AX20" s="22"/>
      <c r="AY20" s="9"/>
      <c r="AZ20" s="9"/>
    </row>
    <row r="21" spans="1:52" x14ac:dyDescent="0.25">
      <c r="A21" s="1">
        <v>39.799999999999997</v>
      </c>
      <c r="B21" s="1">
        <v>38</v>
      </c>
      <c r="C21" s="2">
        <v>43.2</v>
      </c>
      <c r="D21" s="2">
        <v>39.6</v>
      </c>
      <c r="M21" s="1">
        <v>55</v>
      </c>
      <c r="N21" s="1">
        <v>50</v>
      </c>
      <c r="Q21" s="1">
        <v>83</v>
      </c>
      <c r="R21" s="1">
        <v>75</v>
      </c>
      <c r="S21" s="2">
        <v>84</v>
      </c>
      <c r="T21" s="2">
        <v>75</v>
      </c>
      <c r="U21" s="1">
        <v>103</v>
      </c>
      <c r="V21" s="1">
        <v>95</v>
      </c>
      <c r="W21" s="2">
        <v>119</v>
      </c>
      <c r="X21" s="2">
        <v>111</v>
      </c>
      <c r="AC21" s="1">
        <v>166</v>
      </c>
      <c r="AD21" s="1">
        <v>147</v>
      </c>
      <c r="AE21" s="2">
        <v>191.5</v>
      </c>
      <c r="AF21" s="2">
        <v>170</v>
      </c>
      <c r="AG21" s="7">
        <v>159.5</v>
      </c>
      <c r="AH21" s="7">
        <v>159</v>
      </c>
      <c r="AI21" s="10">
        <v>161</v>
      </c>
      <c r="AJ21" s="10">
        <v>159.5</v>
      </c>
      <c r="AK21" s="7">
        <v>157</v>
      </c>
      <c r="AL21" s="7">
        <v>147</v>
      </c>
      <c r="AM21" s="9"/>
      <c r="AN21" s="9"/>
      <c r="AO21" s="7">
        <v>136</v>
      </c>
      <c r="AP21" s="7">
        <v>116</v>
      </c>
      <c r="AQ21" s="10">
        <v>124</v>
      </c>
      <c r="AR21" s="10">
        <v>108</v>
      </c>
      <c r="AS21" s="7">
        <v>104</v>
      </c>
      <c r="AT21" s="7">
        <v>90</v>
      </c>
      <c r="AV21" s="9"/>
      <c r="AW21" s="9"/>
      <c r="AX21" s="22"/>
      <c r="AY21" s="9"/>
      <c r="AZ21" s="9"/>
    </row>
    <row r="22" spans="1:52" x14ac:dyDescent="0.25">
      <c r="A22" s="1">
        <v>41</v>
      </c>
      <c r="B22" s="1">
        <v>38.700000000000003</v>
      </c>
      <c r="C22" s="2">
        <v>43.2</v>
      </c>
      <c r="D22" s="2">
        <v>40.200000000000003</v>
      </c>
      <c r="M22" s="1">
        <v>55</v>
      </c>
      <c r="N22" s="1">
        <v>50</v>
      </c>
      <c r="Q22" s="1">
        <v>80</v>
      </c>
      <c r="R22" s="1">
        <v>73</v>
      </c>
      <c r="S22" s="2">
        <v>84</v>
      </c>
      <c r="T22" s="2">
        <v>77</v>
      </c>
      <c r="U22" s="1">
        <v>103</v>
      </c>
      <c r="V22" s="1">
        <v>95</v>
      </c>
      <c r="W22" s="2">
        <v>127</v>
      </c>
      <c r="X22" s="2">
        <v>119</v>
      </c>
      <c r="AC22" s="1">
        <v>164</v>
      </c>
      <c r="AD22" s="1">
        <v>145</v>
      </c>
      <c r="AE22" s="2">
        <v>177</v>
      </c>
      <c r="AF22" s="2">
        <v>156</v>
      </c>
      <c r="AG22" s="7">
        <v>159</v>
      </c>
      <c r="AH22" s="7">
        <v>158.5</v>
      </c>
      <c r="AI22" s="10">
        <v>162</v>
      </c>
      <c r="AJ22" s="10">
        <v>161</v>
      </c>
      <c r="AK22" s="7">
        <v>153</v>
      </c>
      <c r="AL22" s="7">
        <v>143</v>
      </c>
      <c r="AM22" s="9"/>
      <c r="AN22" s="9"/>
      <c r="AO22" s="7">
        <v>150</v>
      </c>
      <c r="AP22" s="7">
        <v>125</v>
      </c>
      <c r="AQ22" s="10">
        <v>120</v>
      </c>
      <c r="AR22" s="10">
        <v>109</v>
      </c>
      <c r="AS22" s="7">
        <v>108</v>
      </c>
      <c r="AT22" s="7">
        <v>91</v>
      </c>
      <c r="AV22" s="9"/>
      <c r="AW22" s="9"/>
      <c r="AX22" s="22"/>
      <c r="AY22" s="9"/>
      <c r="AZ22" s="9"/>
    </row>
    <row r="23" spans="1:52" x14ac:dyDescent="0.25">
      <c r="A23" s="1">
        <v>40.799999999999997</v>
      </c>
      <c r="B23" s="1">
        <v>38.1</v>
      </c>
      <c r="C23" s="2">
        <v>42.1</v>
      </c>
      <c r="D23" s="2">
        <v>38.5</v>
      </c>
      <c r="M23" s="1">
        <v>55</v>
      </c>
      <c r="N23" s="1">
        <v>60</v>
      </c>
      <c r="Q23" s="1">
        <v>92</v>
      </c>
      <c r="R23" s="1">
        <v>84</v>
      </c>
      <c r="S23" s="2">
        <v>86</v>
      </c>
      <c r="T23" s="2">
        <v>78</v>
      </c>
      <c r="U23" s="1">
        <v>103</v>
      </c>
      <c r="V23" s="1">
        <v>94</v>
      </c>
      <c r="W23" s="2">
        <v>126</v>
      </c>
      <c r="X23" s="2">
        <v>117</v>
      </c>
      <c r="AC23" s="1">
        <v>163.5</v>
      </c>
      <c r="AD23" s="1">
        <v>145</v>
      </c>
      <c r="AE23" s="2">
        <v>223</v>
      </c>
      <c r="AF23" s="2">
        <v>201</v>
      </c>
      <c r="AG23" s="7">
        <v>157</v>
      </c>
      <c r="AH23" s="7">
        <v>156</v>
      </c>
      <c r="AI23" s="10">
        <v>161.5</v>
      </c>
      <c r="AJ23" s="10">
        <v>160</v>
      </c>
      <c r="AK23" s="7">
        <v>153</v>
      </c>
      <c r="AL23" s="7">
        <v>150</v>
      </c>
      <c r="AO23" s="7">
        <v>138</v>
      </c>
      <c r="AP23" s="7">
        <v>115</v>
      </c>
      <c r="AQ23" s="10">
        <v>130</v>
      </c>
      <c r="AR23" s="10">
        <v>108</v>
      </c>
      <c r="AS23" s="7">
        <v>105</v>
      </c>
      <c r="AT23" s="7">
        <v>90</v>
      </c>
      <c r="AV23" s="9"/>
      <c r="AW23" s="9"/>
      <c r="AX23" s="22"/>
      <c r="AY23" s="9"/>
      <c r="AZ23" s="9"/>
    </row>
    <row r="24" spans="1:52" x14ac:dyDescent="0.25">
      <c r="A24" s="1">
        <v>41.4</v>
      </c>
      <c r="B24" s="1">
        <v>39</v>
      </c>
      <c r="C24" s="2">
        <v>44.6</v>
      </c>
      <c r="D24" s="2">
        <v>40.200000000000003</v>
      </c>
      <c r="Q24" s="1">
        <v>92</v>
      </c>
      <c r="R24" s="1">
        <v>86</v>
      </c>
      <c r="S24" s="2">
        <v>88</v>
      </c>
      <c r="T24" s="2">
        <v>79</v>
      </c>
      <c r="U24" s="1">
        <v>103</v>
      </c>
      <c r="V24" s="1">
        <v>95</v>
      </c>
      <c r="W24" s="2">
        <v>122</v>
      </c>
      <c r="X24" s="2">
        <v>112</v>
      </c>
      <c r="AC24" s="1">
        <v>164</v>
      </c>
      <c r="AD24" s="1">
        <v>145</v>
      </c>
      <c r="AE24" s="2">
        <v>205</v>
      </c>
      <c r="AF24" s="2">
        <v>193</v>
      </c>
      <c r="AG24" s="7">
        <v>156</v>
      </c>
      <c r="AH24" s="7">
        <v>154.5</v>
      </c>
      <c r="AI24" s="10">
        <v>162.5</v>
      </c>
      <c r="AJ24" s="10">
        <v>162</v>
      </c>
      <c r="AK24" s="7">
        <v>164</v>
      </c>
      <c r="AL24" s="7">
        <v>149</v>
      </c>
      <c r="AO24" s="7">
        <v>140</v>
      </c>
      <c r="AP24" s="7">
        <v>120</v>
      </c>
      <c r="AQ24" s="10">
        <v>117</v>
      </c>
      <c r="AR24" s="10">
        <v>110</v>
      </c>
      <c r="AS24" s="7">
        <v>109</v>
      </c>
      <c r="AT24" s="7">
        <v>95</v>
      </c>
      <c r="AV24" s="9"/>
      <c r="AW24" s="9"/>
      <c r="AX24" s="22"/>
      <c r="AY24" s="9"/>
      <c r="AZ24" s="9"/>
    </row>
    <row r="25" spans="1:52" x14ac:dyDescent="0.25">
      <c r="A25" s="1">
        <v>42.5</v>
      </c>
      <c r="B25" s="1">
        <v>40.200000000000003</v>
      </c>
      <c r="C25" s="2">
        <v>44</v>
      </c>
      <c r="D25" s="2">
        <v>39.9</v>
      </c>
      <c r="Q25" s="1">
        <v>90</v>
      </c>
      <c r="R25" s="1">
        <v>83</v>
      </c>
      <c r="S25" s="2">
        <v>84</v>
      </c>
      <c r="T25" s="2">
        <v>76</v>
      </c>
      <c r="U25" s="1">
        <v>102</v>
      </c>
      <c r="V25" s="1">
        <v>94</v>
      </c>
      <c r="W25" s="2">
        <v>119</v>
      </c>
      <c r="X25" s="2">
        <v>111</v>
      </c>
      <c r="AC25" s="1">
        <v>164</v>
      </c>
      <c r="AD25" s="1">
        <v>145</v>
      </c>
      <c r="AE25" s="2">
        <v>204</v>
      </c>
      <c r="AF25" s="2">
        <v>192</v>
      </c>
      <c r="AG25" s="7">
        <v>159.5</v>
      </c>
      <c r="AH25" s="7">
        <v>159</v>
      </c>
      <c r="AI25" s="10">
        <v>162.5</v>
      </c>
      <c r="AJ25" s="10">
        <v>163</v>
      </c>
      <c r="AK25" s="7">
        <v>163</v>
      </c>
      <c r="AL25" s="7">
        <v>148</v>
      </c>
      <c r="AO25" s="7">
        <v>148</v>
      </c>
      <c r="AP25" s="7">
        <v>122</v>
      </c>
      <c r="AQ25" s="10">
        <v>131</v>
      </c>
      <c r="AR25" s="10">
        <v>116</v>
      </c>
      <c r="AS25" s="7">
        <v>100</v>
      </c>
      <c r="AT25" s="7">
        <v>87</v>
      </c>
      <c r="AV25" s="9"/>
      <c r="AW25" s="9"/>
      <c r="AX25" s="22"/>
      <c r="AY25" s="9"/>
      <c r="AZ25" s="9"/>
    </row>
    <row r="26" spans="1:52" x14ac:dyDescent="0.25">
      <c r="A26" s="1">
        <v>42.1</v>
      </c>
      <c r="B26" s="1">
        <v>39.9</v>
      </c>
      <c r="C26" s="2">
        <v>42.4</v>
      </c>
      <c r="D26" s="2">
        <v>39.1</v>
      </c>
      <c r="Q26" s="1">
        <v>89</v>
      </c>
      <c r="R26" s="1">
        <v>86</v>
      </c>
      <c r="U26" s="1">
        <v>102</v>
      </c>
      <c r="V26" s="1">
        <v>94</v>
      </c>
      <c r="W26" s="2">
        <v>123</v>
      </c>
      <c r="X26" s="2">
        <v>115</v>
      </c>
      <c r="AC26" s="1">
        <v>163</v>
      </c>
      <c r="AD26" s="1">
        <v>144</v>
      </c>
      <c r="AE26" s="2">
        <v>215</v>
      </c>
      <c r="AF26" s="2">
        <v>193</v>
      </c>
      <c r="AG26" s="7">
        <v>157</v>
      </c>
      <c r="AH26" s="7">
        <v>154</v>
      </c>
      <c r="AI26" s="10">
        <v>162</v>
      </c>
      <c r="AJ26" s="10">
        <v>162</v>
      </c>
      <c r="AK26" s="7">
        <v>164</v>
      </c>
      <c r="AL26" s="7">
        <v>146</v>
      </c>
      <c r="AO26" s="7">
        <v>173</v>
      </c>
      <c r="AP26" s="7">
        <v>152</v>
      </c>
      <c r="AQ26" s="10">
        <v>132</v>
      </c>
      <c r="AR26" s="10">
        <v>116</v>
      </c>
      <c r="AS26" s="7">
        <v>107</v>
      </c>
      <c r="AT26" s="7">
        <v>95</v>
      </c>
      <c r="AV26" s="9"/>
      <c r="AW26" s="9"/>
      <c r="AX26" s="22"/>
      <c r="AY26" s="9"/>
      <c r="AZ26" s="9"/>
    </row>
    <row r="27" spans="1:52" x14ac:dyDescent="0.25">
      <c r="A27" s="1">
        <v>41.5</v>
      </c>
      <c r="B27" s="1">
        <v>39.700000000000003</v>
      </c>
      <c r="Q27" s="1">
        <v>91</v>
      </c>
      <c r="R27" s="1">
        <v>84</v>
      </c>
      <c r="U27" s="1">
        <v>104</v>
      </c>
      <c r="V27" s="1">
        <v>95</v>
      </c>
      <c r="W27" s="2">
        <v>118</v>
      </c>
      <c r="X27" s="2">
        <v>109</v>
      </c>
      <c r="AC27" s="1">
        <v>170</v>
      </c>
      <c r="AD27" s="1">
        <v>144</v>
      </c>
      <c r="AE27" s="2">
        <v>198</v>
      </c>
      <c r="AF27" s="2">
        <v>177</v>
      </c>
      <c r="AG27" s="7">
        <v>156</v>
      </c>
      <c r="AH27" s="7">
        <v>155.5</v>
      </c>
      <c r="AI27" s="10">
        <v>162</v>
      </c>
      <c r="AJ27" s="10">
        <v>160.5</v>
      </c>
      <c r="AK27" s="7">
        <v>157</v>
      </c>
      <c r="AL27" s="7">
        <v>148</v>
      </c>
      <c r="AO27" s="7">
        <v>166</v>
      </c>
      <c r="AP27" s="7">
        <v>151</v>
      </c>
      <c r="AQ27" s="10">
        <v>129</v>
      </c>
      <c r="AR27" s="10">
        <v>111</v>
      </c>
      <c r="AS27" s="7">
        <v>113</v>
      </c>
      <c r="AT27" s="7">
        <v>90</v>
      </c>
      <c r="AV27" s="9"/>
      <c r="AW27" s="9"/>
      <c r="AX27" s="22"/>
      <c r="AY27" s="9"/>
      <c r="AZ27" s="9"/>
    </row>
    <row r="28" spans="1:52" x14ac:dyDescent="0.25">
      <c r="A28" s="1">
        <v>41</v>
      </c>
      <c r="B28" s="1">
        <v>38.9</v>
      </c>
      <c r="Q28" s="1">
        <v>87</v>
      </c>
      <c r="R28" s="1">
        <v>80</v>
      </c>
      <c r="U28" s="1">
        <v>103</v>
      </c>
      <c r="V28" s="1">
        <v>94</v>
      </c>
      <c r="W28" s="2">
        <v>113</v>
      </c>
      <c r="X28" s="2">
        <v>105</v>
      </c>
      <c r="AC28" s="1">
        <v>163</v>
      </c>
      <c r="AD28" s="1">
        <v>144</v>
      </c>
      <c r="AG28" s="7">
        <v>157</v>
      </c>
      <c r="AH28" s="7">
        <v>155</v>
      </c>
      <c r="AI28" s="10">
        <v>163</v>
      </c>
      <c r="AJ28" s="10">
        <v>161.5</v>
      </c>
      <c r="AK28" s="7">
        <v>155</v>
      </c>
      <c r="AL28" s="7">
        <v>147</v>
      </c>
      <c r="AO28" s="7">
        <v>153</v>
      </c>
      <c r="AP28" s="7">
        <v>120</v>
      </c>
      <c r="AQ28" s="10">
        <v>127</v>
      </c>
      <c r="AR28" s="10">
        <v>120</v>
      </c>
      <c r="AS28" s="7">
        <v>110</v>
      </c>
      <c r="AT28" s="7">
        <v>94</v>
      </c>
      <c r="AV28" s="9"/>
      <c r="AW28" s="9"/>
      <c r="AY28" s="9"/>
      <c r="AZ28" s="9"/>
    </row>
    <row r="29" spans="1:52" x14ac:dyDescent="0.25">
      <c r="A29" s="1">
        <v>40.9</v>
      </c>
      <c r="B29" s="1">
        <v>38.1</v>
      </c>
      <c r="Q29" s="1">
        <v>81</v>
      </c>
      <c r="R29" s="1">
        <v>73</v>
      </c>
      <c r="W29" s="2">
        <v>120</v>
      </c>
      <c r="X29" s="2">
        <v>111</v>
      </c>
      <c r="AC29" s="1">
        <v>163</v>
      </c>
      <c r="AD29" s="1">
        <v>145</v>
      </c>
      <c r="AG29" s="7">
        <v>158</v>
      </c>
      <c r="AH29" s="7">
        <v>154.5</v>
      </c>
      <c r="AI29" s="10">
        <v>162</v>
      </c>
      <c r="AJ29" s="10">
        <v>160.5</v>
      </c>
      <c r="AK29" s="7">
        <v>153</v>
      </c>
      <c r="AL29" s="7">
        <v>147</v>
      </c>
      <c r="AO29" s="7">
        <v>145</v>
      </c>
      <c r="AP29" s="7">
        <v>120</v>
      </c>
      <c r="AQ29" s="10">
        <v>124</v>
      </c>
      <c r="AR29" s="10">
        <v>107</v>
      </c>
      <c r="AS29" s="7">
        <v>108</v>
      </c>
      <c r="AT29" s="7">
        <v>93</v>
      </c>
      <c r="AV29" s="9"/>
      <c r="AW29" s="9"/>
      <c r="AY29" s="9"/>
      <c r="AZ29" s="9"/>
    </row>
    <row r="30" spans="1:52" x14ac:dyDescent="0.25">
      <c r="A30" s="1">
        <v>41.1</v>
      </c>
      <c r="B30" s="1">
        <v>38.1</v>
      </c>
      <c r="Q30" s="1">
        <v>81</v>
      </c>
      <c r="R30" s="1">
        <v>73</v>
      </c>
      <c r="AC30" s="1">
        <v>163</v>
      </c>
      <c r="AD30" s="1">
        <v>146</v>
      </c>
      <c r="AI30" s="10">
        <v>162</v>
      </c>
      <c r="AJ30" s="10">
        <v>163.5</v>
      </c>
      <c r="AO30" s="7">
        <v>150</v>
      </c>
      <c r="AP30" s="7">
        <v>125</v>
      </c>
      <c r="AQ30" s="10">
        <v>131</v>
      </c>
      <c r="AR30" s="10">
        <v>113</v>
      </c>
      <c r="AS30" s="7">
        <v>105</v>
      </c>
      <c r="AT30" s="7">
        <v>92</v>
      </c>
      <c r="AV30" s="9"/>
      <c r="AW30" s="9"/>
      <c r="AZ30" s="9"/>
    </row>
    <row r="31" spans="1:52" x14ac:dyDescent="0.25">
      <c r="AC31" s="1">
        <v>164</v>
      </c>
      <c r="AD31" s="1">
        <v>148</v>
      </c>
      <c r="AI31" s="10">
        <v>162</v>
      </c>
      <c r="AJ31" s="10">
        <v>160</v>
      </c>
      <c r="AO31" s="7">
        <v>148</v>
      </c>
      <c r="AP31" s="7">
        <v>122</v>
      </c>
      <c r="AQ31" s="10">
        <v>123</v>
      </c>
      <c r="AR31" s="10">
        <v>108</v>
      </c>
      <c r="AS31" s="7">
        <v>104</v>
      </c>
      <c r="AT31" s="7">
        <v>99</v>
      </c>
      <c r="AV31" s="9"/>
      <c r="AW31" s="9"/>
      <c r="AZ31" s="9"/>
    </row>
    <row r="32" spans="1:52" x14ac:dyDescent="0.25">
      <c r="AC32" s="1">
        <v>167.5</v>
      </c>
      <c r="AD32" s="1">
        <v>147</v>
      </c>
      <c r="AI32" s="10">
        <v>162</v>
      </c>
      <c r="AJ32" s="10">
        <v>161</v>
      </c>
      <c r="AO32" s="7">
        <v>149</v>
      </c>
      <c r="AP32" s="7">
        <v>124</v>
      </c>
      <c r="AQ32" s="10">
        <v>121</v>
      </c>
      <c r="AR32" s="10">
        <v>109</v>
      </c>
      <c r="AS32" s="7">
        <v>108</v>
      </c>
      <c r="AT32" s="7">
        <v>94</v>
      </c>
      <c r="AV32" s="9"/>
      <c r="AW32" s="9"/>
      <c r="AZ32" s="9"/>
    </row>
    <row r="33" spans="17:49" x14ac:dyDescent="0.25">
      <c r="AO33" s="7">
        <v>144</v>
      </c>
      <c r="AP33" s="7">
        <v>123</v>
      </c>
      <c r="AQ33" s="10">
        <v>123</v>
      </c>
      <c r="AR33" s="10">
        <v>111</v>
      </c>
      <c r="AS33" s="7">
        <v>108</v>
      </c>
      <c r="AT33" s="7">
        <v>92</v>
      </c>
      <c r="AV33" s="9"/>
      <c r="AW33" s="9"/>
    </row>
    <row r="34" spans="17:49" x14ac:dyDescent="0.25">
      <c r="AO34" s="7">
        <v>145</v>
      </c>
      <c r="AP34" s="7">
        <v>123</v>
      </c>
      <c r="AQ34" s="10">
        <v>134</v>
      </c>
      <c r="AR34" s="10">
        <v>123</v>
      </c>
      <c r="AS34" s="7">
        <v>106</v>
      </c>
      <c r="AT34" s="7">
        <v>93</v>
      </c>
      <c r="AV34" s="9"/>
      <c r="AW34" s="9"/>
    </row>
    <row r="35" spans="17:49" x14ac:dyDescent="0.25">
      <c r="AQ35" s="10">
        <v>124</v>
      </c>
      <c r="AR35" s="10">
        <v>114</v>
      </c>
      <c r="AS35" s="7">
        <v>103</v>
      </c>
      <c r="AT35" s="7">
        <v>86</v>
      </c>
    </row>
    <row r="36" spans="17:49" x14ac:dyDescent="0.25">
      <c r="AQ36" s="10">
        <v>121</v>
      </c>
      <c r="AR36" s="10">
        <v>112</v>
      </c>
    </row>
    <row r="37" spans="17:49" x14ac:dyDescent="0.25">
      <c r="AQ37" s="10">
        <v>120</v>
      </c>
      <c r="AR37" s="10">
        <v>111</v>
      </c>
    </row>
    <row r="39" spans="17:49" x14ac:dyDescent="0.25">
      <c r="Q39" s="3"/>
      <c r="R39" s="3"/>
      <c r="S39" s="3"/>
      <c r="T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910E-0CE0-43C8-A898-2BC0BEE7140E}">
  <dimension ref="A1:AV77"/>
  <sheetViews>
    <sheetView tabSelected="1" workbookViewId="0">
      <selection activeCell="H36" sqref="H36"/>
    </sheetView>
  </sheetViews>
  <sheetFormatPr defaultColWidth="9.140625" defaultRowHeight="15" x14ac:dyDescent="0.25"/>
  <cols>
    <col min="1" max="1" width="7.7109375" style="3" bestFit="1" customWidth="1"/>
    <col min="2" max="2" width="7.7109375" style="3" customWidth="1"/>
    <col min="3" max="3" width="7.7109375" style="3" bestFit="1" customWidth="1"/>
    <col min="4" max="4" width="7.7109375" style="3" customWidth="1"/>
    <col min="5" max="5" width="7.7109375" style="3" bestFit="1" customWidth="1"/>
    <col min="6" max="6" width="7.7109375" style="3" customWidth="1"/>
    <col min="7" max="7" width="7.7109375" style="3" bestFit="1" customWidth="1"/>
    <col min="8" max="8" width="7.7109375" style="3" customWidth="1"/>
    <col min="9" max="9" width="7.7109375" style="3" bestFit="1" customWidth="1"/>
    <col min="10" max="10" width="7.7109375" style="3" customWidth="1"/>
    <col min="11" max="11" width="7.7109375" style="3" bestFit="1" customWidth="1"/>
    <col min="12" max="14" width="7.7109375" style="3" customWidth="1"/>
    <col min="15" max="15" width="7.7109375" style="3" bestFit="1" customWidth="1"/>
    <col min="16" max="16" width="7.7109375" style="3" customWidth="1"/>
    <col min="17" max="17" width="7.7109375" style="3" bestFit="1" customWidth="1"/>
    <col min="18" max="18" width="7.7109375" style="3" customWidth="1"/>
    <col min="19" max="19" width="7.7109375" style="17" bestFit="1" customWidth="1"/>
    <col min="20" max="20" width="7.7109375" style="17" customWidth="1"/>
    <col min="21" max="21" width="7.7109375" style="17" bestFit="1" customWidth="1"/>
    <col min="22" max="22" width="7.7109375" style="17" customWidth="1"/>
    <col min="23" max="23" width="7.7109375" style="3" bestFit="1" customWidth="1"/>
    <col min="24" max="24" width="7.7109375" style="3" customWidth="1"/>
    <col min="25" max="25" width="6.85546875" style="3" bestFit="1" customWidth="1"/>
    <col min="26" max="26" width="6.85546875" style="3" customWidth="1"/>
    <col min="27" max="38" width="7.7109375" style="3" bestFit="1" customWidth="1"/>
    <col min="39" max="39" width="5.5703125" style="3" bestFit="1" customWidth="1"/>
    <col min="40" max="42" width="6.140625" style="3" bestFit="1" customWidth="1"/>
    <col min="43" max="45" width="9.140625" style="3"/>
    <col min="46" max="46" width="9.140625" style="3" customWidth="1"/>
    <col min="47" max="16384" width="9.140625" style="3"/>
  </cols>
  <sheetData>
    <row r="1" spans="1:48" x14ac:dyDescent="0.25">
      <c r="A1" s="1">
        <v>1</v>
      </c>
      <c r="B1" s="1">
        <v>1</v>
      </c>
      <c r="C1" s="2">
        <v>2</v>
      </c>
      <c r="D1" s="2">
        <v>2</v>
      </c>
      <c r="E1" s="1">
        <v>3</v>
      </c>
      <c r="F1" s="1">
        <v>3</v>
      </c>
      <c r="G1" s="2">
        <v>4</v>
      </c>
      <c r="H1" s="2">
        <v>4</v>
      </c>
      <c r="I1" s="1">
        <v>5</v>
      </c>
      <c r="J1" s="1">
        <v>5</v>
      </c>
      <c r="K1" s="2">
        <v>6</v>
      </c>
      <c r="L1" s="2">
        <v>6</v>
      </c>
      <c r="M1" s="25">
        <v>6</v>
      </c>
      <c r="N1" s="25">
        <v>6</v>
      </c>
      <c r="O1" s="1">
        <v>7</v>
      </c>
      <c r="P1" s="1">
        <v>7</v>
      </c>
      <c r="Q1" s="2">
        <v>8</v>
      </c>
      <c r="R1" s="2">
        <v>8</v>
      </c>
      <c r="S1" s="1">
        <v>9</v>
      </c>
      <c r="T1" s="1">
        <v>9</v>
      </c>
      <c r="U1" s="2">
        <v>10</v>
      </c>
      <c r="V1" s="2">
        <v>10</v>
      </c>
      <c r="W1" s="1">
        <v>11</v>
      </c>
      <c r="X1" s="1">
        <v>11</v>
      </c>
      <c r="Y1" s="2">
        <v>12</v>
      </c>
      <c r="Z1" s="2">
        <v>12</v>
      </c>
      <c r="AA1" s="1">
        <v>13</v>
      </c>
      <c r="AB1" s="1">
        <v>13</v>
      </c>
      <c r="AC1" s="2">
        <v>14</v>
      </c>
      <c r="AD1" s="2">
        <v>14</v>
      </c>
      <c r="AE1" s="1">
        <v>15</v>
      </c>
      <c r="AF1" s="1">
        <v>15</v>
      </c>
      <c r="AG1" s="2">
        <v>16</v>
      </c>
      <c r="AH1" s="2">
        <v>16</v>
      </c>
      <c r="AI1" s="1">
        <v>17</v>
      </c>
      <c r="AJ1" s="1">
        <v>17</v>
      </c>
      <c r="AK1" s="2">
        <v>18</v>
      </c>
      <c r="AL1" s="2">
        <v>18</v>
      </c>
    </row>
    <row r="2" spans="1:48" s="6" customFormat="1" x14ac:dyDescent="0.25">
      <c r="A2" s="4">
        <v>43766.5</v>
      </c>
      <c r="B2" s="4">
        <v>43766.5</v>
      </c>
      <c r="C2" s="5">
        <v>43773.166666666664</v>
      </c>
      <c r="D2" s="5">
        <v>43773.166666666664</v>
      </c>
      <c r="E2" s="4">
        <v>43780.103472222225</v>
      </c>
      <c r="F2" s="4">
        <v>43780.103472222225</v>
      </c>
      <c r="G2" s="5">
        <v>43785.145138888889</v>
      </c>
      <c r="H2" s="5">
        <v>43785.145138888889</v>
      </c>
      <c r="I2" s="4">
        <v>43794.272222222222</v>
      </c>
      <c r="J2" s="4">
        <v>43794.272222222222</v>
      </c>
      <c r="K2" s="5">
        <v>43801.244444444441</v>
      </c>
      <c r="L2" s="5">
        <v>43801.244444444441</v>
      </c>
      <c r="M2" s="26">
        <v>43822.416666666664</v>
      </c>
      <c r="N2" s="26">
        <v>43822.416666666664</v>
      </c>
      <c r="O2" s="4">
        <v>43843.349305555559</v>
      </c>
      <c r="P2" s="4">
        <v>43843.349305555559</v>
      </c>
      <c r="Q2" s="5">
        <v>43857.32916666667</v>
      </c>
      <c r="R2" s="5">
        <v>43857.32916666667</v>
      </c>
      <c r="S2" s="4">
        <v>43878.321527777778</v>
      </c>
      <c r="T2" s="4">
        <v>43878.321527777778</v>
      </c>
      <c r="U2" s="5">
        <v>43914.365972222222</v>
      </c>
      <c r="V2" s="5">
        <v>43914.365972222222</v>
      </c>
      <c r="W2" s="4">
        <v>43927.5</v>
      </c>
      <c r="X2" s="4">
        <v>43927.5</v>
      </c>
      <c r="Y2" s="5">
        <v>43934.5</v>
      </c>
      <c r="Z2" s="5">
        <v>43934.5</v>
      </c>
      <c r="AA2" s="4">
        <v>43948.5</v>
      </c>
      <c r="AB2" s="4">
        <v>43948.5</v>
      </c>
      <c r="AC2" s="5">
        <v>43955.5</v>
      </c>
      <c r="AD2" s="5">
        <v>43955.5</v>
      </c>
      <c r="AE2" s="4">
        <v>44012.5</v>
      </c>
      <c r="AF2" s="4">
        <v>44012.5</v>
      </c>
      <c r="AG2" s="5">
        <v>44018.5</v>
      </c>
      <c r="AH2" s="5">
        <v>44018.5</v>
      </c>
      <c r="AI2" s="4">
        <v>44025.5</v>
      </c>
      <c r="AJ2" s="4">
        <v>44025.5</v>
      </c>
      <c r="AK2" s="5">
        <v>44032.5</v>
      </c>
      <c r="AL2" s="5">
        <v>44032.5</v>
      </c>
    </row>
    <row r="3" spans="1:48" s="6" customFormat="1" x14ac:dyDescent="0.25">
      <c r="A3" s="7" t="s">
        <v>20</v>
      </c>
      <c r="B3" s="7" t="s">
        <v>20</v>
      </c>
      <c r="C3" s="10" t="s">
        <v>21</v>
      </c>
      <c r="D3" s="10" t="s">
        <v>21</v>
      </c>
      <c r="E3" s="7" t="s">
        <v>22</v>
      </c>
      <c r="F3" s="7" t="s">
        <v>22</v>
      </c>
      <c r="G3" s="2" t="s">
        <v>23</v>
      </c>
      <c r="H3" s="2" t="s">
        <v>23</v>
      </c>
      <c r="I3" s="7" t="s">
        <v>24</v>
      </c>
      <c r="J3" s="7" t="s">
        <v>24</v>
      </c>
      <c r="K3" s="10" t="s">
        <v>25</v>
      </c>
      <c r="L3" s="10" t="s">
        <v>25</v>
      </c>
      <c r="M3" s="27" t="s">
        <v>26</v>
      </c>
      <c r="N3" s="27" t="s">
        <v>26</v>
      </c>
      <c r="O3" s="7" t="s">
        <v>27</v>
      </c>
      <c r="P3" s="7" t="s">
        <v>27</v>
      </c>
      <c r="Q3" s="10" t="s">
        <v>28</v>
      </c>
      <c r="R3" s="10" t="s">
        <v>28</v>
      </c>
      <c r="S3" s="28" t="s">
        <v>29</v>
      </c>
      <c r="T3" s="28" t="s">
        <v>29</v>
      </c>
      <c r="U3" s="10" t="s">
        <v>30</v>
      </c>
      <c r="V3" s="10" t="s">
        <v>30</v>
      </c>
      <c r="W3" s="7" t="s">
        <v>31</v>
      </c>
      <c r="X3" s="7" t="s">
        <v>31</v>
      </c>
      <c r="Y3" s="10" t="s">
        <v>32</v>
      </c>
      <c r="Z3" s="10" t="s">
        <v>32</v>
      </c>
      <c r="AA3" s="4" t="s">
        <v>33</v>
      </c>
      <c r="AB3" s="4" t="s">
        <v>33</v>
      </c>
      <c r="AC3" s="5" t="s">
        <v>34</v>
      </c>
      <c r="AD3" s="5" t="s">
        <v>34</v>
      </c>
      <c r="AE3" s="4" t="s">
        <v>35</v>
      </c>
      <c r="AF3" s="4" t="s">
        <v>35</v>
      </c>
      <c r="AG3" s="5" t="s">
        <v>36</v>
      </c>
      <c r="AH3" s="5" t="s">
        <v>36</v>
      </c>
      <c r="AI3" s="4" t="s">
        <v>37</v>
      </c>
      <c r="AJ3" s="4" t="s">
        <v>37</v>
      </c>
      <c r="AK3" s="5" t="s">
        <v>38</v>
      </c>
      <c r="AL3" s="5" t="s">
        <v>38</v>
      </c>
    </row>
    <row r="4" spans="1:48" s="6" customFormat="1" x14ac:dyDescent="0.25">
      <c r="A4" s="15">
        <f>AVERAGE(A8:A43)</f>
        <v>76.293750000000003</v>
      </c>
      <c r="B4" s="15">
        <f>AVERAGE(B8:B43)</f>
        <v>72.8125</v>
      </c>
      <c r="C4" s="16">
        <f t="shared" ref="C4:AL4" si="0">AVERAGE(C8:C43)</f>
        <v>78.827777777777783</v>
      </c>
      <c r="D4" s="16">
        <f t="shared" si="0"/>
        <v>74.638888888888886</v>
      </c>
      <c r="E4" s="15">
        <f t="shared" si="0"/>
        <v>87.392857142857139</v>
      </c>
      <c r="F4" s="15">
        <f t="shared" si="0"/>
        <v>82.571428571428569</v>
      </c>
      <c r="G4" s="16">
        <f t="shared" si="0"/>
        <v>85</v>
      </c>
      <c r="H4" s="16">
        <f t="shared" si="0"/>
        <v>81</v>
      </c>
      <c r="I4" s="15">
        <f t="shared" si="0"/>
        <v>87.86666666666666</v>
      </c>
      <c r="J4" s="15">
        <f t="shared" si="0"/>
        <v>82.266666666666666</v>
      </c>
      <c r="K4" s="16">
        <f t="shared" si="0"/>
        <v>90.857142857142861</v>
      </c>
      <c r="L4" s="16">
        <f t="shared" si="0"/>
        <v>82.357142857142861</v>
      </c>
      <c r="M4" s="29">
        <f t="shared" si="0"/>
        <v>103</v>
      </c>
      <c r="N4" s="29">
        <f t="shared" si="0"/>
        <v>95</v>
      </c>
      <c r="O4" s="15">
        <f t="shared" si="0"/>
        <v>126.55555555555556</v>
      </c>
      <c r="P4" s="15">
        <f t="shared" si="0"/>
        <v>118</v>
      </c>
      <c r="Q4" s="16">
        <f t="shared" si="0"/>
        <v>145.10526315789474</v>
      </c>
      <c r="R4" s="16">
        <f t="shared" si="0"/>
        <v>132.89473684210526</v>
      </c>
      <c r="S4" s="15">
        <f t="shared" si="0"/>
        <v>182.2</v>
      </c>
      <c r="T4" s="15">
        <f t="shared" si="0"/>
        <v>163.66666666666666</v>
      </c>
      <c r="U4" s="16">
        <f t="shared" si="0"/>
        <v>200.73333333333332</v>
      </c>
      <c r="V4" s="16">
        <f t="shared" si="0"/>
        <v>186.33333333333334</v>
      </c>
      <c r="W4" s="15">
        <f t="shared" si="0"/>
        <v>216.5</v>
      </c>
      <c r="X4" s="15">
        <f t="shared" si="0"/>
        <v>194.41666666666666</v>
      </c>
      <c r="Y4" s="16">
        <f t="shared" si="0"/>
        <v>175.6</v>
      </c>
      <c r="Z4" s="16">
        <f t="shared" si="0"/>
        <v>161.1</v>
      </c>
      <c r="AA4" s="15">
        <f t="shared" si="0"/>
        <v>167.88235294117646</v>
      </c>
      <c r="AB4" s="15">
        <f t="shared" si="0"/>
        <v>153.41176470588235</v>
      </c>
      <c r="AC4" s="16">
        <f t="shared" si="0"/>
        <v>234.2</v>
      </c>
      <c r="AD4" s="16">
        <f t="shared" si="0"/>
        <v>210.46666666666667</v>
      </c>
      <c r="AE4" s="15">
        <f t="shared" si="0"/>
        <v>204.32</v>
      </c>
      <c r="AF4" s="15">
        <f t="shared" si="0"/>
        <v>182.16</v>
      </c>
      <c r="AG4" s="16">
        <f t="shared" si="0"/>
        <v>218.95238095238096</v>
      </c>
      <c r="AH4" s="16">
        <f t="shared" si="0"/>
        <v>200.8095238095238</v>
      </c>
      <c r="AI4" s="15">
        <f t="shared" si="0"/>
        <v>270.28571428571428</v>
      </c>
      <c r="AJ4" s="15">
        <f t="shared" si="0"/>
        <v>244.25</v>
      </c>
      <c r="AK4" s="16">
        <f t="shared" si="0"/>
        <v>202.31818181818181</v>
      </c>
      <c r="AL4" s="16">
        <f t="shared" si="0"/>
        <v>181.27272727272728</v>
      </c>
    </row>
    <row r="5" spans="1:48" s="6" customFormat="1" x14ac:dyDescent="0.25">
      <c r="A5" s="15">
        <v>15.4</v>
      </c>
      <c r="B5" s="15">
        <f>A5</f>
        <v>15.4</v>
      </c>
      <c r="C5" s="16">
        <v>18</v>
      </c>
      <c r="D5" s="16">
        <f>C5</f>
        <v>18</v>
      </c>
      <c r="E5" s="15">
        <v>11.4</v>
      </c>
      <c r="F5" s="15">
        <f>E5</f>
        <v>11.4</v>
      </c>
      <c r="G5" s="16">
        <v>17.7</v>
      </c>
      <c r="H5" s="16">
        <f>G5</f>
        <v>17.7</v>
      </c>
      <c r="I5" s="15">
        <v>14.2</v>
      </c>
      <c r="J5" s="15">
        <f>I5</f>
        <v>14.2</v>
      </c>
      <c r="K5" s="16">
        <v>11.7</v>
      </c>
      <c r="L5" s="16">
        <f>K5</f>
        <v>11.7</v>
      </c>
      <c r="M5" s="29">
        <v>14.5</v>
      </c>
      <c r="N5" s="29">
        <f>M5</f>
        <v>14.5</v>
      </c>
      <c r="O5" s="15">
        <v>13.7</v>
      </c>
      <c r="P5" s="15">
        <f>O5</f>
        <v>13.7</v>
      </c>
      <c r="Q5" s="16">
        <v>19.3</v>
      </c>
      <c r="R5" s="16">
        <f>Q5</f>
        <v>19.3</v>
      </c>
      <c r="S5" s="15">
        <v>13</v>
      </c>
      <c r="T5" s="15">
        <f>S5</f>
        <v>13</v>
      </c>
      <c r="U5" s="16">
        <v>14.3</v>
      </c>
      <c r="V5" s="16">
        <f>U5</f>
        <v>14.3</v>
      </c>
      <c r="W5" s="15">
        <v>14.3</v>
      </c>
      <c r="X5" s="15">
        <f t="shared" ref="X5" si="1">W5</f>
        <v>14.3</v>
      </c>
      <c r="Y5" s="16">
        <v>12.1</v>
      </c>
      <c r="Z5" s="16">
        <f t="shared" ref="Z5" si="2">Y5</f>
        <v>12.1</v>
      </c>
      <c r="AA5" s="15">
        <v>12.1</v>
      </c>
      <c r="AB5" s="15">
        <f t="shared" ref="AB5" si="3">AA5</f>
        <v>12.1</v>
      </c>
      <c r="AC5" s="16">
        <v>12.1</v>
      </c>
      <c r="AD5" s="16">
        <f t="shared" ref="AD5" si="4">AC5</f>
        <v>12.1</v>
      </c>
      <c r="AE5" s="15">
        <v>8</v>
      </c>
      <c r="AF5" s="15">
        <f t="shared" ref="AF5" si="5">AE5</f>
        <v>8</v>
      </c>
      <c r="AG5" s="16">
        <v>5.4</v>
      </c>
      <c r="AH5" s="16">
        <f t="shared" ref="AH5" si="6">AG5</f>
        <v>5.4</v>
      </c>
      <c r="AI5" s="15">
        <v>4.2</v>
      </c>
      <c r="AJ5" s="15">
        <f t="shared" ref="AJ5" si="7">AI5</f>
        <v>4.2</v>
      </c>
      <c r="AK5" s="16">
        <v>4.0999999999999996</v>
      </c>
      <c r="AL5" s="16">
        <f t="shared" ref="AL5" si="8">AK5</f>
        <v>4.0999999999999996</v>
      </c>
      <c r="AM5" s="30" t="s">
        <v>39</v>
      </c>
    </row>
    <row r="6" spans="1:48" s="6" customFormat="1" x14ac:dyDescent="0.25">
      <c r="A6" s="4"/>
      <c r="B6" s="4"/>
      <c r="C6" s="5"/>
      <c r="D6" s="5"/>
      <c r="E6" s="4"/>
      <c r="F6" s="4"/>
      <c r="G6" s="5"/>
      <c r="H6" s="5"/>
      <c r="I6" s="4"/>
      <c r="J6" s="4"/>
      <c r="K6" s="5"/>
      <c r="L6" s="5"/>
      <c r="M6" s="26"/>
      <c r="N6" s="26"/>
      <c r="O6" s="4"/>
      <c r="P6" s="4"/>
      <c r="Q6" s="5"/>
      <c r="R6" s="5"/>
      <c r="S6" s="4"/>
      <c r="T6" s="4"/>
      <c r="U6" s="5"/>
      <c r="V6" s="5"/>
      <c r="W6" s="4"/>
      <c r="X6" s="4"/>
      <c r="Y6" s="5"/>
      <c r="Z6" s="5"/>
      <c r="AA6" s="4"/>
      <c r="AB6" s="4"/>
      <c r="AC6" s="5"/>
      <c r="AD6" s="5"/>
      <c r="AE6" s="4"/>
      <c r="AF6" s="4"/>
      <c r="AG6" s="5"/>
      <c r="AH6" s="5"/>
      <c r="AI6" s="4"/>
      <c r="AJ6" s="4"/>
      <c r="AK6" s="5"/>
      <c r="AL6" s="5"/>
    </row>
    <row r="7" spans="1:48" s="14" customFormat="1" x14ac:dyDescent="0.25">
      <c r="A7" s="7" t="s">
        <v>18</v>
      </c>
      <c r="B7" s="7" t="s">
        <v>19</v>
      </c>
      <c r="C7" s="8" t="s">
        <v>18</v>
      </c>
      <c r="D7" s="8" t="s">
        <v>19</v>
      </c>
      <c r="E7" s="7" t="s">
        <v>18</v>
      </c>
      <c r="F7" s="7" t="s">
        <v>19</v>
      </c>
      <c r="G7" s="10" t="s">
        <v>18</v>
      </c>
      <c r="H7" s="10" t="s">
        <v>19</v>
      </c>
      <c r="I7" s="7" t="s">
        <v>18</v>
      </c>
      <c r="J7" s="7" t="s">
        <v>19</v>
      </c>
      <c r="K7" s="10" t="s">
        <v>18</v>
      </c>
      <c r="L7" s="10" t="s">
        <v>19</v>
      </c>
      <c r="M7" s="27" t="s">
        <v>18</v>
      </c>
      <c r="N7" s="27" t="s">
        <v>19</v>
      </c>
      <c r="O7" s="7" t="s">
        <v>18</v>
      </c>
      <c r="P7" s="7" t="s">
        <v>19</v>
      </c>
      <c r="Q7" s="10" t="s">
        <v>18</v>
      </c>
      <c r="R7" s="10" t="s">
        <v>19</v>
      </c>
      <c r="S7" s="7" t="s">
        <v>18</v>
      </c>
      <c r="T7" s="7" t="s">
        <v>19</v>
      </c>
      <c r="U7" s="8" t="s">
        <v>18</v>
      </c>
      <c r="V7" s="8" t="s">
        <v>19</v>
      </c>
      <c r="W7" s="7" t="s">
        <v>18</v>
      </c>
      <c r="X7" s="7" t="s">
        <v>19</v>
      </c>
      <c r="Y7" s="8" t="s">
        <v>18</v>
      </c>
      <c r="Z7" s="8" t="s">
        <v>19</v>
      </c>
      <c r="AA7" s="7" t="s">
        <v>18</v>
      </c>
      <c r="AB7" s="7" t="s">
        <v>19</v>
      </c>
      <c r="AC7" s="8" t="s">
        <v>18</v>
      </c>
      <c r="AD7" s="8" t="s">
        <v>19</v>
      </c>
      <c r="AE7" s="7" t="s">
        <v>18</v>
      </c>
      <c r="AF7" s="7" t="s">
        <v>19</v>
      </c>
      <c r="AG7" s="8" t="s">
        <v>18</v>
      </c>
      <c r="AH7" s="8" t="s">
        <v>19</v>
      </c>
      <c r="AI7" s="7" t="s">
        <v>18</v>
      </c>
      <c r="AJ7" s="7" t="s">
        <v>19</v>
      </c>
      <c r="AK7" s="8" t="s">
        <v>18</v>
      </c>
      <c r="AL7" s="8" t="s">
        <v>19</v>
      </c>
      <c r="AM7" s="9"/>
      <c r="AN7" s="9"/>
      <c r="AQ7" s="9"/>
      <c r="AR7" s="9"/>
      <c r="AU7" s="9"/>
      <c r="AV7" s="9"/>
    </row>
    <row r="8" spans="1:48" s="14" customFormat="1" x14ac:dyDescent="0.25">
      <c r="A8" s="7">
        <v>76</v>
      </c>
      <c r="B8" s="7">
        <v>72.5</v>
      </c>
      <c r="C8" s="2">
        <v>79</v>
      </c>
      <c r="D8" s="2">
        <v>75</v>
      </c>
      <c r="E8" s="7">
        <v>87</v>
      </c>
      <c r="F8" s="7">
        <v>82</v>
      </c>
      <c r="G8" s="10">
        <v>85</v>
      </c>
      <c r="H8" s="10">
        <v>81</v>
      </c>
      <c r="I8" s="7">
        <v>87</v>
      </c>
      <c r="J8" s="7">
        <v>82</v>
      </c>
      <c r="K8" s="10">
        <v>92.5</v>
      </c>
      <c r="L8" s="10">
        <v>84</v>
      </c>
      <c r="M8" s="27">
        <v>103</v>
      </c>
      <c r="N8" s="27">
        <v>95</v>
      </c>
      <c r="O8" s="7">
        <v>124</v>
      </c>
      <c r="P8" s="7">
        <v>117</v>
      </c>
      <c r="Q8" s="10">
        <v>144</v>
      </c>
      <c r="R8" s="10">
        <v>133</v>
      </c>
      <c r="S8" s="7">
        <v>184</v>
      </c>
      <c r="T8" s="7">
        <v>164</v>
      </c>
      <c r="U8" s="10">
        <v>199</v>
      </c>
      <c r="V8" s="10">
        <v>187</v>
      </c>
      <c r="W8" s="7">
        <v>216</v>
      </c>
      <c r="X8" s="7">
        <v>195</v>
      </c>
      <c r="Y8" s="10">
        <v>176</v>
      </c>
      <c r="Z8" s="10">
        <v>160</v>
      </c>
      <c r="AA8" s="7">
        <v>164</v>
      </c>
      <c r="AB8" s="7">
        <v>150</v>
      </c>
      <c r="AC8" s="10">
        <v>227</v>
      </c>
      <c r="AD8" s="10">
        <v>204</v>
      </c>
      <c r="AE8" s="7">
        <v>207</v>
      </c>
      <c r="AF8" s="7">
        <v>185</v>
      </c>
      <c r="AG8" s="2">
        <v>222</v>
      </c>
      <c r="AH8" s="2">
        <v>202</v>
      </c>
      <c r="AI8" s="7">
        <v>267</v>
      </c>
      <c r="AJ8" s="7">
        <v>240</v>
      </c>
      <c r="AK8" s="10">
        <v>200</v>
      </c>
      <c r="AL8" s="10">
        <v>174</v>
      </c>
      <c r="AM8" s="31"/>
      <c r="AN8" s="32"/>
      <c r="AO8" s="32"/>
      <c r="AP8" s="32"/>
    </row>
    <row r="9" spans="1:48" x14ac:dyDescent="0.25">
      <c r="A9" s="1">
        <v>76</v>
      </c>
      <c r="B9" s="1">
        <v>73</v>
      </c>
      <c r="C9" s="2">
        <v>79</v>
      </c>
      <c r="D9" s="2">
        <v>74.5</v>
      </c>
      <c r="E9" s="1">
        <v>87</v>
      </c>
      <c r="F9" s="1">
        <v>83.5</v>
      </c>
      <c r="I9" s="1">
        <v>88</v>
      </c>
      <c r="J9" s="1">
        <v>82</v>
      </c>
      <c r="K9" s="10">
        <v>92.5</v>
      </c>
      <c r="L9" s="2">
        <v>84</v>
      </c>
      <c r="O9" s="1">
        <v>132</v>
      </c>
      <c r="P9" s="1">
        <v>123</v>
      </c>
      <c r="Q9" s="2">
        <v>143</v>
      </c>
      <c r="R9" s="2">
        <v>133</v>
      </c>
      <c r="S9" s="1">
        <v>180</v>
      </c>
      <c r="T9" s="1">
        <v>164</v>
      </c>
      <c r="U9" s="2">
        <v>211</v>
      </c>
      <c r="V9" s="2">
        <v>189</v>
      </c>
      <c r="W9" s="1">
        <v>214</v>
      </c>
      <c r="X9" s="1">
        <v>194</v>
      </c>
      <c r="Y9" s="2">
        <v>175</v>
      </c>
      <c r="Z9" s="2">
        <v>160</v>
      </c>
      <c r="AA9" s="7">
        <v>169</v>
      </c>
      <c r="AB9" s="7">
        <v>155</v>
      </c>
      <c r="AC9" s="10">
        <v>248</v>
      </c>
      <c r="AD9" s="10">
        <v>223</v>
      </c>
      <c r="AE9" s="7">
        <v>208</v>
      </c>
      <c r="AF9" s="7">
        <v>186</v>
      </c>
      <c r="AG9" s="2">
        <v>217</v>
      </c>
      <c r="AH9" s="2">
        <v>197</v>
      </c>
      <c r="AI9" s="7">
        <v>264</v>
      </c>
      <c r="AJ9" s="7">
        <v>245</v>
      </c>
      <c r="AK9" s="10">
        <v>206</v>
      </c>
      <c r="AL9" s="10">
        <v>176</v>
      </c>
      <c r="AM9" s="22"/>
      <c r="AN9" s="17"/>
      <c r="AO9" s="17"/>
      <c r="AP9" s="17"/>
    </row>
    <row r="10" spans="1:48" x14ac:dyDescent="0.25">
      <c r="A10" s="1">
        <v>75</v>
      </c>
      <c r="B10" s="1">
        <v>73</v>
      </c>
      <c r="C10" s="2">
        <v>78</v>
      </c>
      <c r="D10" s="2">
        <v>74</v>
      </c>
      <c r="E10" s="1">
        <v>88</v>
      </c>
      <c r="F10" s="1">
        <v>83</v>
      </c>
      <c r="I10" s="1">
        <v>87.5</v>
      </c>
      <c r="J10" s="1">
        <v>82</v>
      </c>
      <c r="K10" s="2">
        <v>87</v>
      </c>
      <c r="L10" s="2">
        <v>79</v>
      </c>
      <c r="O10" s="1">
        <v>131</v>
      </c>
      <c r="P10" s="1">
        <v>123</v>
      </c>
      <c r="Q10" s="2">
        <v>146</v>
      </c>
      <c r="R10" s="2">
        <v>136</v>
      </c>
      <c r="S10" s="1">
        <v>181</v>
      </c>
      <c r="T10" s="1">
        <v>164</v>
      </c>
      <c r="U10" s="2">
        <v>197</v>
      </c>
      <c r="V10" s="2">
        <v>184</v>
      </c>
      <c r="W10" s="1">
        <v>219</v>
      </c>
      <c r="X10" s="1">
        <v>194</v>
      </c>
      <c r="Y10" s="2">
        <v>176</v>
      </c>
      <c r="Z10" s="2">
        <v>160</v>
      </c>
      <c r="AA10" s="7">
        <v>166</v>
      </c>
      <c r="AB10" s="7">
        <v>153</v>
      </c>
      <c r="AC10" s="10">
        <v>227.99999999999997</v>
      </c>
      <c r="AD10" s="10">
        <v>206</v>
      </c>
      <c r="AE10" s="7">
        <v>216</v>
      </c>
      <c r="AF10" s="7">
        <v>193</v>
      </c>
      <c r="AG10" s="2">
        <v>225</v>
      </c>
      <c r="AH10" s="2">
        <v>200</v>
      </c>
      <c r="AI10" s="7">
        <v>267</v>
      </c>
      <c r="AJ10" s="7">
        <v>246</v>
      </c>
      <c r="AK10" s="10">
        <v>180</v>
      </c>
      <c r="AL10" s="10">
        <v>176</v>
      </c>
      <c r="AN10" s="17"/>
      <c r="AO10" s="17"/>
      <c r="AP10" s="17"/>
    </row>
    <row r="11" spans="1:48" x14ac:dyDescent="0.25">
      <c r="A11" s="1">
        <v>75</v>
      </c>
      <c r="B11" s="1">
        <v>73</v>
      </c>
      <c r="C11" s="2">
        <v>79.599999999999994</v>
      </c>
      <c r="D11" s="2">
        <v>75</v>
      </c>
      <c r="E11" s="1">
        <v>88</v>
      </c>
      <c r="F11" s="1">
        <v>81</v>
      </c>
      <c r="I11" s="1">
        <v>89</v>
      </c>
      <c r="J11" s="1">
        <v>83</v>
      </c>
      <c r="K11" s="2">
        <v>84</v>
      </c>
      <c r="L11" s="2">
        <v>75</v>
      </c>
      <c r="O11" s="1">
        <v>134</v>
      </c>
      <c r="P11" s="1">
        <v>124</v>
      </c>
      <c r="Q11" s="2">
        <v>149</v>
      </c>
      <c r="R11" s="2">
        <v>133</v>
      </c>
      <c r="S11" s="1">
        <v>181</v>
      </c>
      <c r="T11" s="1">
        <v>162</v>
      </c>
      <c r="U11" s="2">
        <v>198</v>
      </c>
      <c r="V11" s="2">
        <v>187</v>
      </c>
      <c r="W11" s="1">
        <v>217</v>
      </c>
      <c r="X11" s="1">
        <v>194</v>
      </c>
      <c r="Y11" s="2">
        <v>176</v>
      </c>
      <c r="Z11" s="2">
        <v>161</v>
      </c>
      <c r="AA11" s="7">
        <v>172</v>
      </c>
      <c r="AB11" s="7">
        <v>156</v>
      </c>
      <c r="AC11" s="10">
        <v>238</v>
      </c>
      <c r="AD11" s="10">
        <v>214</v>
      </c>
      <c r="AE11" s="7">
        <v>223</v>
      </c>
      <c r="AF11" s="7">
        <v>200</v>
      </c>
      <c r="AG11" s="10">
        <v>219</v>
      </c>
      <c r="AH11" s="10">
        <v>199</v>
      </c>
      <c r="AI11" s="7">
        <v>262</v>
      </c>
      <c r="AJ11" s="7">
        <v>240</v>
      </c>
      <c r="AK11" s="10">
        <v>200</v>
      </c>
      <c r="AL11" s="10">
        <v>179</v>
      </c>
    </row>
    <row r="12" spans="1:48" x14ac:dyDescent="0.25">
      <c r="A12" s="1">
        <v>76</v>
      </c>
      <c r="B12" s="1">
        <v>73</v>
      </c>
      <c r="C12" s="2">
        <v>79</v>
      </c>
      <c r="D12" s="2">
        <v>74</v>
      </c>
      <c r="E12" s="1">
        <v>87.5</v>
      </c>
      <c r="F12" s="1">
        <v>82.5</v>
      </c>
      <c r="I12" s="1">
        <v>88</v>
      </c>
      <c r="J12" s="1">
        <v>83</v>
      </c>
      <c r="K12" s="2">
        <v>86</v>
      </c>
      <c r="L12" s="2">
        <v>75</v>
      </c>
      <c r="O12" s="1">
        <v>135</v>
      </c>
      <c r="P12" s="1">
        <v>125</v>
      </c>
      <c r="Q12" s="2">
        <v>143</v>
      </c>
      <c r="R12" s="2">
        <v>131</v>
      </c>
      <c r="S12" s="1">
        <v>183</v>
      </c>
      <c r="T12" s="1">
        <v>164</v>
      </c>
      <c r="U12" s="2">
        <v>202</v>
      </c>
      <c r="V12" s="2">
        <v>187</v>
      </c>
      <c r="W12" s="1">
        <v>219</v>
      </c>
      <c r="X12" s="1">
        <v>194</v>
      </c>
      <c r="Y12" s="2">
        <v>176</v>
      </c>
      <c r="Z12" s="2">
        <v>169</v>
      </c>
      <c r="AA12" s="7">
        <v>167</v>
      </c>
      <c r="AB12" s="7">
        <v>153</v>
      </c>
      <c r="AC12" s="10">
        <v>236</v>
      </c>
      <c r="AD12" s="10">
        <v>211</v>
      </c>
      <c r="AE12" s="7">
        <v>184</v>
      </c>
      <c r="AF12" s="7">
        <v>165</v>
      </c>
      <c r="AG12" s="10">
        <v>213</v>
      </c>
      <c r="AH12" s="10">
        <v>199</v>
      </c>
      <c r="AI12" s="7">
        <v>260</v>
      </c>
      <c r="AJ12" s="7">
        <v>239</v>
      </c>
      <c r="AK12" s="10">
        <v>224</v>
      </c>
      <c r="AL12" s="10">
        <v>189</v>
      </c>
      <c r="AM12" s="9"/>
      <c r="AN12" s="9"/>
      <c r="AO12" s="9"/>
      <c r="AP12" s="9"/>
      <c r="AQ12" s="9"/>
    </row>
    <row r="13" spans="1:48" x14ac:dyDescent="0.25">
      <c r="A13" s="1">
        <v>77.5</v>
      </c>
      <c r="B13" s="1">
        <v>75</v>
      </c>
      <c r="C13" s="2">
        <v>80</v>
      </c>
      <c r="D13" s="2">
        <v>75</v>
      </c>
      <c r="E13" s="1">
        <v>87</v>
      </c>
      <c r="F13" s="1">
        <v>82</v>
      </c>
      <c r="I13" s="1">
        <v>89</v>
      </c>
      <c r="J13" s="1">
        <v>83</v>
      </c>
      <c r="K13" s="2">
        <v>92</v>
      </c>
      <c r="L13" s="2">
        <v>84</v>
      </c>
      <c r="O13" s="1">
        <v>135</v>
      </c>
      <c r="P13" s="1">
        <v>123</v>
      </c>
      <c r="Q13" s="2">
        <v>143</v>
      </c>
      <c r="R13" s="2">
        <v>133</v>
      </c>
      <c r="S13" s="1">
        <v>183</v>
      </c>
      <c r="T13" s="1">
        <v>163</v>
      </c>
      <c r="U13" s="2">
        <v>205</v>
      </c>
      <c r="V13" s="2">
        <v>190</v>
      </c>
      <c r="W13" s="1">
        <v>215</v>
      </c>
      <c r="X13" s="1">
        <v>194</v>
      </c>
      <c r="Y13" s="2">
        <v>174</v>
      </c>
      <c r="Z13" s="2">
        <v>160</v>
      </c>
      <c r="AA13" s="7">
        <v>166</v>
      </c>
      <c r="AB13" s="7">
        <v>152</v>
      </c>
      <c r="AC13" s="10">
        <v>235</v>
      </c>
      <c r="AD13" s="10">
        <v>211</v>
      </c>
      <c r="AE13" s="7">
        <v>213</v>
      </c>
      <c r="AF13" s="7">
        <v>190</v>
      </c>
      <c r="AG13" s="10">
        <v>223</v>
      </c>
      <c r="AH13" s="10">
        <v>200</v>
      </c>
      <c r="AI13" s="7">
        <v>262</v>
      </c>
      <c r="AJ13" s="7">
        <v>241</v>
      </c>
      <c r="AK13" s="10">
        <v>202</v>
      </c>
      <c r="AL13" s="10">
        <v>179</v>
      </c>
      <c r="AM13" s="9"/>
      <c r="AN13" s="9"/>
      <c r="AO13" s="9"/>
      <c r="AP13" s="9"/>
      <c r="AQ13" s="9"/>
    </row>
    <row r="14" spans="1:48" x14ac:dyDescent="0.25">
      <c r="A14" s="1">
        <v>75</v>
      </c>
      <c r="B14" s="1">
        <v>72</v>
      </c>
      <c r="C14" s="2">
        <v>79</v>
      </c>
      <c r="D14" s="2">
        <v>75</v>
      </c>
      <c r="E14" s="1">
        <v>87</v>
      </c>
      <c r="F14" s="1">
        <v>82</v>
      </c>
      <c r="I14" s="1">
        <v>88</v>
      </c>
      <c r="J14" s="1">
        <v>82</v>
      </c>
      <c r="K14" s="2">
        <v>92.5</v>
      </c>
      <c r="L14" s="2">
        <v>85</v>
      </c>
      <c r="O14" s="1">
        <v>134</v>
      </c>
      <c r="P14" s="1">
        <v>123</v>
      </c>
      <c r="Q14" s="2">
        <v>148</v>
      </c>
      <c r="R14" s="2">
        <v>132</v>
      </c>
      <c r="S14" s="1">
        <v>183</v>
      </c>
      <c r="T14" s="1">
        <v>164</v>
      </c>
      <c r="U14" s="2">
        <v>197</v>
      </c>
      <c r="V14" s="2">
        <v>183</v>
      </c>
      <c r="W14" s="1">
        <v>216</v>
      </c>
      <c r="X14" s="1">
        <v>195</v>
      </c>
      <c r="Y14" s="2">
        <v>176</v>
      </c>
      <c r="Z14" s="2">
        <v>160</v>
      </c>
      <c r="AA14" s="7">
        <v>167</v>
      </c>
      <c r="AB14" s="7">
        <v>153</v>
      </c>
      <c r="AC14" s="10">
        <v>231.99999999999997</v>
      </c>
      <c r="AD14" s="10">
        <v>209</v>
      </c>
      <c r="AE14" s="7">
        <v>191</v>
      </c>
      <c r="AF14" s="7">
        <v>172</v>
      </c>
      <c r="AG14" s="10">
        <v>213</v>
      </c>
      <c r="AH14" s="10">
        <v>198</v>
      </c>
      <c r="AI14" s="7">
        <v>261</v>
      </c>
      <c r="AJ14" s="7">
        <v>237</v>
      </c>
      <c r="AK14" s="10">
        <v>207</v>
      </c>
      <c r="AL14" s="10">
        <v>185</v>
      </c>
      <c r="AM14" s="9"/>
      <c r="AN14" s="9"/>
      <c r="AO14" s="9"/>
      <c r="AP14" s="9"/>
      <c r="AQ14" s="9"/>
    </row>
    <row r="15" spans="1:48" x14ac:dyDescent="0.25">
      <c r="A15" s="1">
        <v>77</v>
      </c>
      <c r="B15" s="1">
        <v>73</v>
      </c>
      <c r="C15" s="2">
        <v>79</v>
      </c>
      <c r="D15" s="2">
        <v>75</v>
      </c>
      <c r="E15" s="1">
        <v>87</v>
      </c>
      <c r="F15" s="1">
        <v>82</v>
      </c>
      <c r="I15" s="1">
        <v>89</v>
      </c>
      <c r="J15" s="1">
        <v>83.5</v>
      </c>
      <c r="K15" s="2">
        <v>93</v>
      </c>
      <c r="L15" s="2">
        <v>84</v>
      </c>
      <c r="O15" s="1">
        <v>121</v>
      </c>
      <c r="P15" s="1">
        <v>112.00000000000001</v>
      </c>
      <c r="Q15" s="2">
        <v>143</v>
      </c>
      <c r="R15" s="2">
        <v>133</v>
      </c>
      <c r="S15" s="1">
        <v>183</v>
      </c>
      <c r="T15" s="1">
        <v>164</v>
      </c>
      <c r="U15" s="2">
        <v>197</v>
      </c>
      <c r="V15" s="2">
        <v>183</v>
      </c>
      <c r="W15" s="1">
        <v>217</v>
      </c>
      <c r="X15" s="1">
        <v>195</v>
      </c>
      <c r="Y15" s="2">
        <v>176</v>
      </c>
      <c r="Z15" s="2">
        <v>161</v>
      </c>
      <c r="AA15" s="7">
        <v>164</v>
      </c>
      <c r="AB15" s="7">
        <v>150</v>
      </c>
      <c r="AC15" s="10">
        <v>233</v>
      </c>
      <c r="AD15" s="10">
        <v>209</v>
      </c>
      <c r="AE15" s="7">
        <v>224</v>
      </c>
      <c r="AF15" s="7">
        <v>199</v>
      </c>
      <c r="AG15" s="10">
        <v>220</v>
      </c>
      <c r="AH15" s="10">
        <v>197</v>
      </c>
      <c r="AI15" s="7">
        <v>265</v>
      </c>
      <c r="AJ15" s="7">
        <v>238</v>
      </c>
      <c r="AK15" s="10">
        <v>209</v>
      </c>
      <c r="AL15" s="10">
        <v>180</v>
      </c>
      <c r="AM15" s="9"/>
      <c r="AN15" s="9"/>
      <c r="AO15" s="9"/>
      <c r="AP15" s="9"/>
      <c r="AQ15" s="9"/>
    </row>
    <row r="16" spans="1:48" x14ac:dyDescent="0.25">
      <c r="A16" s="1">
        <v>76</v>
      </c>
      <c r="B16" s="1">
        <v>73</v>
      </c>
      <c r="C16" s="2">
        <v>79.5</v>
      </c>
      <c r="D16" s="2">
        <v>74.5</v>
      </c>
      <c r="E16" s="1">
        <v>88</v>
      </c>
      <c r="F16" s="1">
        <v>83</v>
      </c>
      <c r="I16" s="1">
        <v>88</v>
      </c>
      <c r="J16" s="1">
        <v>83</v>
      </c>
      <c r="K16" s="2">
        <v>91.5</v>
      </c>
      <c r="L16" s="2">
        <v>84</v>
      </c>
      <c r="O16" s="1">
        <v>117</v>
      </c>
      <c r="P16" s="1">
        <v>109.00000000000001</v>
      </c>
      <c r="Q16" s="2">
        <v>145</v>
      </c>
      <c r="R16" s="2">
        <v>130</v>
      </c>
      <c r="S16" s="1">
        <v>180</v>
      </c>
      <c r="T16" s="1">
        <v>164</v>
      </c>
      <c r="U16" s="2">
        <v>196</v>
      </c>
      <c r="V16" s="2">
        <v>182</v>
      </c>
      <c r="W16" s="1">
        <v>217</v>
      </c>
      <c r="X16" s="1">
        <v>194</v>
      </c>
      <c r="Y16" s="2">
        <v>175</v>
      </c>
      <c r="Z16" s="2">
        <v>160</v>
      </c>
      <c r="AA16" s="7">
        <v>173</v>
      </c>
      <c r="AB16" s="7">
        <v>158</v>
      </c>
      <c r="AC16" s="10">
        <v>234</v>
      </c>
      <c r="AD16" s="10">
        <v>210</v>
      </c>
      <c r="AE16" s="7">
        <v>185</v>
      </c>
      <c r="AF16" s="7">
        <v>161</v>
      </c>
      <c r="AG16" s="10">
        <v>206</v>
      </c>
      <c r="AH16" s="10">
        <v>197</v>
      </c>
      <c r="AI16" s="7">
        <v>271</v>
      </c>
      <c r="AJ16" s="7">
        <v>239</v>
      </c>
      <c r="AK16" s="10">
        <v>214</v>
      </c>
      <c r="AL16" s="10">
        <v>196</v>
      </c>
      <c r="AM16" s="9"/>
      <c r="AN16" s="9"/>
      <c r="AO16" s="9"/>
      <c r="AP16" s="9"/>
      <c r="AQ16" s="9"/>
    </row>
    <row r="17" spans="1:43" x14ac:dyDescent="0.25">
      <c r="A17" s="1">
        <v>76</v>
      </c>
      <c r="B17" s="1">
        <v>72</v>
      </c>
      <c r="C17" s="2">
        <v>78.8</v>
      </c>
      <c r="D17" s="2">
        <v>74.8</v>
      </c>
      <c r="E17" s="1">
        <v>88</v>
      </c>
      <c r="F17" s="1">
        <v>83</v>
      </c>
      <c r="I17" s="1">
        <v>88</v>
      </c>
      <c r="J17" s="1">
        <v>82.5</v>
      </c>
      <c r="K17" s="2">
        <v>92</v>
      </c>
      <c r="L17" s="2">
        <v>84</v>
      </c>
      <c r="O17" s="1">
        <v>127</v>
      </c>
      <c r="P17" s="1">
        <v>119</v>
      </c>
      <c r="Q17" s="10">
        <v>147</v>
      </c>
      <c r="R17" s="10">
        <v>132</v>
      </c>
      <c r="S17" s="1">
        <v>180</v>
      </c>
      <c r="T17" s="1">
        <v>164</v>
      </c>
      <c r="U17" s="2">
        <v>198</v>
      </c>
      <c r="V17" s="2">
        <v>184</v>
      </c>
      <c r="W17" s="1">
        <v>219</v>
      </c>
      <c r="X17" s="1">
        <v>194</v>
      </c>
      <c r="Y17" s="2">
        <v>176</v>
      </c>
      <c r="Z17" s="2">
        <v>160</v>
      </c>
      <c r="AA17" s="7">
        <v>165</v>
      </c>
      <c r="AB17" s="7">
        <v>151</v>
      </c>
      <c r="AC17" s="10">
        <v>225.99999999999997</v>
      </c>
      <c r="AD17" s="10">
        <v>204</v>
      </c>
      <c r="AE17" s="7">
        <v>188</v>
      </c>
      <c r="AF17" s="7">
        <v>167</v>
      </c>
      <c r="AG17" s="10">
        <v>211</v>
      </c>
      <c r="AH17" s="10">
        <v>196</v>
      </c>
      <c r="AI17" s="7">
        <v>269</v>
      </c>
      <c r="AJ17" s="7">
        <v>237</v>
      </c>
      <c r="AK17" s="10">
        <v>203</v>
      </c>
      <c r="AL17" s="10">
        <v>181</v>
      </c>
      <c r="AM17" s="9"/>
      <c r="AN17" s="9"/>
      <c r="AO17" s="9"/>
      <c r="AP17" s="9"/>
      <c r="AQ17" s="9"/>
    </row>
    <row r="18" spans="1:43" x14ac:dyDescent="0.25">
      <c r="A18" s="1">
        <v>75.2</v>
      </c>
      <c r="B18" s="1">
        <v>71</v>
      </c>
      <c r="C18" s="2">
        <v>79.5</v>
      </c>
      <c r="D18" s="2">
        <v>74.8</v>
      </c>
      <c r="E18" s="1">
        <v>88</v>
      </c>
      <c r="F18" s="1">
        <v>84</v>
      </c>
      <c r="I18" s="1">
        <v>86</v>
      </c>
      <c r="J18" s="1">
        <v>81</v>
      </c>
      <c r="K18" s="2">
        <v>92</v>
      </c>
      <c r="L18" s="2">
        <v>83</v>
      </c>
      <c r="O18" s="1">
        <v>130</v>
      </c>
      <c r="P18" s="1">
        <v>121</v>
      </c>
      <c r="Q18" s="2">
        <v>147</v>
      </c>
      <c r="R18" s="2">
        <v>131</v>
      </c>
      <c r="S18" s="1">
        <v>183</v>
      </c>
      <c r="T18" s="1">
        <v>164</v>
      </c>
      <c r="U18" s="2">
        <v>201</v>
      </c>
      <c r="V18" s="2">
        <v>187</v>
      </c>
      <c r="W18" s="1">
        <v>215</v>
      </c>
      <c r="X18" s="1">
        <v>195</v>
      </c>
      <c r="AA18" s="7">
        <v>169</v>
      </c>
      <c r="AB18" s="7">
        <v>151</v>
      </c>
      <c r="AC18" s="10">
        <v>229</v>
      </c>
      <c r="AD18" s="10">
        <v>206.99999999999997</v>
      </c>
      <c r="AE18" s="7">
        <v>196</v>
      </c>
      <c r="AF18" s="7">
        <v>174</v>
      </c>
      <c r="AG18" s="10">
        <v>225</v>
      </c>
      <c r="AH18" s="10">
        <v>199</v>
      </c>
      <c r="AI18" s="7">
        <v>267</v>
      </c>
      <c r="AJ18" s="7">
        <v>248</v>
      </c>
      <c r="AK18" s="10">
        <v>204</v>
      </c>
      <c r="AL18" s="10">
        <v>184</v>
      </c>
      <c r="AM18" s="9"/>
      <c r="AN18" s="9"/>
      <c r="AO18" s="9"/>
      <c r="AP18" s="9"/>
      <c r="AQ18" s="9"/>
    </row>
    <row r="19" spans="1:43" x14ac:dyDescent="0.25">
      <c r="A19" s="1">
        <v>78</v>
      </c>
      <c r="B19" s="1">
        <v>74</v>
      </c>
      <c r="C19" s="2">
        <v>79</v>
      </c>
      <c r="D19" s="2">
        <v>74.2</v>
      </c>
      <c r="E19" s="1">
        <v>87</v>
      </c>
      <c r="F19" s="1">
        <v>84</v>
      </c>
      <c r="I19" s="1">
        <v>87.5</v>
      </c>
      <c r="J19" s="1">
        <v>82</v>
      </c>
      <c r="K19" s="2">
        <v>92</v>
      </c>
      <c r="L19" s="2">
        <v>83.5</v>
      </c>
      <c r="O19" s="1">
        <v>115.99999999999999</v>
      </c>
      <c r="P19" s="1">
        <v>112.99999999999999</v>
      </c>
      <c r="Q19" s="2">
        <v>141</v>
      </c>
      <c r="R19" s="2">
        <v>131</v>
      </c>
      <c r="S19" s="1">
        <v>184</v>
      </c>
      <c r="T19" s="1">
        <v>164</v>
      </c>
      <c r="U19" s="2">
        <v>204</v>
      </c>
      <c r="V19" s="2">
        <v>188</v>
      </c>
      <c r="W19" s="1">
        <v>214</v>
      </c>
      <c r="X19" s="1">
        <v>195</v>
      </c>
      <c r="AA19" s="7">
        <v>166</v>
      </c>
      <c r="AB19" s="7">
        <v>153</v>
      </c>
      <c r="AC19" s="10">
        <v>227.99999999999997</v>
      </c>
      <c r="AD19" s="10">
        <v>206</v>
      </c>
      <c r="AE19" s="7">
        <v>210</v>
      </c>
      <c r="AF19" s="7">
        <v>189</v>
      </c>
      <c r="AG19" s="10">
        <v>222</v>
      </c>
      <c r="AH19" s="10">
        <v>202</v>
      </c>
      <c r="AI19" s="7">
        <v>277</v>
      </c>
      <c r="AJ19" s="7">
        <v>259</v>
      </c>
      <c r="AK19" s="10">
        <v>201</v>
      </c>
      <c r="AL19" s="10">
        <v>173</v>
      </c>
      <c r="AM19" s="9"/>
      <c r="AN19" s="9"/>
      <c r="AO19" s="9"/>
      <c r="AP19" s="9"/>
      <c r="AQ19" s="9"/>
    </row>
    <row r="20" spans="1:43" x14ac:dyDescent="0.25">
      <c r="A20" s="1">
        <v>77</v>
      </c>
      <c r="B20" s="1">
        <v>74</v>
      </c>
      <c r="C20" s="2">
        <v>77</v>
      </c>
      <c r="D20" s="2">
        <v>74.599999999999994</v>
      </c>
      <c r="E20" s="1">
        <v>87</v>
      </c>
      <c r="F20" s="1">
        <v>82</v>
      </c>
      <c r="I20" s="1">
        <v>87</v>
      </c>
      <c r="J20" s="1">
        <v>82</v>
      </c>
      <c r="K20" s="10">
        <v>91</v>
      </c>
      <c r="L20" s="10">
        <v>83</v>
      </c>
      <c r="M20" s="9"/>
      <c r="N20" s="9"/>
      <c r="O20" s="1">
        <v>114.99999999999999</v>
      </c>
      <c r="P20" s="1">
        <v>109.00000000000001</v>
      </c>
      <c r="Q20" s="2">
        <v>144</v>
      </c>
      <c r="R20" s="2">
        <v>133</v>
      </c>
      <c r="S20" s="1">
        <v>183</v>
      </c>
      <c r="T20" s="1">
        <v>164</v>
      </c>
      <c r="U20" s="2">
        <v>200</v>
      </c>
      <c r="V20" s="2">
        <v>186</v>
      </c>
      <c r="AA20" s="7">
        <v>169</v>
      </c>
      <c r="AB20" s="7">
        <v>155</v>
      </c>
      <c r="AC20" s="10">
        <v>247.00000000000003</v>
      </c>
      <c r="AD20" s="10">
        <v>216</v>
      </c>
      <c r="AE20" s="7">
        <v>198</v>
      </c>
      <c r="AF20" s="7">
        <v>172</v>
      </c>
      <c r="AG20" s="10">
        <v>213</v>
      </c>
      <c r="AH20" s="10">
        <v>199</v>
      </c>
      <c r="AI20" s="7">
        <v>274</v>
      </c>
      <c r="AJ20" s="7">
        <v>240</v>
      </c>
      <c r="AK20" s="10">
        <v>183</v>
      </c>
      <c r="AL20" s="10">
        <v>169</v>
      </c>
      <c r="AM20" s="9"/>
      <c r="AN20" s="9"/>
      <c r="AO20" s="9"/>
      <c r="AP20" s="9"/>
      <c r="AQ20" s="9"/>
    </row>
    <row r="21" spans="1:43" x14ac:dyDescent="0.25">
      <c r="A21" s="1">
        <v>76</v>
      </c>
      <c r="B21" s="1">
        <v>73</v>
      </c>
      <c r="C21" s="2">
        <v>79</v>
      </c>
      <c r="D21" s="2">
        <v>75</v>
      </c>
      <c r="E21" s="1">
        <v>87</v>
      </c>
      <c r="F21" s="1">
        <v>82</v>
      </c>
      <c r="I21" s="1">
        <v>89</v>
      </c>
      <c r="J21" s="1">
        <v>81</v>
      </c>
      <c r="K21" s="2">
        <v>94</v>
      </c>
      <c r="L21" s="2">
        <v>85.5</v>
      </c>
      <c r="O21" s="1">
        <v>114.99999999999999</v>
      </c>
      <c r="P21" s="1">
        <v>107</v>
      </c>
      <c r="Q21" s="2">
        <v>143</v>
      </c>
      <c r="R21" s="2">
        <v>133</v>
      </c>
      <c r="S21" s="1">
        <v>183</v>
      </c>
      <c r="T21" s="1">
        <v>164</v>
      </c>
      <c r="U21" s="2">
        <v>201</v>
      </c>
      <c r="V21" s="2">
        <v>188</v>
      </c>
      <c r="AA21" s="7">
        <v>168</v>
      </c>
      <c r="AB21" s="7">
        <v>155</v>
      </c>
      <c r="AC21" s="10">
        <v>248</v>
      </c>
      <c r="AD21" s="10">
        <v>225</v>
      </c>
      <c r="AE21" s="7">
        <v>197</v>
      </c>
      <c r="AF21" s="7">
        <v>169</v>
      </c>
      <c r="AG21" s="10">
        <v>210</v>
      </c>
      <c r="AH21" s="10">
        <v>197</v>
      </c>
      <c r="AI21" s="7">
        <v>273</v>
      </c>
      <c r="AJ21" s="7">
        <v>248</v>
      </c>
      <c r="AK21" s="10">
        <v>217</v>
      </c>
      <c r="AL21" s="10">
        <v>186</v>
      </c>
      <c r="AM21" s="9"/>
      <c r="AN21" s="9"/>
      <c r="AO21" s="9"/>
      <c r="AP21" s="9"/>
      <c r="AQ21" s="9"/>
    </row>
    <row r="22" spans="1:43" x14ac:dyDescent="0.25">
      <c r="A22" s="1">
        <v>78</v>
      </c>
      <c r="B22" s="1">
        <v>70.5</v>
      </c>
      <c r="C22" s="2">
        <v>78</v>
      </c>
      <c r="D22" s="2">
        <v>74</v>
      </c>
      <c r="I22" s="1">
        <v>87</v>
      </c>
      <c r="J22" s="1">
        <v>82</v>
      </c>
      <c r="O22" s="1">
        <v>115.99999999999999</v>
      </c>
      <c r="P22" s="1">
        <v>108</v>
      </c>
      <c r="Q22" s="2">
        <v>147</v>
      </c>
      <c r="R22" s="2">
        <v>132</v>
      </c>
      <c r="S22" s="1">
        <v>182</v>
      </c>
      <c r="T22" s="1">
        <v>162</v>
      </c>
      <c r="U22" s="2">
        <v>205</v>
      </c>
      <c r="V22" s="2">
        <v>190</v>
      </c>
      <c r="AA22" s="7">
        <v>170</v>
      </c>
      <c r="AB22" s="7">
        <v>155</v>
      </c>
      <c r="AC22" s="2">
        <v>224.00000000000003</v>
      </c>
      <c r="AD22" s="2">
        <v>202</v>
      </c>
      <c r="AE22" s="7">
        <v>198</v>
      </c>
      <c r="AF22" s="7">
        <v>172</v>
      </c>
      <c r="AG22" s="10">
        <v>207</v>
      </c>
      <c r="AH22" s="10">
        <v>196</v>
      </c>
      <c r="AI22" s="7">
        <v>280</v>
      </c>
      <c r="AJ22" s="7">
        <v>242</v>
      </c>
      <c r="AK22" s="10">
        <v>214</v>
      </c>
      <c r="AL22" s="10">
        <v>187</v>
      </c>
      <c r="AN22" s="9"/>
      <c r="AO22" s="9"/>
      <c r="AP22" s="9"/>
      <c r="AQ22" s="9"/>
    </row>
    <row r="23" spans="1:43" x14ac:dyDescent="0.25">
      <c r="A23" s="1">
        <v>77</v>
      </c>
      <c r="B23" s="1">
        <v>73</v>
      </c>
      <c r="C23" s="2">
        <v>79</v>
      </c>
      <c r="D23" s="2">
        <v>74.5</v>
      </c>
      <c r="O23" s="1">
        <v>130</v>
      </c>
      <c r="P23" s="1">
        <v>121</v>
      </c>
      <c r="Q23" s="2">
        <v>149</v>
      </c>
      <c r="R23" s="2">
        <v>134</v>
      </c>
      <c r="S23" s="3"/>
      <c r="T23" s="3"/>
      <c r="U23" s="3"/>
      <c r="V23" s="3"/>
      <c r="AA23" s="7">
        <v>173</v>
      </c>
      <c r="AB23" s="7">
        <v>158</v>
      </c>
      <c r="AE23" s="7">
        <v>210</v>
      </c>
      <c r="AF23" s="7">
        <v>189</v>
      </c>
      <c r="AG23" s="10">
        <v>229</v>
      </c>
      <c r="AH23" s="10">
        <v>205</v>
      </c>
      <c r="AI23" s="7">
        <v>285</v>
      </c>
      <c r="AJ23" s="7">
        <v>280</v>
      </c>
      <c r="AK23" s="10">
        <v>224</v>
      </c>
      <c r="AL23" s="10">
        <v>193</v>
      </c>
      <c r="AN23" s="9"/>
      <c r="AO23" s="9"/>
      <c r="AP23" s="9"/>
      <c r="AQ23" s="9"/>
    </row>
    <row r="24" spans="1:43" x14ac:dyDescent="0.25">
      <c r="C24" s="2">
        <v>78.5</v>
      </c>
      <c r="D24" s="2">
        <v>75</v>
      </c>
      <c r="O24" s="1">
        <v>131</v>
      </c>
      <c r="P24" s="1">
        <v>123</v>
      </c>
      <c r="Q24" s="2">
        <v>143</v>
      </c>
      <c r="R24" s="2">
        <v>133</v>
      </c>
      <c r="S24" s="3"/>
      <c r="T24" s="3"/>
      <c r="U24" s="3"/>
      <c r="V24" s="3"/>
      <c r="AA24" s="1">
        <v>166</v>
      </c>
      <c r="AB24" s="1">
        <v>150</v>
      </c>
      <c r="AE24" s="7">
        <v>203</v>
      </c>
      <c r="AF24" s="7">
        <v>182</v>
      </c>
      <c r="AG24" s="10">
        <v>226</v>
      </c>
      <c r="AH24" s="10">
        <v>211</v>
      </c>
      <c r="AI24" s="7">
        <v>283</v>
      </c>
      <c r="AJ24" s="7">
        <v>250</v>
      </c>
      <c r="AK24" s="10">
        <v>198</v>
      </c>
      <c r="AL24" s="10">
        <v>178</v>
      </c>
      <c r="AN24" s="9"/>
      <c r="AO24" s="9"/>
      <c r="AP24" s="9"/>
      <c r="AQ24" s="9"/>
    </row>
    <row r="25" spans="1:43" x14ac:dyDescent="0.25">
      <c r="C25" s="2">
        <v>78</v>
      </c>
      <c r="D25" s="2">
        <v>74.599999999999994</v>
      </c>
      <c r="O25" s="1">
        <v>135</v>
      </c>
      <c r="P25" s="1">
        <v>124</v>
      </c>
      <c r="Q25" s="2">
        <v>145</v>
      </c>
      <c r="R25" s="2">
        <v>135</v>
      </c>
      <c r="S25" s="3"/>
      <c r="T25" s="3"/>
      <c r="U25" s="3"/>
      <c r="V25" s="3"/>
      <c r="AE25" s="7">
        <v>203</v>
      </c>
      <c r="AF25" s="7">
        <v>176</v>
      </c>
      <c r="AG25" s="10">
        <v>218</v>
      </c>
      <c r="AH25" s="10">
        <v>202</v>
      </c>
      <c r="AI25" s="7">
        <v>272</v>
      </c>
      <c r="AJ25" s="7">
        <v>245</v>
      </c>
      <c r="AK25" s="10">
        <v>200</v>
      </c>
      <c r="AL25" s="10">
        <v>184</v>
      </c>
      <c r="AN25" s="9"/>
      <c r="AO25" s="9"/>
      <c r="AP25" s="9"/>
      <c r="AQ25" s="9"/>
    </row>
    <row r="26" spans="1:43" x14ac:dyDescent="0.25">
      <c r="Q26" s="2">
        <v>147</v>
      </c>
      <c r="R26" s="2">
        <v>137</v>
      </c>
      <c r="S26" s="3"/>
      <c r="T26" s="3"/>
      <c r="U26" s="3"/>
      <c r="V26" s="3"/>
      <c r="AE26" s="7">
        <v>215</v>
      </c>
      <c r="AF26" s="7">
        <v>193</v>
      </c>
      <c r="AG26" s="10">
        <v>231</v>
      </c>
      <c r="AH26" s="10">
        <v>212</v>
      </c>
      <c r="AI26" s="7">
        <v>282</v>
      </c>
      <c r="AJ26" s="7">
        <v>235</v>
      </c>
      <c r="AK26" s="10">
        <v>205</v>
      </c>
      <c r="AL26" s="10">
        <v>186</v>
      </c>
      <c r="AN26" s="9"/>
      <c r="AO26" s="9"/>
      <c r="AP26" s="9"/>
      <c r="AQ26" s="9"/>
    </row>
    <row r="27" spans="1:43" x14ac:dyDescent="0.25">
      <c r="S27" s="3"/>
      <c r="T27" s="3"/>
      <c r="U27" s="3"/>
      <c r="V27" s="3"/>
      <c r="AE27" s="7">
        <v>228</v>
      </c>
      <c r="AF27" s="7">
        <v>209</v>
      </c>
      <c r="AG27" s="10">
        <v>225</v>
      </c>
      <c r="AH27" s="10">
        <v>205</v>
      </c>
      <c r="AI27" s="7">
        <v>264</v>
      </c>
      <c r="AJ27" s="7">
        <v>236</v>
      </c>
      <c r="AK27" s="10">
        <v>188</v>
      </c>
      <c r="AL27" s="10">
        <v>180</v>
      </c>
      <c r="AN27" s="9"/>
      <c r="AO27" s="9"/>
      <c r="AP27" s="9"/>
      <c r="AQ27" s="9"/>
    </row>
    <row r="28" spans="1:43" x14ac:dyDescent="0.25">
      <c r="S28" s="3"/>
      <c r="T28" s="3"/>
      <c r="U28" s="3"/>
      <c r="V28" s="3"/>
      <c r="AE28" s="7">
        <v>225</v>
      </c>
      <c r="AF28" s="7">
        <v>205</v>
      </c>
      <c r="AG28" s="10">
        <v>223</v>
      </c>
      <c r="AH28" s="10">
        <v>204</v>
      </c>
      <c r="AI28" s="7">
        <v>271</v>
      </c>
      <c r="AJ28" s="7"/>
      <c r="AK28" s="10">
        <v>186</v>
      </c>
      <c r="AL28" s="10">
        <v>177</v>
      </c>
      <c r="AN28" s="9"/>
      <c r="AO28" s="9"/>
      <c r="AP28" s="9"/>
      <c r="AQ28" s="9"/>
    </row>
    <row r="29" spans="1:43" x14ac:dyDescent="0.25">
      <c r="S29" s="3"/>
      <c r="T29" s="3"/>
      <c r="U29" s="3"/>
      <c r="V29" s="3"/>
      <c r="AE29" s="7">
        <v>220</v>
      </c>
      <c r="AF29" s="7">
        <v>197</v>
      </c>
      <c r="AI29" s="9"/>
      <c r="AJ29" s="9"/>
      <c r="AK29" s="10">
        <v>186</v>
      </c>
      <c r="AL29" s="10">
        <v>176</v>
      </c>
      <c r="AN29" s="9"/>
      <c r="AO29" s="9"/>
      <c r="AP29" s="9"/>
      <c r="AQ29" s="9"/>
    </row>
    <row r="30" spans="1:43" x14ac:dyDescent="0.25">
      <c r="S30" s="3"/>
      <c r="T30" s="3"/>
      <c r="U30" s="3"/>
      <c r="V30" s="3"/>
      <c r="AE30" s="7">
        <v>194</v>
      </c>
      <c r="AF30" s="7">
        <v>177</v>
      </c>
      <c r="AI30" s="9"/>
      <c r="AJ30" s="9"/>
      <c r="AK30" s="9"/>
      <c r="AL30" s="9"/>
      <c r="AN30" s="9"/>
      <c r="AO30" s="9"/>
      <c r="AP30" s="9"/>
      <c r="AQ30" s="9"/>
    </row>
    <row r="31" spans="1:43" x14ac:dyDescent="0.25">
      <c r="S31" s="3"/>
      <c r="T31" s="3"/>
      <c r="U31" s="3"/>
      <c r="V31" s="3"/>
      <c r="AE31" s="7">
        <v>184</v>
      </c>
      <c r="AF31" s="7">
        <v>165</v>
      </c>
      <c r="AI31" s="9"/>
      <c r="AJ31" s="9"/>
      <c r="AK31" s="9"/>
      <c r="AL31" s="9"/>
      <c r="AN31" s="9"/>
      <c r="AO31" s="9"/>
      <c r="AP31" s="9"/>
      <c r="AQ31" s="9"/>
    </row>
    <row r="32" spans="1:43" x14ac:dyDescent="0.25">
      <c r="S32" s="3"/>
      <c r="T32" s="3"/>
      <c r="U32" s="3"/>
      <c r="V32" s="3"/>
      <c r="AE32" s="7">
        <v>188</v>
      </c>
      <c r="AF32" s="7">
        <v>167</v>
      </c>
      <c r="AI32" s="9"/>
      <c r="AJ32" s="9"/>
      <c r="AK32" s="9"/>
      <c r="AL32" s="9"/>
      <c r="AN32" s="9"/>
      <c r="AO32" s="9"/>
      <c r="AP32" s="9"/>
      <c r="AQ32" s="9"/>
    </row>
    <row r="33" spans="1:43" x14ac:dyDescent="0.25">
      <c r="S33" s="3"/>
      <c r="T33" s="3"/>
      <c r="U33" s="3"/>
      <c r="V33" s="3"/>
      <c r="AA33" s="33"/>
      <c r="AB33" s="33"/>
      <c r="AI33" s="9"/>
      <c r="AJ33" s="9"/>
      <c r="AK33" s="9"/>
      <c r="AL33" s="9"/>
      <c r="AN33" s="9"/>
      <c r="AO33" s="9"/>
      <c r="AP33" s="9"/>
      <c r="AQ33" s="9"/>
    </row>
    <row r="34" spans="1:43" x14ac:dyDescent="0.25">
      <c r="A34" s="9"/>
      <c r="B34" s="9"/>
      <c r="E34" s="9"/>
      <c r="F34" s="9"/>
      <c r="G34" s="9"/>
      <c r="H34" s="9"/>
      <c r="I34" s="9"/>
      <c r="J34" s="9"/>
      <c r="K34" s="9"/>
      <c r="L34" s="9"/>
      <c r="O34" s="9"/>
      <c r="P34" s="9"/>
      <c r="Q34" s="9"/>
      <c r="R34" s="9"/>
      <c r="S34" s="9"/>
      <c r="T34" s="9"/>
      <c r="U34" s="9"/>
      <c r="V34" s="9"/>
      <c r="W34" s="9"/>
      <c r="X34" s="9"/>
      <c r="AA34" s="34"/>
      <c r="AB34" s="34"/>
      <c r="AC34" s="9"/>
      <c r="AD34" s="9"/>
      <c r="AE34" s="9"/>
      <c r="AF34" s="9"/>
      <c r="AG34" s="9"/>
      <c r="AH34" s="9"/>
      <c r="AI34" s="9"/>
      <c r="AJ34" s="9"/>
      <c r="AK34" s="9"/>
      <c r="AN34" s="9"/>
      <c r="AO34" s="9"/>
      <c r="AP34" s="9"/>
      <c r="AQ34" s="9"/>
    </row>
    <row r="35" spans="1:43" x14ac:dyDescent="0.25">
      <c r="S35" s="3"/>
      <c r="T35" s="3"/>
      <c r="U35" s="3"/>
      <c r="V35" s="3"/>
      <c r="AA35" s="34"/>
      <c r="AB35" s="34"/>
      <c r="AK35" s="9"/>
      <c r="AN35" s="9"/>
      <c r="AO35" s="9"/>
      <c r="AP35" s="9"/>
      <c r="AQ35" s="9"/>
    </row>
    <row r="36" spans="1:43" x14ac:dyDescent="0.25">
      <c r="S36" s="3"/>
      <c r="T36" s="3"/>
      <c r="U36" s="3"/>
      <c r="V36" s="3"/>
      <c r="AA36" s="34"/>
      <c r="AB36" s="34"/>
      <c r="AK36" s="9"/>
      <c r="AN36" s="9"/>
      <c r="AO36" s="9"/>
      <c r="AP36" s="9"/>
      <c r="AQ36" s="9"/>
    </row>
    <row r="37" spans="1:43" x14ac:dyDescent="0.25">
      <c r="S37" s="3"/>
      <c r="T37" s="3"/>
      <c r="U37" s="3"/>
      <c r="V37" s="3"/>
      <c r="AA37" s="34"/>
      <c r="AB37" s="34"/>
      <c r="AO37" s="9"/>
      <c r="AP37" s="9"/>
      <c r="AQ37" s="9"/>
    </row>
    <row r="38" spans="1:43" x14ac:dyDescent="0.25">
      <c r="S38" s="3"/>
      <c r="T38" s="3"/>
      <c r="U38" s="3"/>
      <c r="V38" s="3"/>
      <c r="AA38" s="34"/>
      <c r="AB38" s="34"/>
      <c r="AO38" s="9"/>
      <c r="AP38" s="9"/>
      <c r="AQ38" s="9"/>
    </row>
    <row r="39" spans="1:43" x14ac:dyDescent="0.25">
      <c r="S39" s="3"/>
      <c r="T39" s="3"/>
      <c r="U39" s="3"/>
      <c r="V39" s="3"/>
      <c r="AA39" s="34"/>
      <c r="AB39" s="34"/>
      <c r="AO39" s="9"/>
      <c r="AP39" s="9"/>
      <c r="AQ39" s="9"/>
    </row>
    <row r="40" spans="1:43" x14ac:dyDescent="0.25">
      <c r="S40" s="3"/>
      <c r="T40" s="3"/>
      <c r="U40" s="3"/>
      <c r="V40" s="3"/>
      <c r="AA40" s="34"/>
      <c r="AB40" s="34"/>
      <c r="AO40" s="9"/>
    </row>
    <row r="41" spans="1:43" x14ac:dyDescent="0.25">
      <c r="S41" s="3"/>
      <c r="T41" s="3"/>
      <c r="U41" s="3"/>
      <c r="V41" s="3"/>
      <c r="W41" s="33"/>
      <c r="X41" s="33"/>
      <c r="AA41" s="34"/>
      <c r="AB41" s="34"/>
      <c r="AC41" s="33"/>
      <c r="AD41" s="33"/>
      <c r="AO41" s="9"/>
    </row>
    <row r="42" spans="1:43" x14ac:dyDescent="0.25">
      <c r="S42" s="3"/>
      <c r="T42" s="3"/>
      <c r="U42" s="3"/>
      <c r="V42" s="3"/>
      <c r="W42" s="34"/>
      <c r="X42" s="34"/>
      <c r="AA42" s="34"/>
      <c r="AB42" s="34"/>
      <c r="AC42" s="34"/>
      <c r="AD42" s="34"/>
    </row>
    <row r="43" spans="1:43" x14ac:dyDescent="0.25">
      <c r="S43" s="3"/>
      <c r="T43" s="3"/>
      <c r="U43" s="3"/>
      <c r="V43" s="3"/>
      <c r="W43" s="34"/>
      <c r="X43" s="34"/>
      <c r="AA43" s="34"/>
      <c r="AB43" s="34"/>
      <c r="AC43" s="34"/>
      <c r="AD43" s="34"/>
      <c r="AE43" s="34"/>
      <c r="AF43" s="34"/>
      <c r="AK43" s="34"/>
      <c r="AL43" s="34"/>
      <c r="AM43" s="34"/>
      <c r="AO43" s="35"/>
    </row>
    <row r="44" spans="1:43" x14ac:dyDescent="0.25">
      <c r="S44" s="3"/>
      <c r="T44" s="3"/>
      <c r="U44" s="3"/>
      <c r="V44" s="3"/>
      <c r="W44" s="33"/>
      <c r="X44" s="33"/>
      <c r="AA44" s="34"/>
      <c r="AB44" s="34"/>
      <c r="AC44" s="33"/>
      <c r="AD44" s="33"/>
      <c r="AK44" s="33"/>
      <c r="AL44" s="33"/>
      <c r="AM44" s="33"/>
      <c r="AO44" s="35"/>
    </row>
    <row r="45" spans="1:43" x14ac:dyDescent="0.25">
      <c r="S45" s="3"/>
      <c r="T45" s="3"/>
      <c r="U45" s="3"/>
      <c r="V45" s="3"/>
      <c r="W45" s="33"/>
      <c r="X45" s="33"/>
      <c r="AA45" s="34"/>
      <c r="AB45" s="34"/>
      <c r="AC45" s="33"/>
      <c r="AD45" s="33"/>
      <c r="AK45" s="33"/>
      <c r="AL45" s="33"/>
      <c r="AM45" s="33"/>
      <c r="AO45" s="35"/>
    </row>
    <row r="46" spans="1:43" x14ac:dyDescent="0.25">
      <c r="S46" s="3"/>
      <c r="T46" s="3"/>
      <c r="U46" s="3"/>
      <c r="V46" s="3"/>
      <c r="W46" s="33"/>
      <c r="X46" s="33"/>
      <c r="AA46" s="34"/>
      <c r="AB46" s="34"/>
      <c r="AC46" s="33"/>
      <c r="AD46" s="33"/>
      <c r="AE46" s="33"/>
      <c r="AF46" s="33"/>
      <c r="AK46" s="33"/>
      <c r="AL46" s="33"/>
      <c r="AM46" s="33"/>
      <c r="AO46" s="35"/>
    </row>
    <row r="47" spans="1:43" x14ac:dyDescent="0.25">
      <c r="S47" s="3"/>
      <c r="T47" s="3"/>
      <c r="U47" s="3"/>
      <c r="V47" s="3"/>
      <c r="W47" s="33"/>
      <c r="X47" s="33"/>
      <c r="Y47" s="33"/>
      <c r="Z47" s="36"/>
      <c r="AA47" s="34"/>
      <c r="AB47" s="34"/>
      <c r="AC47" s="33"/>
      <c r="AD47" s="33"/>
      <c r="AE47" s="33"/>
      <c r="AF47" s="33"/>
      <c r="AK47" s="33"/>
      <c r="AL47" s="33"/>
      <c r="AM47" s="33"/>
      <c r="AO47" s="35"/>
    </row>
    <row r="48" spans="1:43" x14ac:dyDescent="0.25">
      <c r="S48" s="3"/>
      <c r="T48" s="3"/>
      <c r="U48" s="3"/>
      <c r="V48" s="3"/>
      <c r="W48" s="34"/>
      <c r="X48" s="34"/>
      <c r="Y48" s="34"/>
      <c r="Z48" s="37"/>
      <c r="AA48" s="34"/>
      <c r="AB48" s="34"/>
      <c r="AC48" s="34"/>
      <c r="AD48" s="34"/>
      <c r="AK48" s="34"/>
      <c r="AL48" s="34"/>
      <c r="AM48" s="34"/>
      <c r="AO48" s="35"/>
    </row>
    <row r="49" spans="19:41" x14ac:dyDescent="0.25">
      <c r="S49" s="3"/>
      <c r="T49" s="3"/>
      <c r="U49" s="3"/>
      <c r="V49" s="3"/>
      <c r="W49" s="34"/>
      <c r="X49" s="34"/>
      <c r="Y49" s="34"/>
      <c r="Z49" s="37"/>
      <c r="AA49" s="34"/>
      <c r="AB49" s="34"/>
      <c r="AC49" s="34"/>
      <c r="AD49" s="34"/>
      <c r="AK49" s="34"/>
      <c r="AL49" s="34"/>
      <c r="AM49" s="34"/>
      <c r="AO49" s="35"/>
    </row>
    <row r="50" spans="19:41" x14ac:dyDescent="0.25">
      <c r="S50" s="3"/>
      <c r="T50" s="3"/>
      <c r="U50" s="3"/>
      <c r="V50" s="3"/>
      <c r="W50" s="34"/>
      <c r="X50" s="34"/>
      <c r="Y50" s="34"/>
      <c r="Z50" s="37"/>
      <c r="AA50" s="34"/>
      <c r="AB50" s="34"/>
      <c r="AC50" s="34"/>
      <c r="AD50" s="34"/>
      <c r="AE50" s="34"/>
      <c r="AF50" s="34"/>
      <c r="AK50" s="34"/>
      <c r="AL50" s="34"/>
      <c r="AM50" s="34"/>
      <c r="AO50" s="35"/>
    </row>
    <row r="51" spans="19:41" x14ac:dyDescent="0.25">
      <c r="S51" s="3"/>
      <c r="T51" s="3"/>
      <c r="U51" s="3"/>
      <c r="V51" s="3"/>
      <c r="W51" s="34"/>
      <c r="X51" s="34"/>
      <c r="Y51" s="34"/>
      <c r="Z51" s="37"/>
      <c r="AA51" s="34"/>
      <c r="AB51" s="34"/>
      <c r="AC51" s="34"/>
      <c r="AD51" s="34"/>
      <c r="AE51" s="34"/>
      <c r="AF51" s="34"/>
      <c r="AK51" s="34"/>
      <c r="AL51" s="34"/>
      <c r="AM51" s="34"/>
    </row>
    <row r="52" spans="19:41" x14ac:dyDescent="0.25">
      <c r="S52" s="3"/>
      <c r="T52" s="3"/>
      <c r="U52" s="3"/>
      <c r="V52" s="3"/>
      <c r="W52" s="33"/>
      <c r="X52" s="33"/>
      <c r="Y52" s="33"/>
      <c r="Z52" s="36"/>
      <c r="AA52" s="33"/>
      <c r="AB52" s="33"/>
      <c r="AC52" s="33"/>
      <c r="AD52" s="33"/>
      <c r="AK52" s="33"/>
      <c r="AL52" s="33"/>
      <c r="AM52" s="33"/>
    </row>
    <row r="53" spans="19:41" x14ac:dyDescent="0.25">
      <c r="S53" s="3"/>
      <c r="T53" s="3"/>
      <c r="U53" s="3"/>
      <c r="V53" s="3"/>
      <c r="W53" s="33"/>
      <c r="X53" s="33"/>
      <c r="Y53" s="33"/>
      <c r="Z53" s="36"/>
      <c r="AA53" s="33"/>
      <c r="AB53" s="33"/>
      <c r="AC53" s="33"/>
      <c r="AD53" s="33"/>
      <c r="AK53" s="33"/>
      <c r="AL53" s="33"/>
      <c r="AM53" s="33"/>
    </row>
    <row r="54" spans="19:41" x14ac:dyDescent="0.25">
      <c r="S54" s="3"/>
      <c r="T54" s="3"/>
      <c r="U54" s="3"/>
      <c r="V54" s="3"/>
      <c r="W54" s="33"/>
      <c r="X54" s="33"/>
      <c r="Y54" s="33"/>
      <c r="Z54" s="36"/>
      <c r="AA54" s="33"/>
      <c r="AB54" s="33"/>
      <c r="AC54" s="33"/>
      <c r="AD54" s="33"/>
      <c r="AE54" s="33"/>
      <c r="AF54" s="33"/>
      <c r="AK54" s="33"/>
      <c r="AL54" s="33"/>
      <c r="AM54" s="33"/>
    </row>
    <row r="55" spans="19:41" x14ac:dyDescent="0.25">
      <c r="S55" s="3"/>
      <c r="T55" s="3"/>
      <c r="U55" s="3"/>
      <c r="V55" s="3"/>
      <c r="W55" s="34"/>
      <c r="X55" s="34"/>
      <c r="Y55" s="34"/>
      <c r="Z55" s="37"/>
      <c r="AA55" s="34"/>
      <c r="AB55" s="34"/>
      <c r="AC55" s="34"/>
      <c r="AD55" s="34"/>
      <c r="AK55" s="34"/>
      <c r="AL55" s="34"/>
      <c r="AM55" s="34"/>
    </row>
    <row r="56" spans="19:41" x14ac:dyDescent="0.25">
      <c r="W56" s="34"/>
      <c r="X56" s="34"/>
      <c r="Y56" s="34"/>
      <c r="Z56" s="37"/>
      <c r="AA56" s="34"/>
      <c r="AB56" s="34"/>
      <c r="AC56" s="34"/>
      <c r="AD56" s="34"/>
      <c r="AK56" s="34"/>
      <c r="AL56" s="34"/>
      <c r="AM56" s="34"/>
    </row>
    <row r="57" spans="19:41" x14ac:dyDescent="0.25">
      <c r="W57" s="34"/>
      <c r="X57" s="34"/>
      <c r="Y57" s="34"/>
      <c r="Z57" s="37"/>
      <c r="AA57" s="34"/>
      <c r="AB57" s="34"/>
      <c r="AC57" s="34"/>
      <c r="AD57" s="34"/>
      <c r="AE57" s="34"/>
      <c r="AF57" s="34"/>
      <c r="AK57" s="34"/>
      <c r="AL57" s="34"/>
      <c r="AM57" s="34"/>
    </row>
    <row r="58" spans="19:41" x14ac:dyDescent="0.25">
      <c r="W58" s="34"/>
      <c r="X58" s="34"/>
      <c r="Y58" s="34"/>
      <c r="Z58" s="37"/>
      <c r="AA58" s="34"/>
      <c r="AB58" s="34"/>
      <c r="AC58" s="34"/>
      <c r="AD58" s="34"/>
      <c r="AK58" s="34"/>
      <c r="AL58" s="34"/>
      <c r="AM58" s="34"/>
    </row>
    <row r="59" spans="19:41" x14ac:dyDescent="0.25">
      <c r="Z59" s="38"/>
    </row>
    <row r="60" spans="19:41" x14ac:dyDescent="0.25">
      <c r="Z60" s="38"/>
    </row>
    <row r="61" spans="19:41" x14ac:dyDescent="0.25">
      <c r="Z61" s="38"/>
    </row>
    <row r="62" spans="19:41" x14ac:dyDescent="0.25">
      <c r="Z62" s="38"/>
    </row>
    <row r="63" spans="19:41" x14ac:dyDescent="0.25">
      <c r="Z63" s="38"/>
    </row>
    <row r="64" spans="19:41" x14ac:dyDescent="0.25">
      <c r="Z64" s="38"/>
    </row>
    <row r="65" spans="26:26" x14ac:dyDescent="0.25">
      <c r="Z65" s="38"/>
    </row>
    <row r="66" spans="26:26" x14ac:dyDescent="0.25">
      <c r="Z66" s="38"/>
    </row>
    <row r="67" spans="26:26" x14ac:dyDescent="0.25">
      <c r="Z67" s="38"/>
    </row>
    <row r="68" spans="26:26" x14ac:dyDescent="0.25">
      <c r="Z68" s="38"/>
    </row>
    <row r="69" spans="26:26" x14ac:dyDescent="0.25">
      <c r="Z69" s="38"/>
    </row>
    <row r="70" spans="26:26" x14ac:dyDescent="0.25">
      <c r="Z70" s="38"/>
    </row>
    <row r="71" spans="26:26" x14ac:dyDescent="0.25">
      <c r="Z71" s="38"/>
    </row>
    <row r="72" spans="26:26" x14ac:dyDescent="0.25">
      <c r="Z72" s="38"/>
    </row>
    <row r="73" spans="26:26" x14ac:dyDescent="0.25">
      <c r="Z73" s="38"/>
    </row>
    <row r="74" spans="26:26" x14ac:dyDescent="0.25">
      <c r="Z74" s="38"/>
    </row>
    <row r="75" spans="26:26" x14ac:dyDescent="0.25">
      <c r="Z75" s="38"/>
    </row>
    <row r="76" spans="26:26" x14ac:dyDescent="0.25">
      <c r="Z76" s="38"/>
    </row>
    <row r="77" spans="26:26" x14ac:dyDescent="0.25">
      <c r="Z77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FYI</vt:lpstr>
      <vt:lpstr>SYI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 Salganik</dc:creator>
  <cp:lastModifiedBy>Evgenii Salganik</cp:lastModifiedBy>
  <dcterms:created xsi:type="dcterms:W3CDTF">2026-05-30T05:03:40Z</dcterms:created>
  <dcterms:modified xsi:type="dcterms:W3CDTF">2026-05-30T05:19:15Z</dcterms:modified>
</cp:coreProperties>
</file>