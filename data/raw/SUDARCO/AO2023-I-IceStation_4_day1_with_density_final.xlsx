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drawings/drawing2.xml" ContentType="application/vnd.openxmlformats-officedocument.drawing+xml"/>
  <Override PartName="/xl/charts/chart2.xml" ContentType="application/vnd.openxmlformats-officedocument.drawingml.chart+xml"/>
  <Override PartName="/xl/charts/style2.xml" ContentType="application/vnd.ms-office.chartstyle+xml"/>
  <Override PartName="/xl/charts/colors2.xml" ContentType="application/vnd.ms-office.chartcolorstyle+xml"/>
  <Override PartName="/xl/charts/chart3.xml" ContentType="application/vnd.openxmlformats-officedocument.drawingml.chart+xml"/>
  <Override PartName="/xl/charts/style3.xml" ContentType="application/vnd.ms-office.chartstyle+xml"/>
  <Override PartName="/xl/charts/colors3.xml" ContentType="application/vnd.ms-office.chartcolorsty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932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evsalg001\Documents\MATLAB\Density parametrization\SUDARCO\Data\"/>
    </mc:Choice>
  </mc:AlternateContent>
  <xr:revisionPtr revIDLastSave="0" documentId="13_ncr:1_{9C6F2E8A-0C39-4887-822A-0EDEBA763C31}" xr6:coauthVersionLast="47" xr6:coauthVersionMax="47" xr10:uidLastSave="{00000000-0000-0000-0000-000000000000}"/>
  <bookViews>
    <workbookView xWindow="19095" yWindow="0" windowWidth="19410" windowHeight="20985" tabRatio="500" xr2:uid="{00000000-000D-0000-FFFF-FFFF00000000}"/>
  </bookViews>
  <sheets>
    <sheet name="Station Overview" sheetId="1" r:id="rId1"/>
    <sheet name="Salinity Core" sheetId="2" r:id="rId2"/>
    <sheet name="Temperature Core" sheetId="3" r:id="rId3"/>
    <sheet name="Density Core" sheetId="4" r:id="rId4"/>
    <sheet name="Chemistry core" sheetId="5" r:id="rId5"/>
    <sheet name="Archive Core" sheetId="6" r:id="rId6"/>
    <sheet name="Backup core" sheetId="7" r:id="rId7"/>
    <sheet name="Snow Pit" sheetId="8" r:id="rId8"/>
    <sheet name="Lists" sheetId="13" r:id="rId9"/>
  </sheets>
  <definedNames>
    <definedName name="asdfasdf">'Station Overview'!$B$16</definedName>
    <definedName name="ExpID">'Station Overview'!$B$4</definedName>
    <definedName name="GeneralConditions">Lists!$C$2:$C$16</definedName>
    <definedName name="ObsDate">'Station Overview'!$B$17</definedName>
    <definedName name="_xlnm.Print_Area" localSheetId="5">'Archive Core'!$A$1:$H$46</definedName>
    <definedName name="_xlnm.Print_Area" localSheetId="6">'Backup core'!$A$1:$H$46</definedName>
    <definedName name="_xlnm.Print_Area" localSheetId="4">'Chemistry core'!$A$1:$H$46</definedName>
    <definedName name="_xlnm.Print_Area" localSheetId="3">'Density Core'!$A$1:$I$36</definedName>
    <definedName name="_xlnm.Print_Area" localSheetId="1">'Salinity Core'!$A$1:$N$41</definedName>
    <definedName name="_xlnm.Print_Area" localSheetId="7">'Snow Pit'!$A$1:$S$48</definedName>
    <definedName name="_xlnm.Print_Area" localSheetId="0">'Station Overview'!$A$1:$F$37</definedName>
    <definedName name="_xlnm.Print_Area" localSheetId="2">'Temperature Core'!$A$1:$H$46</definedName>
    <definedName name="SnowHardness">Lists!$D$2:$D$9</definedName>
    <definedName name="SnowType">Lists!$E$2:$E$13</definedName>
    <definedName name="StationTypes">Lists!$B$2:$B$5</definedName>
    <definedName name="StnDay">'Station Overview'!$B$6</definedName>
    <definedName name="StnNum">'Station Overview'!$B$5</definedName>
    <definedName name="TimeZones">Lists!$A$2:$A$26</definedName>
    <definedName name="Yes_No">Lists!$F$2:$F$3</definedName>
  </definedNames>
  <calcPr calcId="191029" iterateDelta="1E-4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1"/>
    </ext>
    <ext xmlns:loext="http://schemas.libreoffice.org/" uri="{7626C862-2A13-11E5-B345-FEFF819CDC9F}">
      <loext:extCalcPr stringRefSyntax="ExcelA1"/>
    </ext>
  </extLst>
</workbook>
</file>

<file path=xl/calcChain.xml><?xml version="1.0" encoding="utf-8"?>
<calcChain xmlns="http://schemas.openxmlformats.org/spreadsheetml/2006/main">
  <c r="G44" i="4" l="1"/>
  <c r="G43" i="4"/>
  <c r="G42" i="4"/>
  <c r="G41" i="4"/>
  <c r="G40" i="4"/>
  <c r="G39" i="4"/>
  <c r="G38" i="4"/>
  <c r="G37" i="4"/>
  <c r="G36" i="4"/>
  <c r="G35" i="4"/>
  <c r="G34" i="4"/>
  <c r="G33" i="4"/>
  <c r="G32" i="4"/>
  <c r="G31" i="4"/>
  <c r="G30" i="4"/>
  <c r="G29" i="4"/>
  <c r="G28" i="4"/>
  <c r="G27" i="4"/>
  <c r="G26" i="4"/>
  <c r="G25" i="4"/>
  <c r="H44" i="4"/>
  <c r="H43" i="4"/>
  <c r="H42" i="4"/>
  <c r="H41" i="4"/>
  <c r="H40" i="4"/>
  <c r="H39" i="4"/>
  <c r="H38" i="4"/>
  <c r="H37" i="4"/>
  <c r="H36" i="4"/>
  <c r="H35" i="4"/>
  <c r="H34" i="4"/>
  <c r="H33" i="4"/>
  <c r="H32" i="4"/>
  <c r="H31" i="4"/>
  <c r="H30" i="4"/>
  <c r="H29" i="4"/>
  <c r="H28" i="4"/>
  <c r="H27" i="4"/>
  <c r="H26" i="4"/>
  <c r="H25" i="4"/>
  <c r="H24" i="4"/>
  <c r="G24" i="4"/>
  <c r="H23" i="4"/>
  <c r="G23" i="4"/>
  <c r="O56" i="8" l="1"/>
  <c r="O55" i="8"/>
  <c r="O54" i="8"/>
  <c r="O53" i="8"/>
  <c r="O52" i="8"/>
  <c r="O51" i="8"/>
  <c r="O50" i="8"/>
  <c r="O49" i="8"/>
  <c r="O48" i="8"/>
  <c r="O47" i="8"/>
  <c r="O46" i="8"/>
  <c r="O45" i="8"/>
  <c r="O44" i="8"/>
  <c r="O43" i="8"/>
  <c r="O42" i="8"/>
  <c r="O41" i="8"/>
  <c r="O40" i="8"/>
  <c r="O39" i="8"/>
  <c r="O38" i="8"/>
  <c r="O37" i="8"/>
  <c r="O36" i="8"/>
  <c r="O35" i="8"/>
  <c r="O34" i="8"/>
  <c r="O33" i="8"/>
  <c r="O32" i="8"/>
  <c r="O31" i="8"/>
  <c r="O30" i="8"/>
  <c r="O29" i="8"/>
  <c r="O28" i="8"/>
  <c r="O27" i="8"/>
  <c r="O26" i="8"/>
  <c r="O25" i="8"/>
  <c r="O24" i="8"/>
  <c r="O23" i="8"/>
  <c r="O22" i="8"/>
  <c r="O21" i="8"/>
  <c r="O20" i="8"/>
  <c r="O19" i="8"/>
  <c r="O18" i="8"/>
  <c r="O17" i="8"/>
  <c r="B4" i="8"/>
  <c r="B2" i="8"/>
  <c r="B4" i="7"/>
  <c r="B2" i="7"/>
  <c r="D20" i="6"/>
  <c r="B4" i="6"/>
  <c r="B2" i="6"/>
  <c r="B4" i="5"/>
  <c r="B2" i="5"/>
  <c r="B4" i="4"/>
  <c r="B2" i="4"/>
  <c r="B4" i="3"/>
  <c r="B2" i="3"/>
  <c r="M12" i="2"/>
  <c r="B4" i="2"/>
  <c r="B2" i="2"/>
</calcChain>
</file>

<file path=xl/sharedStrings.xml><?xml version="1.0" encoding="utf-8"?>
<sst xmlns="http://schemas.openxmlformats.org/spreadsheetml/2006/main" count="421" uniqueCount="243">
  <si>
    <t>Ice Station Daily Report</t>
  </si>
  <si>
    <t>Ice Station Name</t>
  </si>
  <si>
    <t>Expedition ID</t>
  </si>
  <si>
    <t>AO2023-I</t>
  </si>
  <si>
    <t>Station number</t>
  </si>
  <si>
    <t>Day at station</t>
  </si>
  <si>
    <t>Observer</t>
  </si>
  <si>
    <t>Dmitry Divine, Cora Hoppe</t>
  </si>
  <si>
    <t>Station Description</t>
  </si>
  <si>
    <t>Station type</t>
  </si>
  <si>
    <t>Ice floe, multi-day station</t>
  </si>
  <si>
    <t>General conditions</t>
  </si>
  <si>
    <t>Cold, snow (winter/spring conditions)</t>
  </si>
  <si>
    <t>Comments</t>
  </si>
  <si>
    <t xml:space="preserve">Ice station on drift ice in the Greenland Sea. Ice floe of about 800 m size. Mostly FYI  based on surface morphology, thickness drillings and reatively soft ice. Thin  snow cover of some 5-12 cm thick on level icea mostly level ice of 110 cm thick. See more details from the general description of ice station.  </t>
  </si>
  <si>
    <t>Starting Position</t>
  </si>
  <si>
    <t>Starting Date</t>
  </si>
  <si>
    <t>15.06.23</t>
  </si>
  <si>
    <t>Starting Time</t>
  </si>
  <si>
    <t>mark 109 personal tracker</t>
  </si>
  <si>
    <t>Degrees</t>
  </si>
  <si>
    <t>Minutes</t>
  </si>
  <si>
    <t>Seconds</t>
  </si>
  <si>
    <t>Starting Latitude</t>
  </si>
  <si>
    <t>Starting Longitude</t>
  </si>
  <si>
    <t>Ending Position</t>
  </si>
  <si>
    <t>Ending Date</t>
  </si>
  <si>
    <t>end of day 1 coring and snow work (more activity on the ice later in the day)</t>
  </si>
  <si>
    <t>Ending Time</t>
  </si>
  <si>
    <t>Ending Latitude</t>
  </si>
  <si>
    <t>Ending Longitude</t>
  </si>
  <si>
    <t>Time zone used</t>
  </si>
  <si>
    <t>UTC</t>
  </si>
  <si>
    <t>Exp. ID</t>
  </si>
  <si>
    <t>Stn. Number</t>
  </si>
  <si>
    <t>Explanation</t>
  </si>
  <si>
    <t>Associate with station</t>
  </si>
  <si>
    <t>Salinity Core</t>
  </si>
  <si>
    <t>Station</t>
  </si>
  <si>
    <t>Site</t>
  </si>
  <si>
    <t>communal coring site</t>
  </si>
  <si>
    <t>Date</t>
  </si>
  <si>
    <t>Time</t>
  </si>
  <si>
    <t>DD, CH</t>
  </si>
  <si>
    <t>General comments</t>
  </si>
  <si>
    <t>Core 1 salinity; snow on coring site 12, 12, 5, 5, 6</t>
  </si>
  <si>
    <t>Thickness:</t>
  </si>
  <si>
    <t>Bottom to Snow surface [cm]</t>
  </si>
  <si>
    <t>Total core length [cm]</t>
  </si>
  <si>
    <t>Bottom to Ice surface [cm]</t>
  </si>
  <si>
    <t># of pieces</t>
  </si>
  <si>
    <t>Bottom to Water [cm]</t>
  </si>
  <si>
    <t>Sum length of pieces</t>
  </si>
  <si>
    <t>Freeboard [cm]</t>
  </si>
  <si>
    <t>Ice Thickness [cm]</t>
  </si>
  <si>
    <t>Snow Thickness [cm]</t>
  </si>
  <si>
    <t>Box Number</t>
  </si>
  <si>
    <t>Top [cm]</t>
  </si>
  <si>
    <t>Bottom [cm]</t>
  </si>
  <si>
    <t>Salinity</t>
  </si>
  <si>
    <t>Conductivity [mS/cm]</t>
  </si>
  <si>
    <t>Sample Temperature [°C]</t>
  </si>
  <si>
    <t>Section Length [cm]</t>
  </si>
  <si>
    <t>Density [kg/m³]</t>
  </si>
  <si>
    <t>d18O sample number</t>
  </si>
  <si>
    <t>Core piece section #</t>
  </si>
  <si>
    <t>At depth [cm]</t>
  </si>
  <si>
    <t>Lenght og piece [cm]</t>
  </si>
  <si>
    <t>A01</t>
  </si>
  <si>
    <t>AO2023-I-ST4_4</t>
  </si>
  <si>
    <t>break at 20, skeletal layer some 1.5-2 cm</t>
  </si>
  <si>
    <t>A02</t>
  </si>
  <si>
    <t>AO2023-I-ST4_5</t>
  </si>
  <si>
    <t>A03</t>
  </si>
  <si>
    <t>AO2023-I-ST4_6</t>
  </si>
  <si>
    <t>A04</t>
  </si>
  <si>
    <t>AO2023-I-ST4_7</t>
  </si>
  <si>
    <t>A05</t>
  </si>
  <si>
    <t>A06</t>
  </si>
  <si>
    <t>A07</t>
  </si>
  <si>
    <t>A08</t>
  </si>
  <si>
    <t>A09</t>
  </si>
  <si>
    <t>A10</t>
  </si>
  <si>
    <t>A11</t>
  </si>
  <si>
    <t>AO2023-I-ST4_8</t>
  </si>
  <si>
    <t>A12</t>
  </si>
  <si>
    <t>A13</t>
  </si>
  <si>
    <t>A14</t>
  </si>
  <si>
    <t>Temperature Core</t>
  </si>
  <si>
    <t>Core Kept for Texture Analasis?</t>
  </si>
  <si>
    <t>No</t>
  </si>
  <si>
    <t>Core 4 Temperature, packed as Chemistry core.</t>
  </si>
  <si>
    <t>Temperatures:</t>
  </si>
  <si>
    <t>Air temp 1m [°C]</t>
  </si>
  <si>
    <t>Surface temp [°C]</t>
  </si>
  <si>
    <t>Snow-Ice temp [°C]</t>
  </si>
  <si>
    <t>Water temp [°C]</t>
  </si>
  <si>
    <t>Ice depth (from top) [cm]</t>
  </si>
  <si>
    <t>Temperature [°C]</t>
  </si>
  <si>
    <t>Depth at top [cm]</t>
  </si>
  <si>
    <t>Depth at bottom [cm]</t>
  </si>
  <si>
    <t>Lenght of piece [cm]</t>
  </si>
  <si>
    <t>top</t>
  </si>
  <si>
    <t>break at 18; skeletal layer 1.5 cm</t>
  </si>
  <si>
    <t>bottom</t>
  </si>
  <si>
    <t>Density Core</t>
  </si>
  <si>
    <t>coring site</t>
  </si>
  <si>
    <t>Under Water [cm]</t>
  </si>
  <si>
    <t>Total Thickness [cm]</t>
  </si>
  <si>
    <t>Sampling box:</t>
  </si>
  <si>
    <t>Core ø [cm]</t>
  </si>
  <si>
    <r>
      <rPr>
        <sz val="11"/>
        <color rgb="FF000000"/>
        <rFont val="Calibri"/>
        <family val="2"/>
        <charset val="1"/>
      </rPr>
      <t>Cross section [cm</t>
    </r>
    <r>
      <rPr>
        <sz val="11"/>
        <color rgb="FF000000"/>
        <rFont val="Arial"/>
        <family val="2"/>
        <charset val="1"/>
      </rPr>
      <t>²</t>
    </r>
    <r>
      <rPr>
        <sz val="11"/>
        <color rgb="FF000000"/>
        <rFont val="Calibri"/>
        <family val="2"/>
        <charset val="1"/>
      </rPr>
      <t>]</t>
    </r>
  </si>
  <si>
    <t>Box #</t>
  </si>
  <si>
    <t>Chemistry Core</t>
  </si>
  <si>
    <t>Yes</t>
  </si>
  <si>
    <t>ex T-core packed for chemiscal analysis</t>
  </si>
  <si>
    <t>Archive Core / Stratigraphy core</t>
  </si>
  <si>
    <t>core packed for stratigraphic analysis/archive</t>
  </si>
  <si>
    <t>breaks at 11 and 51</t>
  </si>
  <si>
    <t>Backup Core</t>
  </si>
  <si>
    <t>core packed for backup</t>
  </si>
  <si>
    <t>Snow Pits</t>
  </si>
  <si>
    <t>Cora Hoppe</t>
  </si>
  <si>
    <t>Density:</t>
  </si>
  <si>
    <t>Tube volume  [cm³]</t>
  </si>
  <si>
    <t>Air/snow temp [°C]</t>
  </si>
  <si>
    <t>Cylinder weight [g]</t>
  </si>
  <si>
    <t>Snow/ice temp [°C]</t>
  </si>
  <si>
    <t>Water surface temp [°C]</t>
  </si>
  <si>
    <t>Snow Thickness:</t>
  </si>
  <si>
    <t>[All distances measured from snow/ice interface]</t>
  </si>
  <si>
    <t>Temperature:</t>
  </si>
  <si>
    <t xml:space="preserve">Salinity : </t>
  </si>
  <si>
    <t>Layer</t>
  </si>
  <si>
    <t>Type 1</t>
  </si>
  <si>
    <t>Type 2</t>
  </si>
  <si>
    <t>Diameter min [mm]</t>
  </si>
  <si>
    <t>Diameter max [mm]</t>
  </si>
  <si>
    <t>Hardness</t>
  </si>
  <si>
    <t>Depth Top [cm]</t>
  </si>
  <si>
    <t>Depth Bottom [cm]</t>
  </si>
  <si>
    <t>Original weight [g]</t>
  </si>
  <si>
    <t>Epsilon value</t>
  </si>
  <si>
    <t>Snow Density [g/cm³]</t>
  </si>
  <si>
    <t>Moisture</t>
  </si>
  <si>
    <t>Depth [cm]</t>
  </si>
  <si>
    <t>Temp [°C]</t>
  </si>
  <si>
    <t>Salinity  []</t>
  </si>
  <si>
    <r>
      <rPr>
        <sz val="11"/>
        <color rgb="FF000000"/>
        <rFont val="Calibri"/>
        <family val="2"/>
        <charset val="1"/>
      </rPr>
      <t>Conductivity [mS/cm</t>
    </r>
    <r>
      <rPr>
        <vertAlign val="superscript"/>
        <sz val="11"/>
        <color rgb="FF000000"/>
        <rFont val="Calibri"/>
        <family val="2"/>
        <charset val="1"/>
      </rPr>
      <t>3</t>
    </r>
    <r>
      <rPr>
        <sz val="11"/>
        <color rgb="FF000000"/>
        <rFont val="Calibri"/>
        <family val="2"/>
        <charset val="1"/>
      </rPr>
      <t>]</t>
    </r>
  </si>
  <si>
    <t>IV-A</t>
  </si>
  <si>
    <t>Knife</t>
  </si>
  <si>
    <t>4 fingers</t>
  </si>
  <si>
    <t>I-B</t>
  </si>
  <si>
    <t>1 finger</t>
  </si>
  <si>
    <t>Time zones</t>
  </si>
  <si>
    <t>Station types</t>
  </si>
  <si>
    <t>Snow hardness</t>
  </si>
  <si>
    <t>Snow type</t>
  </si>
  <si>
    <t>Yes_No</t>
  </si>
  <si>
    <t>UTC-12</t>
  </si>
  <si>
    <t>Fast ice visit</t>
  </si>
  <si>
    <t>Fist</t>
  </si>
  <si>
    <t>I-A</t>
  </si>
  <si>
    <t>UTC-11</t>
  </si>
  <si>
    <t>Fast ice repeated location</t>
  </si>
  <si>
    <t>Melting snow</t>
  </si>
  <si>
    <t>UTC-10</t>
  </si>
  <si>
    <t>Ice floe, single-day station</t>
  </si>
  <si>
    <t>Flooded</t>
  </si>
  <si>
    <t>3 fingers</t>
  </si>
  <si>
    <t>II-A-1</t>
  </si>
  <si>
    <t>UTC-9</t>
  </si>
  <si>
    <t>Bare ice, warm, few or no melt ponds</t>
  </si>
  <si>
    <t>2 fingers</t>
  </si>
  <si>
    <t>II-A-2</t>
  </si>
  <si>
    <t>UTC-8</t>
  </si>
  <si>
    <t>Bare ice, warm, with melt ponds</t>
  </si>
  <si>
    <t>II-B-1</t>
  </si>
  <si>
    <t>UTC-7</t>
  </si>
  <si>
    <t>Bare ice, warm, partially refrozen melt ponds</t>
  </si>
  <si>
    <t>Pencil</t>
  </si>
  <si>
    <t>II-B-2</t>
  </si>
  <si>
    <t>UTC-6</t>
  </si>
  <si>
    <t>Bare ice, frozen, few or no melt ponds</t>
  </si>
  <si>
    <t>III-A-1</t>
  </si>
  <si>
    <t>UTC-5</t>
  </si>
  <si>
    <t>Bare ice, frozen, with melt ponds</t>
  </si>
  <si>
    <t>Ice</t>
  </si>
  <si>
    <t>III-A-2</t>
  </si>
  <si>
    <t>UTC-4</t>
  </si>
  <si>
    <t>Bare ice, frozen, partially refrozen melt ponds</t>
  </si>
  <si>
    <t>III-A-3</t>
  </si>
  <si>
    <t>UTC-3</t>
  </si>
  <si>
    <t>New (summer/autumn) snow, warm, few or no melt ponds</t>
  </si>
  <si>
    <t>UTC-2</t>
  </si>
  <si>
    <t>New (summer/autumn) snow, warm, with melt ponds</t>
  </si>
  <si>
    <t>IV-B</t>
  </si>
  <si>
    <t>UTC-1</t>
  </si>
  <si>
    <t>New (summer/autumn) snow, warm, partially refrozen melt ponds</t>
  </si>
  <si>
    <t>Glacier Ice</t>
  </si>
  <si>
    <t>New (summer/autumn) snow, frozen, few or no melt ponds</t>
  </si>
  <si>
    <t>UTC+1 (Norwegian SDT)</t>
  </si>
  <si>
    <t>New (summer/autumn) snow, frozen, with melt ponds</t>
  </si>
  <si>
    <t>UTC+2 (Norwegian DST)</t>
  </si>
  <si>
    <t>New (summer/autumn) snow, frozen, partially refrozen melt ponds</t>
  </si>
  <si>
    <t>UTC+3</t>
  </si>
  <si>
    <t>UTC+4</t>
  </si>
  <si>
    <t>UTC+5</t>
  </si>
  <si>
    <t>UTC+6</t>
  </si>
  <si>
    <t>UTC+7</t>
  </si>
  <si>
    <t>UTC+8</t>
  </si>
  <si>
    <t>UTC+9</t>
  </si>
  <si>
    <t>UTC+10</t>
  </si>
  <si>
    <t>UTC+11</t>
  </si>
  <si>
    <t>UTC+12</t>
  </si>
  <si>
    <t>snow pit next to the coring site</t>
  </si>
  <si>
    <t>d18O sample</t>
  </si>
  <si>
    <t>see snow pit for snow salinities and d18O vials</t>
  </si>
  <si>
    <t>AO2023-I-ST4_1</t>
  </si>
  <si>
    <t>AO2023-I-ST4_2</t>
  </si>
  <si>
    <t>AO2023-I-ST4_3</t>
  </si>
  <si>
    <t>break at 9 and 60. Section length 61 cm measured in the lab</t>
  </si>
  <si>
    <t>Core 2 for density; analyzed for density 15.05.2026 by D Divine</t>
  </si>
  <si>
    <t xml:space="preserve">Weight in the air [g] </t>
  </si>
  <si>
    <t xml:space="preserve">Weight in the parafine [g] </t>
  </si>
  <si>
    <t>salinity bag</t>
  </si>
  <si>
    <t>Mean depth [cm]</t>
  </si>
  <si>
    <r>
      <t>Density [g/cm</t>
    </r>
    <r>
      <rPr>
        <b/>
        <sz val="11"/>
        <color theme="1"/>
        <rFont val="Calibri"/>
        <family val="2"/>
      </rPr>
      <t>³]</t>
    </r>
  </si>
  <si>
    <r>
      <t>Sample Temperature [</t>
    </r>
    <r>
      <rPr>
        <b/>
        <sz val="11"/>
        <color theme="1"/>
        <rFont val="Calibri"/>
        <family val="2"/>
      </rPr>
      <t>°</t>
    </r>
    <r>
      <rPr>
        <b/>
        <sz val="11"/>
        <color theme="1"/>
        <rFont val="Calibri"/>
        <family val="2"/>
        <scheme val="minor"/>
      </rPr>
      <t>C]</t>
    </r>
  </si>
  <si>
    <t>big and small bubbles inside, melt/air channels. Bubbles out at immersion</t>
  </si>
  <si>
    <t>temperature lab</t>
  </si>
  <si>
    <t>density parafine</t>
  </si>
  <si>
    <t>big and small bubbles inside, melt/air channels. Opaque ice. Nearly floats</t>
  </si>
  <si>
    <t>big and small bubbles inside, melt/air channels. Bubbles out at immersion, nearly floats</t>
  </si>
  <si>
    <t>big and small bubbles inside, melt/air channels.</t>
  </si>
  <si>
    <t>big and small bubbles inside</t>
  </si>
  <si>
    <t>small bubbles</t>
  </si>
  <si>
    <t>small bubbles, some channesls</t>
  </si>
  <si>
    <t>small bubbles, some channesls; bubbles out at immersion</t>
  </si>
  <si>
    <t>small bubbles, some channesls. End of section 1</t>
  </si>
  <si>
    <t>section length 49 cm measured in the lab. Section 2 and to some extent Secion 1 has some signs of brine leackage (this small frozen "ridge" on the side)</t>
  </si>
  <si>
    <t xml:space="preserve">measured right after the densimetry </t>
  </si>
  <si>
    <t>15.06.2023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</si>
</sst>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3">
    <numFmt numFmtId="164" formatCode="hh:mm;@"/>
    <numFmt numFmtId="165" formatCode="0.0000"/>
    <numFmt numFmtId="166" formatCode="0#"/>
    <numFmt numFmtId="167" formatCode="dd/mm/yyyy;@"/>
    <numFmt numFmtId="168" formatCode="_ * #,##0.00_ ;_ * \-#,##0.00_ ;_ * \-??_ ;_ @_ "/>
    <numFmt numFmtId="169" formatCode="0&quot; cm&quot;"/>
    <numFmt numFmtId="170" formatCode="0.0&quot; °C&quot;"/>
    <numFmt numFmtId="171" formatCode="&quot;Yes&quot;;&quot;Yes&quot;;&quot;No&quot;"/>
    <numFmt numFmtId="172" formatCode="0&quot; cm²&quot;"/>
    <numFmt numFmtId="173" formatCode="0.0&quot; cm³&quot;"/>
    <numFmt numFmtId="174" formatCode="0.0&quot; g&quot;"/>
    <numFmt numFmtId="175" formatCode="0.0&quot; mm&quot;"/>
    <numFmt numFmtId="176" formatCode="#,##0.0000"/>
  </numFmts>
  <fonts count="16" x14ac:knownFonts="1">
    <font>
      <sz val="11"/>
      <color rgb="FF000000"/>
      <name val="Calibri"/>
      <family val="2"/>
      <charset val="1"/>
    </font>
    <font>
      <sz val="11"/>
      <color theme="1"/>
      <name val="Calibri"/>
      <family val="2"/>
      <scheme val="minor"/>
    </font>
    <font>
      <b/>
      <sz val="24"/>
      <color rgb="FF9C6500"/>
      <name val="Calibri"/>
      <family val="2"/>
      <charset val="1"/>
    </font>
    <font>
      <sz val="11"/>
      <color rgb="FF9C6500"/>
      <name val="Calibri"/>
      <family val="2"/>
      <charset val="1"/>
    </font>
    <font>
      <sz val="10"/>
      <color rgb="FF000000"/>
      <name val="Calibri"/>
      <family val="2"/>
      <charset val="1"/>
    </font>
    <font>
      <b/>
      <sz val="16"/>
      <color rgb="FF9C6500"/>
      <name val="Calibri"/>
      <family val="2"/>
      <charset val="1"/>
    </font>
    <font>
      <b/>
      <sz val="11"/>
      <color rgb="FF000000"/>
      <name val="Calibri"/>
      <family val="2"/>
      <charset val="1"/>
    </font>
    <font>
      <sz val="11"/>
      <name val="Calibri"/>
      <family val="2"/>
      <charset val="1"/>
    </font>
    <font>
      <b/>
      <sz val="26"/>
      <color rgb="FF9C6500"/>
      <name val="Calibri"/>
      <family val="2"/>
      <charset val="1"/>
    </font>
    <font>
      <sz val="11"/>
      <color rgb="FF000000"/>
      <name val="Arial"/>
      <family val="2"/>
      <charset val="1"/>
    </font>
    <font>
      <sz val="12"/>
      <color rgb="FF000000"/>
      <name val="Calibri"/>
      <family val="2"/>
      <charset val="1"/>
    </font>
    <font>
      <vertAlign val="superscript"/>
      <sz val="11"/>
      <color rgb="FF000000"/>
      <name val="Calibri"/>
      <family val="2"/>
      <charset val="1"/>
    </font>
    <font>
      <b/>
      <sz val="11"/>
      <color rgb="FFFA7D00"/>
      <name val="Calibri"/>
      <family val="2"/>
      <charset val="1"/>
    </font>
    <font>
      <sz val="11"/>
      <color rgb="FF000000"/>
      <name val="Calibri"/>
      <family val="2"/>
      <charset val="1"/>
    </font>
    <font>
      <b/>
      <sz val="11"/>
      <color theme="1"/>
      <name val="Calibri"/>
      <family val="2"/>
      <scheme val="minor"/>
    </font>
    <font>
      <b/>
      <sz val="11"/>
      <color theme="1"/>
      <name val="Calibri"/>
      <family val="2"/>
    </font>
  </fonts>
  <fills count="11">
    <fill>
      <patternFill patternType="none"/>
    </fill>
    <fill>
      <patternFill patternType="gray125"/>
    </fill>
    <fill>
      <patternFill patternType="solid">
        <fgColor rgb="FFFFEB9C"/>
        <bgColor rgb="FFFCD5B5"/>
      </patternFill>
    </fill>
    <fill>
      <patternFill patternType="solid">
        <fgColor rgb="FFF2F2F2"/>
        <bgColor rgb="FFFFFFFF"/>
      </patternFill>
    </fill>
    <fill>
      <patternFill patternType="solid">
        <fgColor rgb="FFBFBFBF"/>
        <bgColor rgb="FFD9D9D9"/>
      </patternFill>
    </fill>
    <fill>
      <patternFill patternType="solid">
        <fgColor rgb="FFFCD5B5"/>
        <bgColor rgb="FFFFEB9C"/>
      </patternFill>
    </fill>
    <fill>
      <patternFill patternType="solid">
        <fgColor rgb="FFFFFFFF"/>
        <bgColor rgb="FFF2F2F2"/>
      </patternFill>
    </fill>
    <fill>
      <patternFill patternType="solid">
        <fgColor rgb="FFD9D9D9"/>
        <bgColor rgb="FFFCD5B5"/>
      </patternFill>
    </fill>
    <fill>
      <patternFill patternType="solid">
        <fgColor theme="0" tint="-4.9989318521683403E-2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theme="0" tint="-0.249977111117893"/>
        <bgColor indexed="64"/>
      </patternFill>
    </fill>
  </fills>
  <borders count="34">
    <border>
      <left/>
      <right/>
      <top/>
      <bottom/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medium">
        <color auto="1"/>
      </left>
      <right style="thin">
        <color auto="1"/>
      </right>
      <top style="medium">
        <color auto="1"/>
      </top>
      <bottom style="thin">
        <color auto="1"/>
      </bottom>
      <diagonal/>
    </border>
    <border>
      <left style="thin">
        <color auto="1"/>
      </left>
      <right style="medium">
        <color auto="1"/>
      </right>
      <top style="medium">
        <color auto="1"/>
      </top>
      <bottom style="thin">
        <color auto="1"/>
      </bottom>
      <diagonal/>
    </border>
    <border>
      <left style="medium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medium">
        <color auto="1"/>
      </right>
      <top style="thin">
        <color auto="1"/>
      </top>
      <bottom style="thin">
        <color auto="1"/>
      </bottom>
      <diagonal/>
    </border>
    <border>
      <left style="medium">
        <color auto="1"/>
      </left>
      <right style="thin">
        <color auto="1"/>
      </right>
      <top style="thin">
        <color auto="1"/>
      </top>
      <bottom style="medium">
        <color auto="1"/>
      </bottom>
      <diagonal/>
    </border>
    <border>
      <left style="thin">
        <color auto="1"/>
      </left>
      <right style="medium">
        <color auto="1"/>
      </right>
      <top style="thin">
        <color auto="1"/>
      </top>
      <bottom style="medium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medium">
        <color auto="1"/>
      </left>
      <right/>
      <top style="medium">
        <color auto="1"/>
      </top>
      <bottom style="thin">
        <color auto="1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 style="medium">
        <color auto="1"/>
      </left>
      <right/>
      <top/>
      <bottom style="medium">
        <color auto="1"/>
      </bottom>
      <diagonal/>
    </border>
    <border>
      <left/>
      <right/>
      <top/>
      <bottom style="medium">
        <color auto="1"/>
      </bottom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 style="thin">
        <color auto="1"/>
      </left>
      <right style="medium">
        <color auto="1"/>
      </right>
      <top/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medium">
        <color auto="1"/>
      </bottom>
      <diagonal/>
    </border>
    <border>
      <left style="medium">
        <color auto="1"/>
      </left>
      <right style="thin">
        <color auto="1"/>
      </right>
      <top style="medium">
        <color auto="1"/>
      </top>
      <bottom style="medium">
        <color auto="1"/>
      </bottom>
      <diagonal/>
    </border>
    <border>
      <left style="thin">
        <color auto="1"/>
      </left>
      <right style="medium">
        <color auto="1"/>
      </right>
      <top style="medium">
        <color auto="1"/>
      </top>
      <bottom style="medium">
        <color auto="1"/>
      </bottom>
      <diagonal/>
    </border>
    <border>
      <left style="thin">
        <color auto="1"/>
      </left>
      <right style="thin">
        <color auto="1"/>
      </right>
      <top style="medium">
        <color auto="1"/>
      </top>
      <bottom style="medium">
        <color auto="1"/>
      </bottom>
      <diagonal/>
    </border>
    <border>
      <left style="medium">
        <color auto="1"/>
      </left>
      <right style="thin">
        <color auto="1"/>
      </right>
      <top/>
      <bottom style="thin">
        <color auto="1"/>
      </bottom>
      <diagonal/>
    </border>
    <border>
      <left/>
      <right/>
      <top/>
      <bottom style="thin">
        <color auto="1"/>
      </bottom>
      <diagonal/>
    </border>
    <border>
      <left/>
      <right style="thin">
        <color auto="1"/>
      </right>
      <top style="thin">
        <color auto="1"/>
      </top>
      <bottom/>
      <diagonal/>
    </border>
    <border>
      <left/>
      <right style="thin">
        <color auto="1"/>
      </right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  <border>
      <left style="thin">
        <color auto="1"/>
      </left>
      <right style="thin">
        <color auto="1"/>
      </right>
      <top style="medium">
        <color auto="1"/>
      </top>
      <bottom style="thin">
        <color auto="1"/>
      </bottom>
      <diagonal/>
    </border>
    <border>
      <left/>
      <right style="medium">
        <color auto="1"/>
      </right>
      <top style="medium">
        <color auto="1"/>
      </top>
      <bottom/>
      <diagonal/>
    </border>
    <border>
      <left/>
      <right style="medium">
        <color auto="1"/>
      </right>
      <top/>
      <bottom/>
      <diagonal/>
    </border>
    <border>
      <left style="medium">
        <color auto="1"/>
      </left>
      <right style="thin">
        <color auto="1"/>
      </right>
      <top style="thin">
        <color auto="1"/>
      </top>
      <bottom/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/>
      <top/>
      <bottom style="thin">
        <color auto="1"/>
      </bottom>
      <diagonal/>
    </border>
    <border>
      <left style="medium">
        <color auto="1"/>
      </left>
      <right/>
      <top style="thin">
        <color auto="1"/>
      </top>
      <bottom style="thin">
        <color auto="1"/>
      </bottom>
      <diagonal/>
    </border>
    <border>
      <left/>
      <right style="medium">
        <color auto="1"/>
      </right>
      <top style="thin">
        <color auto="1"/>
      </top>
      <bottom style="thin">
        <color auto="1"/>
      </bottom>
      <diagonal/>
    </border>
    <border>
      <left style="medium">
        <color auto="1"/>
      </left>
      <right/>
      <top style="thin">
        <color auto="1"/>
      </top>
      <bottom style="medium">
        <color auto="1"/>
      </bottom>
      <diagonal/>
    </border>
    <border>
      <left style="thin">
        <color auto="1"/>
      </left>
      <right style="medium">
        <color auto="1"/>
      </right>
      <top/>
      <bottom style="medium">
        <color auto="1"/>
      </bottom>
      <diagonal/>
    </border>
  </borders>
  <cellStyleXfs count="5">
    <xf numFmtId="0" fontId="0" fillId="0" borderId="0"/>
    <xf numFmtId="168" fontId="13" fillId="0" borderId="0" applyBorder="0" applyProtection="0"/>
    <xf numFmtId="0" fontId="3" fillId="2" borderId="0" applyBorder="0" applyProtection="0"/>
    <xf numFmtId="0" fontId="12" fillId="3" borderId="1" applyProtection="0"/>
    <xf numFmtId="0" fontId="1" fillId="0" borderId="0"/>
  </cellStyleXfs>
  <cellXfs count="176">
    <xf numFmtId="0" fontId="0" fillId="0" borderId="0" xfId="0"/>
    <xf numFmtId="0" fontId="0" fillId="6" borderId="5" xfId="0" applyFill="1" applyBorder="1" applyAlignment="1" applyProtection="1">
      <alignment horizontal="left"/>
      <protection locked="0"/>
    </xf>
    <xf numFmtId="0" fontId="0" fillId="4" borderId="0" xfId="0" applyFill="1"/>
    <xf numFmtId="0" fontId="4" fillId="4" borderId="0" xfId="0" applyFont="1" applyFill="1"/>
    <xf numFmtId="0" fontId="5" fillId="4" borderId="0" xfId="2" applyFont="1" applyFill="1" applyBorder="1" applyProtection="1"/>
    <xf numFmtId="0" fontId="6" fillId="4" borderId="0" xfId="0" applyFont="1" applyFill="1"/>
    <xf numFmtId="0" fontId="0" fillId="3" borderId="2" xfId="0" applyFill="1" applyBorder="1"/>
    <xf numFmtId="0" fontId="4" fillId="4" borderId="0" xfId="0" applyFont="1" applyFill="1" applyAlignment="1">
      <alignment wrapText="1"/>
    </xf>
    <xf numFmtId="0" fontId="0" fillId="3" borderId="4" xfId="0" applyFill="1" applyBorder="1"/>
    <xf numFmtId="0" fontId="0" fillId="3" borderId="6" xfId="0" applyFill="1" applyBorder="1"/>
    <xf numFmtId="0" fontId="0" fillId="3" borderId="4" xfId="0" applyFill="1" applyBorder="1" applyAlignment="1">
      <alignment vertical="top"/>
    </xf>
    <xf numFmtId="0" fontId="0" fillId="3" borderId="6" xfId="0" applyFill="1" applyBorder="1" applyAlignment="1">
      <alignment vertical="top"/>
    </xf>
    <xf numFmtId="0" fontId="0" fillId="4" borderId="0" xfId="0" applyFill="1" applyAlignment="1">
      <alignment vertical="top"/>
    </xf>
    <xf numFmtId="0" fontId="0" fillId="4" borderId="0" xfId="0" applyFill="1" applyAlignment="1">
      <alignment vertical="top" wrapText="1"/>
    </xf>
    <xf numFmtId="0" fontId="0" fillId="4" borderId="8" xfId="0" applyFill="1" applyBorder="1"/>
    <xf numFmtId="0" fontId="0" fillId="3" borderId="9" xfId="0" applyFill="1" applyBorder="1"/>
    <xf numFmtId="0" fontId="0" fillId="6" borderId="8" xfId="0" applyFill="1" applyBorder="1"/>
    <xf numFmtId="164" fontId="0" fillId="6" borderId="10" xfId="0" applyNumberFormat="1" applyFill="1" applyBorder="1" applyProtection="1">
      <protection locked="0"/>
    </xf>
    <xf numFmtId="0" fontId="0" fillId="4" borderId="11" xfId="0" applyFill="1" applyBorder="1"/>
    <xf numFmtId="0" fontId="0" fillId="4" borderId="12" xfId="0" applyFill="1" applyBorder="1"/>
    <xf numFmtId="20" fontId="0" fillId="4" borderId="12" xfId="0" applyNumberFormat="1" applyFill="1" applyBorder="1"/>
    <xf numFmtId="0" fontId="0" fillId="4" borderId="4" xfId="0" applyFill="1" applyBorder="1"/>
    <xf numFmtId="0" fontId="0" fillId="3" borderId="13" xfId="0" applyFill="1" applyBorder="1"/>
    <xf numFmtId="0" fontId="0" fillId="3" borderId="14" xfId="0" applyFill="1" applyBorder="1"/>
    <xf numFmtId="165" fontId="0" fillId="3" borderId="8" xfId="0" applyNumberFormat="1" applyFill="1" applyBorder="1"/>
    <xf numFmtId="0" fontId="0" fillId="6" borderId="8" xfId="0" applyFill="1" applyBorder="1" applyProtection="1">
      <protection locked="0"/>
    </xf>
    <xf numFmtId="0" fontId="0" fillId="6" borderId="5" xfId="0" applyFill="1" applyBorder="1" applyProtection="1">
      <protection locked="0"/>
    </xf>
    <xf numFmtId="165" fontId="0" fillId="3" borderId="15" xfId="0" applyNumberFormat="1" applyFill="1" applyBorder="1"/>
    <xf numFmtId="0" fontId="0" fillId="6" borderId="15" xfId="0" applyFill="1" applyBorder="1" applyProtection="1">
      <protection locked="0"/>
    </xf>
    <xf numFmtId="0" fontId="0" fillId="6" borderId="7" xfId="0" applyFill="1" applyBorder="1" applyProtection="1">
      <protection locked="0"/>
    </xf>
    <xf numFmtId="164" fontId="0" fillId="4" borderId="0" xfId="0" applyNumberFormat="1" applyFill="1"/>
    <xf numFmtId="20" fontId="0" fillId="4" borderId="0" xfId="0" applyNumberFormat="1" applyFill="1"/>
    <xf numFmtId="166" fontId="0" fillId="4" borderId="0" xfId="0" applyNumberFormat="1" applyFill="1"/>
    <xf numFmtId="49" fontId="0" fillId="4" borderId="0" xfId="0" applyNumberFormat="1" applyFill="1"/>
    <xf numFmtId="0" fontId="0" fillId="7" borderId="16" xfId="0" applyFill="1" applyBorder="1"/>
    <xf numFmtId="0" fontId="0" fillId="4" borderId="16" xfId="0" applyFill="1" applyBorder="1" applyAlignment="1">
      <alignment vertical="top"/>
    </xf>
    <xf numFmtId="0" fontId="6" fillId="3" borderId="17" xfId="0" applyFont="1" applyFill="1" applyBorder="1" applyAlignment="1">
      <alignment vertical="top" wrapText="1"/>
    </xf>
    <xf numFmtId="49" fontId="0" fillId="3" borderId="19" xfId="0" applyNumberFormat="1" applyFill="1" applyBorder="1" applyAlignment="1">
      <alignment wrapText="1"/>
    </xf>
    <xf numFmtId="0" fontId="0" fillId="6" borderId="14" xfId="0" applyFill="1" applyBorder="1" applyAlignment="1" applyProtection="1">
      <alignment horizontal="left" wrapText="1"/>
      <protection locked="0"/>
    </xf>
    <xf numFmtId="49" fontId="0" fillId="3" borderId="4" xfId="0" applyNumberFormat="1" applyFill="1" applyBorder="1" applyAlignment="1">
      <alignment wrapText="1"/>
    </xf>
    <xf numFmtId="49" fontId="0" fillId="3" borderId="6" xfId="0" applyNumberFormat="1" applyFill="1" applyBorder="1" applyAlignment="1">
      <alignment wrapText="1"/>
    </xf>
    <xf numFmtId="0" fontId="0" fillId="6" borderId="7" xfId="0" applyFill="1" applyBorder="1" applyAlignment="1" applyProtection="1">
      <alignment horizontal="left"/>
      <protection locked="0"/>
    </xf>
    <xf numFmtId="0" fontId="0" fillId="4" borderId="0" xfId="0" applyFill="1" applyProtection="1">
      <protection locked="0"/>
    </xf>
    <xf numFmtId="0" fontId="7" fillId="3" borderId="8" xfId="0" applyFont="1" applyFill="1" applyBorder="1"/>
    <xf numFmtId="0" fontId="7" fillId="4" borderId="21" xfId="0" applyFont="1" applyFill="1" applyBorder="1" applyAlignment="1">
      <alignment vertical="top"/>
    </xf>
    <xf numFmtId="0" fontId="7" fillId="4" borderId="22" xfId="0" applyFont="1" applyFill="1" applyBorder="1" applyAlignment="1">
      <alignment vertical="top"/>
    </xf>
    <xf numFmtId="0" fontId="7" fillId="3" borderId="23" xfId="0" applyFont="1" applyFill="1" applyBorder="1"/>
    <xf numFmtId="0" fontId="7" fillId="4" borderId="0" xfId="0" applyFont="1" applyFill="1" applyAlignment="1">
      <alignment vertical="top" wrapText="1"/>
    </xf>
    <xf numFmtId="0" fontId="7" fillId="3" borderId="8" xfId="0" applyFont="1" applyFill="1" applyBorder="1" applyAlignment="1">
      <alignment vertical="top"/>
    </xf>
    <xf numFmtId="0" fontId="0" fillId="3" borderId="8" xfId="0" applyFill="1" applyBorder="1"/>
    <xf numFmtId="169" fontId="13" fillId="6" borderId="8" xfId="1" applyNumberFormat="1" applyFill="1" applyBorder="1" applyAlignment="1" applyProtection="1">
      <alignment horizontal="right"/>
      <protection locked="0"/>
    </xf>
    <xf numFmtId="169" fontId="0" fillId="6" borderId="8" xfId="0" applyNumberFormat="1" applyFill="1" applyBorder="1" applyProtection="1">
      <protection locked="0"/>
    </xf>
    <xf numFmtId="169" fontId="0" fillId="3" borderId="8" xfId="0" applyNumberFormat="1" applyFill="1" applyBorder="1"/>
    <xf numFmtId="0" fontId="6" fillId="3" borderId="8" xfId="0" applyFont="1" applyFill="1" applyBorder="1" applyAlignment="1">
      <alignment horizontal="center" wrapText="1"/>
    </xf>
    <xf numFmtId="0" fontId="0" fillId="4" borderId="0" xfId="0" applyFill="1" applyAlignment="1">
      <alignment wrapText="1"/>
    </xf>
    <xf numFmtId="2" fontId="0" fillId="6" borderId="8" xfId="0" applyNumberFormat="1" applyFill="1" applyBorder="1" applyAlignment="1" applyProtection="1">
      <alignment horizontal="center"/>
      <protection locked="0"/>
    </xf>
    <xf numFmtId="2" fontId="0" fillId="6" borderId="8" xfId="0" applyNumberFormat="1" applyFill="1" applyBorder="1" applyProtection="1">
      <protection locked="0"/>
    </xf>
    <xf numFmtId="170" fontId="0" fillId="6" borderId="8" xfId="0" applyNumberFormat="1" applyFill="1" applyBorder="1" applyProtection="1">
      <protection locked="0"/>
    </xf>
    <xf numFmtId="49" fontId="0" fillId="6" borderId="8" xfId="0" applyNumberFormat="1" applyFill="1" applyBorder="1" applyAlignment="1" applyProtection="1">
      <alignment horizontal="left"/>
      <protection locked="0"/>
    </xf>
    <xf numFmtId="0" fontId="7" fillId="3" borderId="2" xfId="0" applyFont="1" applyFill="1" applyBorder="1"/>
    <xf numFmtId="0" fontId="7" fillId="4" borderId="25" xfId="0" applyFont="1" applyFill="1" applyBorder="1" applyAlignment="1">
      <alignment vertical="top"/>
    </xf>
    <xf numFmtId="0" fontId="7" fillId="3" borderId="4" xfId="0" applyFont="1" applyFill="1" applyBorder="1"/>
    <xf numFmtId="0" fontId="7" fillId="4" borderId="26" xfId="0" applyFont="1" applyFill="1" applyBorder="1" applyAlignment="1">
      <alignment vertical="top"/>
    </xf>
    <xf numFmtId="0" fontId="7" fillId="3" borderId="27" xfId="0" applyFont="1" applyFill="1" applyBorder="1"/>
    <xf numFmtId="49" fontId="7" fillId="6" borderId="28" xfId="0" applyNumberFormat="1" applyFont="1" applyFill="1" applyBorder="1" applyAlignment="1" applyProtection="1">
      <alignment horizontal="right"/>
      <protection locked="0"/>
    </xf>
    <xf numFmtId="171" fontId="7" fillId="4" borderId="0" xfId="0" applyNumberFormat="1" applyFont="1" applyFill="1" applyAlignment="1">
      <alignment vertical="top" wrapText="1"/>
    </xf>
    <xf numFmtId="0" fontId="7" fillId="4" borderId="0" xfId="0" applyFont="1" applyFill="1" applyAlignment="1">
      <alignment horizontal="right"/>
    </xf>
    <xf numFmtId="0" fontId="7" fillId="4" borderId="0" xfId="0" applyFont="1" applyFill="1"/>
    <xf numFmtId="0" fontId="7" fillId="3" borderId="6" xfId="0" applyFont="1" applyFill="1" applyBorder="1" applyAlignment="1">
      <alignment vertical="top"/>
    </xf>
    <xf numFmtId="170" fontId="0" fillId="6" borderId="3" xfId="0" applyNumberFormat="1" applyFill="1" applyBorder="1" applyAlignment="1" applyProtection="1">
      <alignment horizontal="right"/>
      <protection locked="0"/>
    </xf>
    <xf numFmtId="169" fontId="0" fillId="6" borderId="3" xfId="0" applyNumberFormat="1" applyFill="1" applyBorder="1" applyAlignment="1" applyProtection="1">
      <alignment horizontal="right"/>
      <protection locked="0"/>
    </xf>
    <xf numFmtId="170" fontId="0" fillId="6" borderId="5" xfId="0" applyNumberFormat="1" applyFill="1" applyBorder="1" applyAlignment="1" applyProtection="1">
      <alignment horizontal="right"/>
      <protection locked="0"/>
    </xf>
    <xf numFmtId="169" fontId="0" fillId="6" borderId="5" xfId="0" applyNumberFormat="1" applyFill="1" applyBorder="1" applyAlignment="1" applyProtection="1">
      <alignment horizontal="right"/>
      <protection locked="0"/>
    </xf>
    <xf numFmtId="170" fontId="0" fillId="6" borderId="7" xfId="0" applyNumberFormat="1" applyFill="1" applyBorder="1" applyAlignment="1" applyProtection="1">
      <alignment horizontal="right"/>
      <protection locked="0"/>
    </xf>
    <xf numFmtId="169" fontId="0" fillId="6" borderId="7" xfId="0" applyNumberFormat="1" applyFill="1" applyBorder="1" applyAlignment="1" applyProtection="1">
      <alignment horizontal="right"/>
      <protection locked="0"/>
    </xf>
    <xf numFmtId="169" fontId="0" fillId="6" borderId="24" xfId="0" applyNumberFormat="1" applyFill="1" applyBorder="1" applyAlignment="1" applyProtection="1">
      <alignment horizontal="right"/>
      <protection locked="0"/>
    </xf>
    <xf numFmtId="0" fontId="0" fillId="4" borderId="24" xfId="0" applyFill="1" applyBorder="1"/>
    <xf numFmtId="0" fontId="0" fillId="4" borderId="3" xfId="0" applyFill="1" applyBorder="1"/>
    <xf numFmtId="1" fontId="0" fillId="6" borderId="8" xfId="0" applyNumberFormat="1" applyFill="1" applyBorder="1" applyAlignment="1" applyProtection="1">
      <alignment horizontal="right"/>
      <protection locked="0"/>
    </xf>
    <xf numFmtId="0" fontId="0" fillId="4" borderId="5" xfId="0" applyFill="1" applyBorder="1"/>
    <xf numFmtId="0" fontId="0" fillId="4" borderId="15" xfId="0" applyFill="1" applyBorder="1"/>
    <xf numFmtId="169" fontId="0" fillId="3" borderId="7" xfId="0" applyNumberFormat="1" applyFill="1" applyBorder="1"/>
    <xf numFmtId="0" fontId="6" fillId="3" borderId="16" xfId="0" applyFont="1" applyFill="1" applyBorder="1"/>
    <xf numFmtId="0" fontId="6" fillId="3" borderId="17" xfId="0" applyFont="1" applyFill="1" applyBorder="1"/>
    <xf numFmtId="0" fontId="6" fillId="3" borderId="18" xfId="0" applyFont="1" applyFill="1" applyBorder="1"/>
    <xf numFmtId="169" fontId="0" fillId="6" borderId="29" xfId="0" applyNumberFormat="1" applyFill="1" applyBorder="1" applyAlignment="1" applyProtection="1">
      <alignment horizontal="right"/>
      <protection locked="0"/>
    </xf>
    <xf numFmtId="170" fontId="0" fillId="6" borderId="24" xfId="0" applyNumberFormat="1" applyFill="1" applyBorder="1" applyAlignment="1" applyProtection="1">
      <alignment horizontal="right"/>
      <protection locked="0"/>
    </xf>
    <xf numFmtId="0" fontId="0" fillId="6" borderId="13" xfId="0" applyFill="1" applyBorder="1" applyAlignment="1" applyProtection="1">
      <alignment horizontal="center"/>
      <protection locked="0"/>
    </xf>
    <xf numFmtId="169" fontId="0" fillId="6" borderId="13" xfId="0" applyNumberFormat="1" applyFill="1" applyBorder="1" applyAlignment="1" applyProtection="1">
      <alignment horizontal="right"/>
      <protection locked="0"/>
    </xf>
    <xf numFmtId="0" fontId="0" fillId="6" borderId="13" xfId="0" applyFill="1" applyBorder="1" applyProtection="1">
      <protection locked="0"/>
    </xf>
    <xf numFmtId="169" fontId="0" fillId="6" borderId="10" xfId="0" applyNumberFormat="1" applyFill="1" applyBorder="1" applyAlignment="1" applyProtection="1">
      <alignment horizontal="right"/>
      <protection locked="0"/>
    </xf>
    <xf numFmtId="170" fontId="0" fillId="6" borderId="8" xfId="0" applyNumberFormat="1" applyFill="1" applyBorder="1" applyAlignment="1" applyProtection="1">
      <alignment horizontal="right"/>
      <protection locked="0"/>
    </xf>
    <xf numFmtId="0" fontId="0" fillId="6" borderId="8" xfId="0" applyFill="1" applyBorder="1" applyAlignment="1" applyProtection="1">
      <alignment horizontal="center"/>
      <protection locked="0"/>
    </xf>
    <xf numFmtId="169" fontId="0" fillId="6" borderId="8" xfId="0" applyNumberFormat="1" applyFill="1" applyBorder="1" applyAlignment="1" applyProtection="1">
      <alignment horizontal="right"/>
      <protection locked="0"/>
    </xf>
    <xf numFmtId="0" fontId="0" fillId="4" borderId="0" xfId="0" applyFill="1" applyAlignment="1">
      <alignment horizontal="left"/>
    </xf>
    <xf numFmtId="0" fontId="3" fillId="4" borderId="0" xfId="2" applyFill="1" applyBorder="1" applyProtection="1"/>
    <xf numFmtId="169" fontId="0" fillId="6" borderId="3" xfId="0" applyNumberFormat="1" applyFill="1" applyBorder="1" applyAlignment="1">
      <alignment horizontal="right"/>
    </xf>
    <xf numFmtId="0" fontId="6" fillId="3" borderId="2" xfId="0" applyFont="1" applyFill="1" applyBorder="1" applyAlignment="1">
      <alignment horizontal="center"/>
    </xf>
    <xf numFmtId="0" fontId="6" fillId="3" borderId="24" xfId="0" applyFont="1" applyFill="1" applyBorder="1" applyAlignment="1">
      <alignment horizontal="center"/>
    </xf>
    <xf numFmtId="0" fontId="6" fillId="3" borderId="3" xfId="0" applyFont="1" applyFill="1" applyBorder="1" applyAlignment="1">
      <alignment horizontal="center"/>
    </xf>
    <xf numFmtId="0" fontId="0" fillId="3" borderId="30" xfId="0" applyFill="1" applyBorder="1"/>
    <xf numFmtId="169" fontId="0" fillId="6" borderId="5" xfId="0" applyNumberFormat="1" applyFill="1" applyBorder="1" applyAlignment="1">
      <alignment horizontal="right"/>
    </xf>
    <xf numFmtId="0" fontId="0" fillId="6" borderId="4" xfId="0" applyFill="1" applyBorder="1" applyAlignment="1">
      <alignment horizontal="center"/>
    </xf>
    <xf numFmtId="169" fontId="0" fillId="6" borderId="10" xfId="0" applyNumberFormat="1" applyFill="1" applyBorder="1" applyAlignment="1">
      <alignment horizontal="right"/>
    </xf>
    <xf numFmtId="169" fontId="0" fillId="6" borderId="8" xfId="0" applyNumberFormat="1" applyFill="1" applyBorder="1" applyAlignment="1">
      <alignment horizontal="right"/>
    </xf>
    <xf numFmtId="0" fontId="0" fillId="6" borderId="31" xfId="0" applyFill="1" applyBorder="1" applyAlignment="1">
      <alignment horizontal="left"/>
    </xf>
    <xf numFmtId="169" fontId="0" fillId="6" borderId="13" xfId="0" applyNumberFormat="1" applyFill="1" applyBorder="1" applyAlignment="1">
      <alignment horizontal="right"/>
    </xf>
    <xf numFmtId="0" fontId="0" fillId="6" borderId="5" xfId="0" applyFill="1" applyBorder="1" applyAlignment="1">
      <alignment horizontal="left"/>
    </xf>
    <xf numFmtId="0" fontId="0" fillId="3" borderId="32" xfId="0" applyFill="1" applyBorder="1"/>
    <xf numFmtId="169" fontId="0" fillId="6" borderId="7" xfId="0" applyNumberFormat="1" applyFill="1" applyBorder="1" applyAlignment="1">
      <alignment horizontal="right"/>
    </xf>
    <xf numFmtId="172" fontId="0" fillId="6" borderId="33" xfId="0" applyNumberFormat="1" applyFill="1" applyBorder="1" applyAlignment="1">
      <alignment horizontal="right"/>
    </xf>
    <xf numFmtId="165" fontId="0" fillId="4" borderId="0" xfId="0" applyNumberFormat="1" applyFill="1" applyAlignment="1">
      <alignment horizontal="right"/>
    </xf>
    <xf numFmtId="0" fontId="0" fillId="6" borderId="6" xfId="0" applyFill="1" applyBorder="1" applyAlignment="1">
      <alignment horizontal="center"/>
    </xf>
    <xf numFmtId="169" fontId="0" fillId="6" borderId="15" xfId="0" applyNumberFormat="1" applyFill="1" applyBorder="1" applyAlignment="1">
      <alignment horizontal="right"/>
    </xf>
    <xf numFmtId="0" fontId="0" fillId="6" borderId="7" xfId="0" applyFill="1" applyBorder="1" applyAlignment="1">
      <alignment horizontal="left"/>
    </xf>
    <xf numFmtId="0" fontId="6" fillId="4" borderId="0" xfId="0" applyFont="1" applyFill="1" applyAlignment="1">
      <alignment horizontal="center"/>
    </xf>
    <xf numFmtId="0" fontId="0" fillId="6" borderId="8" xfId="0" applyFill="1" applyBorder="1" applyAlignment="1">
      <alignment horizontal="left"/>
    </xf>
    <xf numFmtId="173" fontId="0" fillId="6" borderId="8" xfId="0" applyNumberFormat="1" applyFill="1" applyBorder="1" applyAlignment="1" applyProtection="1">
      <alignment horizontal="right"/>
      <protection locked="0"/>
    </xf>
    <xf numFmtId="174" fontId="0" fillId="6" borderId="8" xfId="0" applyNumberFormat="1" applyFill="1" applyBorder="1" applyAlignment="1" applyProtection="1">
      <alignment horizontal="right"/>
      <protection locked="0"/>
    </xf>
    <xf numFmtId="0" fontId="10" fillId="4" borderId="0" xfId="0" applyFont="1" applyFill="1"/>
    <xf numFmtId="0" fontId="6" fillId="4" borderId="0" xfId="0" applyFont="1" applyFill="1" applyAlignment="1">
      <alignment horizontal="center" wrapText="1"/>
    </xf>
    <xf numFmtId="0" fontId="0" fillId="3" borderId="8" xfId="0" applyFill="1" applyBorder="1" applyAlignment="1">
      <alignment horizontal="center" wrapText="1"/>
    </xf>
    <xf numFmtId="0" fontId="0" fillId="4" borderId="0" xfId="0" applyFill="1" applyAlignment="1">
      <alignment horizontal="center" wrapText="1"/>
    </xf>
    <xf numFmtId="175" fontId="0" fillId="6" borderId="8" xfId="0" applyNumberFormat="1" applyFill="1" applyBorder="1" applyProtection="1">
      <protection locked="0"/>
    </xf>
    <xf numFmtId="174" fontId="0" fillId="6" borderId="8" xfId="0" applyNumberFormat="1" applyFill="1" applyBorder="1" applyProtection="1">
      <protection locked="0"/>
    </xf>
    <xf numFmtId="4" fontId="0" fillId="6" borderId="8" xfId="0" applyNumberFormat="1" applyFill="1" applyBorder="1" applyProtection="1">
      <protection locked="0"/>
    </xf>
    <xf numFmtId="176" fontId="0" fillId="6" borderId="8" xfId="0" applyNumberFormat="1" applyFill="1" applyBorder="1" applyProtection="1">
      <protection locked="0"/>
    </xf>
    <xf numFmtId="49" fontId="0" fillId="0" borderId="0" xfId="0" applyNumberFormat="1"/>
    <xf numFmtId="0" fontId="12" fillId="3" borderId="1" xfId="3" applyProtection="1"/>
    <xf numFmtId="49" fontId="12" fillId="3" borderId="1" xfId="3" applyNumberFormat="1" applyProtection="1"/>
    <xf numFmtId="0" fontId="6" fillId="0" borderId="0" xfId="0" applyFont="1"/>
    <xf numFmtId="0" fontId="14" fillId="8" borderId="16" xfId="4" applyFont="1" applyFill="1" applyBorder="1" applyAlignment="1">
      <alignment horizontal="center"/>
    </xf>
    <xf numFmtId="0" fontId="14" fillId="8" borderId="18" xfId="4" applyFont="1" applyFill="1" applyBorder="1" applyAlignment="1">
      <alignment horizontal="center"/>
    </xf>
    <xf numFmtId="0" fontId="14" fillId="8" borderId="17" xfId="4" applyFont="1" applyFill="1" applyBorder="1" applyAlignment="1">
      <alignment horizontal="center"/>
    </xf>
    <xf numFmtId="0" fontId="14" fillId="8" borderId="8" xfId="4" applyFont="1" applyFill="1" applyBorder="1" applyAlignment="1">
      <alignment horizontal="center" wrapText="1"/>
    </xf>
    <xf numFmtId="169" fontId="1" fillId="9" borderId="13" xfId="4" applyNumberFormat="1" applyFill="1" applyBorder="1"/>
    <xf numFmtId="0" fontId="1" fillId="9" borderId="13" xfId="4" applyFill="1" applyBorder="1"/>
    <xf numFmtId="2" fontId="1" fillId="9" borderId="13" xfId="4" applyNumberFormat="1" applyFill="1" applyBorder="1"/>
    <xf numFmtId="0" fontId="1" fillId="9" borderId="13" xfId="4" applyFill="1" applyBorder="1" applyAlignment="1">
      <alignment horizontal="left"/>
    </xf>
    <xf numFmtId="0" fontId="1" fillId="10" borderId="0" xfId="4" applyFill="1"/>
    <xf numFmtId="0" fontId="1" fillId="9" borderId="8" xfId="4" applyFill="1" applyBorder="1"/>
    <xf numFmtId="0" fontId="1" fillId="9" borderId="8" xfId="4" applyFill="1" applyBorder="1" applyAlignment="1">
      <alignment horizontal="left"/>
    </xf>
    <xf numFmtId="2" fontId="1" fillId="10" borderId="0" xfId="4" applyNumberFormat="1" applyFill="1"/>
    <xf numFmtId="2" fontId="0" fillId="4" borderId="0" xfId="0" applyNumberFormat="1" applyFill="1"/>
    <xf numFmtId="0" fontId="0" fillId="0" borderId="8" xfId="0" applyFill="1" applyBorder="1"/>
    <xf numFmtId="0" fontId="0" fillId="6" borderId="8" xfId="0" applyFill="1" applyBorder="1" applyAlignment="1" applyProtection="1">
      <alignment horizontal="right"/>
      <protection locked="0"/>
    </xf>
    <xf numFmtId="0" fontId="0" fillId="6" borderId="15" xfId="0" applyFill="1" applyBorder="1" applyAlignment="1" applyProtection="1">
      <alignment horizontal="right"/>
      <protection locked="0"/>
    </xf>
    <xf numFmtId="0" fontId="0" fillId="6" borderId="13" xfId="0" applyFill="1" applyBorder="1" applyAlignment="1" applyProtection="1">
      <alignment horizontal="right" wrapText="1"/>
      <protection locked="0"/>
    </xf>
    <xf numFmtId="0" fontId="0" fillId="6" borderId="3" xfId="0" applyFill="1" applyBorder="1" applyAlignment="1" applyProtection="1">
      <alignment horizontal="left"/>
      <protection locked="0"/>
    </xf>
    <xf numFmtId="0" fontId="0" fillId="6" borderId="5" xfId="0" applyFill="1" applyBorder="1" applyAlignment="1" applyProtection="1">
      <alignment horizontal="left"/>
      <protection locked="0"/>
    </xf>
    <xf numFmtId="0" fontId="0" fillId="6" borderId="7" xfId="0" applyFill="1" applyBorder="1" applyAlignment="1" applyProtection="1">
      <alignment horizontal="center" vertical="top" wrapText="1"/>
      <protection locked="0"/>
    </xf>
    <xf numFmtId="49" fontId="0" fillId="6" borderId="17" xfId="0" applyNumberFormat="1" applyFill="1" applyBorder="1" applyProtection="1">
      <protection locked="0"/>
    </xf>
    <xf numFmtId="0" fontId="6" fillId="3" borderId="18" xfId="0" applyFont="1" applyFill="1" applyBorder="1" applyAlignment="1">
      <alignment horizontal="center" vertical="top" wrapText="1"/>
    </xf>
    <xf numFmtId="0" fontId="2" fillId="5" borderId="0" xfId="2" applyFont="1" applyFill="1" applyBorder="1" applyAlignment="1" applyProtection="1">
      <alignment horizontal="left"/>
    </xf>
    <xf numFmtId="49" fontId="0" fillId="6" borderId="3" xfId="0" applyNumberFormat="1" applyFill="1" applyBorder="1" applyAlignment="1" applyProtection="1">
      <alignment horizontal="right"/>
      <protection locked="0"/>
    </xf>
    <xf numFmtId="1" fontId="0" fillId="6" borderId="5" xfId="0" applyNumberFormat="1" applyFill="1" applyBorder="1" applyAlignment="1" applyProtection="1">
      <alignment horizontal="right"/>
      <protection locked="0"/>
    </xf>
    <xf numFmtId="49" fontId="0" fillId="6" borderId="7" xfId="0" applyNumberFormat="1" applyFill="1" applyBorder="1" applyAlignment="1" applyProtection="1">
      <alignment horizontal="right"/>
      <protection locked="0"/>
    </xf>
    <xf numFmtId="49" fontId="7" fillId="6" borderId="8" xfId="0" applyNumberFormat="1" applyFont="1" applyFill="1" applyBorder="1" applyAlignment="1" applyProtection="1">
      <alignment horizontal="right"/>
      <protection locked="0"/>
    </xf>
    <xf numFmtId="49" fontId="7" fillId="6" borderId="8" xfId="0" applyNumberFormat="1" applyFont="1" applyFill="1" applyBorder="1" applyAlignment="1" applyProtection="1">
      <alignment horizontal="left" wrapText="1"/>
      <protection locked="0"/>
    </xf>
    <xf numFmtId="0" fontId="0" fillId="3" borderId="8" xfId="0" applyFill="1" applyBorder="1" applyAlignment="1">
      <alignment horizontal="left"/>
    </xf>
    <xf numFmtId="0" fontId="2" fillId="5" borderId="20" xfId="2" applyFont="1" applyFill="1" applyBorder="1" applyAlignment="1" applyProtection="1">
      <alignment horizontal="left"/>
    </xf>
    <xf numFmtId="0" fontId="7" fillId="3" borderId="8" xfId="0" applyFont="1" applyFill="1" applyBorder="1" applyAlignment="1">
      <alignment horizontal="right"/>
    </xf>
    <xf numFmtId="0" fontId="7" fillId="6" borderId="8" xfId="0" applyFont="1" applyFill="1" applyBorder="1" applyAlignment="1" applyProtection="1">
      <alignment horizontal="right"/>
      <protection locked="0"/>
    </xf>
    <xf numFmtId="167" fontId="7" fillId="3" borderId="8" xfId="0" applyNumberFormat="1" applyFont="1" applyFill="1" applyBorder="1" applyAlignment="1">
      <alignment horizontal="right"/>
    </xf>
    <xf numFmtId="164" fontId="7" fillId="6" borderId="8" xfId="0" applyNumberFormat="1" applyFont="1" applyFill="1" applyBorder="1" applyAlignment="1" applyProtection="1">
      <alignment horizontal="right"/>
      <protection locked="0"/>
    </xf>
    <xf numFmtId="0" fontId="7" fillId="3" borderId="4" xfId="0" applyFont="1" applyFill="1" applyBorder="1" applyAlignment="1">
      <alignment horizontal="left"/>
    </xf>
    <xf numFmtId="49" fontId="7" fillId="6" borderId="7" xfId="0" applyNumberFormat="1" applyFont="1" applyFill="1" applyBorder="1" applyAlignment="1" applyProtection="1">
      <alignment horizontal="left" wrapText="1"/>
      <protection locked="0"/>
    </xf>
    <xf numFmtId="0" fontId="8" fillId="5" borderId="0" xfId="2" applyFont="1" applyFill="1" applyBorder="1" applyAlignment="1" applyProtection="1">
      <alignment horizontal="left"/>
    </xf>
    <xf numFmtId="49" fontId="7" fillId="3" borderId="24" xfId="0" applyNumberFormat="1" applyFont="1" applyFill="1" applyBorder="1" applyAlignment="1">
      <alignment horizontal="right"/>
    </xf>
    <xf numFmtId="164" fontId="7" fillId="6" borderId="8" xfId="0" applyNumberFormat="1" applyFont="1" applyFill="1" applyBorder="1" applyAlignment="1">
      <alignment horizontal="right"/>
    </xf>
    <xf numFmtId="0" fontId="7" fillId="6" borderId="7" xfId="0" applyFont="1" applyFill="1" applyBorder="1" applyAlignment="1">
      <alignment wrapText="1"/>
    </xf>
    <xf numFmtId="0" fontId="7" fillId="3" borderId="24" xfId="0" applyFont="1" applyFill="1" applyBorder="1" applyAlignment="1">
      <alignment horizontal="right"/>
    </xf>
    <xf numFmtId="0" fontId="7" fillId="6" borderId="8" xfId="0" applyFont="1" applyFill="1" applyBorder="1" applyAlignment="1">
      <alignment horizontal="right"/>
    </xf>
    <xf numFmtId="49" fontId="0" fillId="6" borderId="8" xfId="0" applyNumberFormat="1" applyFill="1" applyBorder="1" applyAlignment="1" applyProtection="1">
      <alignment wrapText="1"/>
      <protection locked="0"/>
    </xf>
    <xf numFmtId="0" fontId="6" fillId="3" borderId="17" xfId="0" applyFont="1" applyFill="1" applyBorder="1"/>
    <xf numFmtId="49" fontId="0" fillId="6" borderId="13" xfId="0" applyNumberFormat="1" applyFill="1" applyBorder="1" applyAlignment="1" applyProtection="1">
      <alignment wrapText="1"/>
      <protection locked="0"/>
    </xf>
  </cellXfs>
  <cellStyles count="5">
    <cellStyle name="Comma" xfId="1" builtinId="3"/>
    <cellStyle name="Excel Built-in Calculation" xfId="3" xr:uid="{00000000-0005-0000-0000-000007000000}"/>
    <cellStyle name="Excel Built-in Neutral" xfId="2" xr:uid="{00000000-0005-0000-0000-000006000000}"/>
    <cellStyle name="Normal" xfId="0" builtinId="0"/>
    <cellStyle name="Normal 2" xfId="4" xr:uid="{4D4F106E-7FEB-4067-8063-3C4E6E8B8568}"/>
  </cellStyles>
  <dxfs count="0"/>
  <tableStyles count="0" defaultTableStyle="TableStyleMedium2" defaultPivotStyle="PivotStyleLight16"/>
  <colors>
    <indexedColors>
      <rgbColor rgb="FF000000"/>
      <rgbColor rgb="FFFFFFFF"/>
      <rgbColor rgb="FFC0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9C6500"/>
      <rgbColor rgb="FF800080"/>
      <rgbColor rgb="FF008080"/>
      <rgbColor rgb="FFBFBFBF"/>
      <rgbColor rgb="FF7F7F7F"/>
      <rgbColor rgb="FF9999FF"/>
      <rgbColor rgb="FF7030A0"/>
      <rgbColor rgb="FFF2F2F2"/>
      <rgbColor rgb="FFCCFFFF"/>
      <rgbColor rgb="FF660066"/>
      <rgbColor rgb="FFFF8080"/>
      <rgbColor rgb="FF0066CC"/>
      <rgbColor rgb="FFD9D9D9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CFFCC"/>
      <rgbColor rgb="FFFFEB9C"/>
      <rgbColor rgb="FF99CCFF"/>
      <rgbColor rgb="FFFF99CC"/>
      <rgbColor rgb="FFCC99FF"/>
      <rgbColor rgb="FFFCD5B5"/>
      <rgbColor rgb="FF3366FF"/>
      <rgbColor rgb="FF33CCCC"/>
      <rgbColor rgb="FF92D050"/>
      <rgbColor rgb="FFFFCC00"/>
      <rgbColor rgb="FFFF9900"/>
      <rgbColor rgb="FFFA7D00"/>
      <rgbColor rgb="FF666699"/>
      <rgbColor rgb="FF969696"/>
      <rgbColor rgb="FF003366"/>
      <rgbColor rgb="FF339966"/>
      <rgbColor rgb="FF003300"/>
      <rgbColor rgb="FF333300"/>
      <rgbColor rgb="FF993300"/>
      <rgbColor rgb="FF993366"/>
      <rgbColor rgb="FF333399"/>
      <rgbColor rgb="FF333333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styles" Target="styles.xml"/><Relationship Id="rId5" Type="http://schemas.openxmlformats.org/officeDocument/2006/relationships/worksheet" Target="worksheets/sheet5.xml"/><Relationship Id="rId10" Type="http://schemas.openxmlformats.org/officeDocument/2006/relationships/theme" Target="theme/theme1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_rels/chart2.xml.rels><?xml version="1.0" encoding="UTF-8" standalone="yes"?>
<Relationships xmlns="http://schemas.openxmlformats.org/package/2006/relationships"><Relationship Id="rId2" Type="http://schemas.microsoft.com/office/2011/relationships/chartColorStyle" Target="colors2.xml"/><Relationship Id="rId1" Type="http://schemas.microsoft.com/office/2011/relationships/chartStyle" Target="style2.xml"/></Relationships>
</file>

<file path=xl/charts/_rels/chart3.xml.rels><?xml version="1.0" encoding="UTF-8" standalone="yes"?>
<Relationships xmlns="http://schemas.openxmlformats.org/package/2006/relationships"><Relationship Id="rId2" Type="http://schemas.microsoft.com/office/2011/relationships/chartColorStyle" Target="colors3.xml"/><Relationship Id="rId1" Type="http://schemas.microsoft.com/office/2011/relationships/chartStyle" Target="style3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nb-NO"/>
              <a:t>Ice salinity (SALO18 core)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scatterChart>
        <c:scatterStyle val="smoothMarker"/>
        <c:varyColors val="0"/>
        <c:ser>
          <c:idx val="0"/>
          <c:order val="0"/>
          <c:spPr>
            <a:ln w="19050" cap="rnd">
              <a:solidFill>
                <a:schemeClr val="accent1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xVal>
            <c:numRef>
              <c:f>'Salinity Core'!$C$18:$C$31</c:f>
              <c:numCache>
                <c:formatCode>0" cm"</c:formatCode>
                <c:ptCount val="14"/>
                <c:pt idx="0">
                  <c:v>5</c:v>
                </c:pt>
                <c:pt idx="1">
                  <c:v>10</c:v>
                </c:pt>
                <c:pt idx="2">
                  <c:v>15</c:v>
                </c:pt>
                <c:pt idx="3">
                  <c:v>20</c:v>
                </c:pt>
                <c:pt idx="4">
                  <c:v>30</c:v>
                </c:pt>
                <c:pt idx="5">
                  <c:v>40</c:v>
                </c:pt>
                <c:pt idx="6">
                  <c:v>50</c:v>
                </c:pt>
                <c:pt idx="7">
                  <c:v>60</c:v>
                </c:pt>
                <c:pt idx="8">
                  <c:v>70</c:v>
                </c:pt>
                <c:pt idx="9">
                  <c:v>80</c:v>
                </c:pt>
                <c:pt idx="10">
                  <c:v>90</c:v>
                </c:pt>
                <c:pt idx="11">
                  <c:v>100</c:v>
                </c:pt>
                <c:pt idx="12">
                  <c:v>107</c:v>
                </c:pt>
                <c:pt idx="13">
                  <c:v>113</c:v>
                </c:pt>
              </c:numCache>
            </c:numRef>
          </c:xVal>
          <c:yVal>
            <c:numRef>
              <c:f>'Salinity Core'!$D$18:$D$31</c:f>
              <c:numCache>
                <c:formatCode>0.00</c:formatCode>
                <c:ptCount val="14"/>
                <c:pt idx="0">
                  <c:v>2.6</c:v>
                </c:pt>
                <c:pt idx="1">
                  <c:v>4.4000000000000004</c:v>
                </c:pt>
                <c:pt idx="2">
                  <c:v>4.9000000000000004</c:v>
                </c:pt>
                <c:pt idx="3">
                  <c:v>5.7</c:v>
                </c:pt>
                <c:pt idx="4">
                  <c:v>5.2</c:v>
                </c:pt>
                <c:pt idx="5">
                  <c:v>5.5</c:v>
                </c:pt>
                <c:pt idx="6">
                  <c:v>5.3</c:v>
                </c:pt>
                <c:pt idx="7">
                  <c:v>5.3</c:v>
                </c:pt>
                <c:pt idx="8">
                  <c:v>4.3</c:v>
                </c:pt>
                <c:pt idx="9">
                  <c:v>4.4000000000000004</c:v>
                </c:pt>
                <c:pt idx="10">
                  <c:v>3.8</c:v>
                </c:pt>
                <c:pt idx="11">
                  <c:v>4</c:v>
                </c:pt>
                <c:pt idx="12">
                  <c:v>6.4</c:v>
                </c:pt>
                <c:pt idx="13">
                  <c:v>7.2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0-8044-4A60-BC49-CD28E5C9ADC8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14050240"/>
        <c:axId val="114052160"/>
      </c:scatterChart>
      <c:valAx>
        <c:axId val="114050240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0&quot; cm&quot;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14052160"/>
        <c:crosses val="autoZero"/>
        <c:crossBetween val="midCat"/>
      </c:valAx>
      <c:valAx>
        <c:axId val="114052160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0.00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14050240"/>
        <c:crosses val="autoZero"/>
        <c:crossBetween val="midCat"/>
      </c:valAx>
      <c:spPr>
        <a:noFill/>
        <a:ln>
          <a:noFill/>
        </a:ln>
        <a:effectLst/>
      </c:spPr>
    </c:plotArea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nb-NO"/>
              <a:t>Ice density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scatterChart>
        <c:scatterStyle val="smoothMarker"/>
        <c:varyColors val="0"/>
        <c:ser>
          <c:idx val="0"/>
          <c:order val="0"/>
          <c:spPr>
            <a:ln w="19050" cap="rnd">
              <a:solidFill>
                <a:schemeClr val="accent1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xVal>
            <c:numRef>
              <c:f>'Density Core'!$G$23:$G$44</c:f>
              <c:numCache>
                <c:formatCode>0" cm"</c:formatCode>
                <c:ptCount val="22"/>
                <c:pt idx="0">
                  <c:v>2.5</c:v>
                </c:pt>
                <c:pt idx="1">
                  <c:v>7.5</c:v>
                </c:pt>
                <c:pt idx="2">
                  <c:v>12.5</c:v>
                </c:pt>
                <c:pt idx="3">
                  <c:v>17.5</c:v>
                </c:pt>
                <c:pt idx="4">
                  <c:v>22.5</c:v>
                </c:pt>
                <c:pt idx="5">
                  <c:v>27.5</c:v>
                </c:pt>
                <c:pt idx="6">
                  <c:v>32.5</c:v>
                </c:pt>
                <c:pt idx="7">
                  <c:v>37.5</c:v>
                </c:pt>
                <c:pt idx="8">
                  <c:v>42.5</c:v>
                </c:pt>
                <c:pt idx="9">
                  <c:v>47.5</c:v>
                </c:pt>
                <c:pt idx="10">
                  <c:v>52.5</c:v>
                </c:pt>
                <c:pt idx="11">
                  <c:v>58</c:v>
                </c:pt>
                <c:pt idx="12">
                  <c:v>63</c:v>
                </c:pt>
                <c:pt idx="13">
                  <c:v>67.5</c:v>
                </c:pt>
                <c:pt idx="14">
                  <c:v>72.5</c:v>
                </c:pt>
                <c:pt idx="15">
                  <c:v>77.5</c:v>
                </c:pt>
                <c:pt idx="16">
                  <c:v>82.5</c:v>
                </c:pt>
                <c:pt idx="17">
                  <c:v>87.5</c:v>
                </c:pt>
                <c:pt idx="18">
                  <c:v>92.5</c:v>
                </c:pt>
                <c:pt idx="19">
                  <c:v>97.5</c:v>
                </c:pt>
                <c:pt idx="20">
                  <c:v>102.5</c:v>
                </c:pt>
                <c:pt idx="21">
                  <c:v>107.5</c:v>
                </c:pt>
              </c:numCache>
            </c:numRef>
          </c:xVal>
          <c:yVal>
            <c:numRef>
              <c:f>'Density Core'!$H$23:$H$44</c:f>
              <c:numCache>
                <c:formatCode>General</c:formatCode>
                <c:ptCount val="22"/>
                <c:pt idx="0">
                  <c:v>0.84092830515821415</c:v>
                </c:pt>
                <c:pt idx="1">
                  <c:v>0.85054820982514567</c:v>
                </c:pt>
                <c:pt idx="2">
                  <c:v>0.84221466765204545</c:v>
                </c:pt>
                <c:pt idx="3">
                  <c:v>0.88603268309377148</c:v>
                </c:pt>
                <c:pt idx="4">
                  <c:v>0.89216501094460354</c:v>
                </c:pt>
                <c:pt idx="5">
                  <c:v>0.91667205486162129</c:v>
                </c:pt>
                <c:pt idx="6">
                  <c:v>0.915947701058619</c:v>
                </c:pt>
                <c:pt idx="7">
                  <c:v>0.91732207084468664</c:v>
                </c:pt>
                <c:pt idx="8">
                  <c:v>0.91434274425878681</c:v>
                </c:pt>
                <c:pt idx="9">
                  <c:v>0.91217733435249626</c:v>
                </c:pt>
                <c:pt idx="10">
                  <c:v>0.91552202886409506</c:v>
                </c:pt>
                <c:pt idx="11">
                  <c:v>0.91729698434915374</c:v>
                </c:pt>
                <c:pt idx="12">
                  <c:v>0.90511637704054759</c:v>
                </c:pt>
                <c:pt idx="13">
                  <c:v>0.91449906221317689</c:v>
                </c:pt>
                <c:pt idx="14">
                  <c:v>0.91370067924528298</c:v>
                </c:pt>
                <c:pt idx="15">
                  <c:v>0.91731096735369344</c:v>
                </c:pt>
                <c:pt idx="16">
                  <c:v>0.91767626561472715</c:v>
                </c:pt>
                <c:pt idx="17">
                  <c:v>0.91773026092849874</c:v>
                </c:pt>
                <c:pt idx="18">
                  <c:v>0.91771629112662012</c:v>
                </c:pt>
                <c:pt idx="19">
                  <c:v>0.91633810035546004</c:v>
                </c:pt>
                <c:pt idx="20">
                  <c:v>0.9184190241902418</c:v>
                </c:pt>
                <c:pt idx="21">
                  <c:v>0.91829685423128038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0-6197-4BD9-864E-123D9C941267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019821856"/>
        <c:axId val="1019822336"/>
      </c:scatterChart>
      <c:valAx>
        <c:axId val="1019821856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0&quot; cm&quot;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019822336"/>
        <c:crosses val="autoZero"/>
        <c:crossBetween val="midCat"/>
      </c:valAx>
      <c:valAx>
        <c:axId val="1019822336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019821856"/>
        <c:crosses val="autoZero"/>
        <c:crossBetween val="midCat"/>
      </c:valAx>
      <c:spPr>
        <a:noFill/>
        <a:ln>
          <a:noFill/>
        </a:ln>
        <a:effectLst/>
      </c:spPr>
    </c:plotArea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nb-NO"/>
              <a:t>Ice salinity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scatterChart>
        <c:scatterStyle val="smoothMarker"/>
        <c:varyColors val="0"/>
        <c:ser>
          <c:idx val="0"/>
          <c:order val="0"/>
          <c:spPr>
            <a:ln w="19050" cap="rnd">
              <a:solidFill>
                <a:schemeClr val="accent1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xVal>
            <c:numRef>
              <c:f>'Density Core'!$G$23:$G$44</c:f>
              <c:numCache>
                <c:formatCode>0" cm"</c:formatCode>
                <c:ptCount val="22"/>
                <c:pt idx="0">
                  <c:v>2.5</c:v>
                </c:pt>
                <c:pt idx="1">
                  <c:v>7.5</c:v>
                </c:pt>
                <c:pt idx="2">
                  <c:v>12.5</c:v>
                </c:pt>
                <c:pt idx="3">
                  <c:v>17.5</c:v>
                </c:pt>
                <c:pt idx="4">
                  <c:v>22.5</c:v>
                </c:pt>
                <c:pt idx="5">
                  <c:v>27.5</c:v>
                </c:pt>
                <c:pt idx="6">
                  <c:v>32.5</c:v>
                </c:pt>
                <c:pt idx="7">
                  <c:v>37.5</c:v>
                </c:pt>
                <c:pt idx="8">
                  <c:v>42.5</c:v>
                </c:pt>
                <c:pt idx="9">
                  <c:v>47.5</c:v>
                </c:pt>
                <c:pt idx="10">
                  <c:v>52.5</c:v>
                </c:pt>
                <c:pt idx="11">
                  <c:v>58</c:v>
                </c:pt>
                <c:pt idx="12">
                  <c:v>63</c:v>
                </c:pt>
                <c:pt idx="13">
                  <c:v>67.5</c:v>
                </c:pt>
                <c:pt idx="14">
                  <c:v>72.5</c:v>
                </c:pt>
                <c:pt idx="15">
                  <c:v>77.5</c:v>
                </c:pt>
                <c:pt idx="16">
                  <c:v>82.5</c:v>
                </c:pt>
                <c:pt idx="17">
                  <c:v>87.5</c:v>
                </c:pt>
                <c:pt idx="18">
                  <c:v>92.5</c:v>
                </c:pt>
                <c:pt idx="19">
                  <c:v>97.5</c:v>
                </c:pt>
                <c:pt idx="20">
                  <c:v>102.5</c:v>
                </c:pt>
                <c:pt idx="21">
                  <c:v>107.5</c:v>
                </c:pt>
              </c:numCache>
            </c:numRef>
          </c:xVal>
          <c:yVal>
            <c:numRef>
              <c:f>'Density Core'!$J$23:$J$44</c:f>
              <c:numCache>
                <c:formatCode>General</c:formatCode>
                <c:ptCount val="22"/>
                <c:pt idx="0">
                  <c:v>5.2</c:v>
                </c:pt>
                <c:pt idx="1">
                  <c:v>5.3</c:v>
                </c:pt>
                <c:pt idx="2">
                  <c:v>5.3</c:v>
                </c:pt>
                <c:pt idx="3">
                  <c:v>5.0999999999999996</c:v>
                </c:pt>
                <c:pt idx="4">
                  <c:v>4.5999999999999996</c:v>
                </c:pt>
                <c:pt idx="5">
                  <c:v>3.6</c:v>
                </c:pt>
                <c:pt idx="6">
                  <c:v>4.7</c:v>
                </c:pt>
                <c:pt idx="7">
                  <c:v>4.4000000000000004</c:v>
                </c:pt>
                <c:pt idx="8">
                  <c:v>4.7</c:v>
                </c:pt>
                <c:pt idx="9">
                  <c:v>4.5999999999999996</c:v>
                </c:pt>
                <c:pt idx="10">
                  <c:v>4.5999999999999996</c:v>
                </c:pt>
                <c:pt idx="11">
                  <c:v>4.0999999999999996</c:v>
                </c:pt>
                <c:pt idx="12">
                  <c:v>4.8</c:v>
                </c:pt>
                <c:pt idx="13">
                  <c:v>4.3</c:v>
                </c:pt>
                <c:pt idx="14">
                  <c:v>4</c:v>
                </c:pt>
                <c:pt idx="15">
                  <c:v>3.8</c:v>
                </c:pt>
                <c:pt idx="16">
                  <c:v>3.3</c:v>
                </c:pt>
                <c:pt idx="17">
                  <c:v>3.6</c:v>
                </c:pt>
                <c:pt idx="18">
                  <c:v>3.7</c:v>
                </c:pt>
                <c:pt idx="19">
                  <c:v>4.5</c:v>
                </c:pt>
                <c:pt idx="20">
                  <c:v>5.2</c:v>
                </c:pt>
                <c:pt idx="21">
                  <c:v>5.5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0-DCBC-4F32-9AB6-0BE4C8CD8761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486312864"/>
        <c:axId val="486315264"/>
      </c:scatterChart>
      <c:valAx>
        <c:axId val="486312864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0&quot; cm&quot;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486315264"/>
        <c:crosses val="autoZero"/>
        <c:crossBetween val="midCat"/>
      </c:valAx>
      <c:valAx>
        <c:axId val="486315264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486312864"/>
        <c:crosses val="autoZero"/>
        <c:crossBetween val="midCat"/>
      </c:valAx>
      <c:spPr>
        <a:noFill/>
        <a:ln>
          <a:noFill/>
        </a:ln>
        <a:effectLst/>
      </c:spPr>
    </c:plotArea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3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3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_rels/drawing2.xml.rels><?xml version="1.0" encoding="UTF-8" standalone="yes"?>
<Relationships xmlns="http://schemas.openxmlformats.org/package/2006/relationships"><Relationship Id="rId2" Type="http://schemas.openxmlformats.org/officeDocument/2006/relationships/chart" Target="../charts/chart3.xml"/><Relationship Id="rId1" Type="http://schemas.openxmlformats.org/officeDocument/2006/relationships/chart" Target="../charts/chart2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3</xdr:col>
      <xdr:colOff>390525</xdr:colOff>
      <xdr:row>33</xdr:row>
      <xdr:rowOff>157163</xdr:rowOff>
    </xdr:from>
    <xdr:to>
      <xdr:col>7</xdr:col>
      <xdr:colOff>657225</xdr:colOff>
      <xdr:row>49</xdr:row>
      <xdr:rowOff>4763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1B3787EF-D38E-8AE7-3CF6-3DB02D63D2C1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5</xdr:col>
      <xdr:colOff>76200</xdr:colOff>
      <xdr:row>46</xdr:row>
      <xdr:rowOff>33338</xdr:rowOff>
    </xdr:from>
    <xdr:to>
      <xdr:col>8</xdr:col>
      <xdr:colOff>600075</xdr:colOff>
      <xdr:row>61</xdr:row>
      <xdr:rowOff>61913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BA57F737-8522-B3FD-5B2E-324F9B4B934B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0</xdr:col>
      <xdr:colOff>1265237</xdr:colOff>
      <xdr:row>48</xdr:row>
      <xdr:rowOff>165100</xdr:rowOff>
    </xdr:from>
    <xdr:to>
      <xdr:col>4</xdr:col>
      <xdr:colOff>925512</xdr:colOff>
      <xdr:row>64</xdr:row>
      <xdr:rowOff>11113</xdr:rowOff>
    </xdr:to>
    <xdr:graphicFrame macro="">
      <xdr:nvGraphicFramePr>
        <xdr:cNvPr id="3" name="Chart 2">
          <a:extLst>
            <a:ext uri="{FF2B5EF4-FFF2-40B4-BE49-F238E27FC236}">
              <a16:creationId xmlns:a16="http://schemas.microsoft.com/office/drawing/2014/main" id="{4979CBE4-C34D-1031-3D55-EBCDC983057B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2013 - 2022 Theme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tabColor rgb="FFC00000"/>
    <pageSetUpPr fitToPage="1"/>
  </sheetPr>
  <dimension ref="A1:AMJ46"/>
  <sheetViews>
    <sheetView tabSelected="1" zoomScale="80" zoomScaleNormal="80" workbookViewId="0">
      <selection activeCell="B18" sqref="B18"/>
    </sheetView>
  </sheetViews>
  <sheetFormatPr defaultColWidth="9.140625" defaultRowHeight="15" x14ac:dyDescent="0.25"/>
  <cols>
    <col min="1" max="1" width="22.5703125" style="2" customWidth="1"/>
    <col min="2" max="2" width="12.5703125" style="2" customWidth="1"/>
    <col min="3" max="5" width="10.5703125" style="2" customWidth="1"/>
    <col min="6" max="6" width="32.5703125" style="2" customWidth="1"/>
    <col min="7" max="1024" width="9.140625" style="2"/>
  </cols>
  <sheetData>
    <row r="1" spans="1:9" ht="31.5" x14ac:dyDescent="0.5">
      <c r="A1" s="153" t="s">
        <v>0</v>
      </c>
      <c r="B1" s="153"/>
      <c r="C1" s="153"/>
      <c r="D1" s="153"/>
      <c r="E1" s="153"/>
      <c r="F1" s="3"/>
      <c r="G1" s="3"/>
      <c r="H1" s="3"/>
    </row>
    <row r="2" spans="1:9" ht="15.75" customHeight="1" x14ac:dyDescent="0.35">
      <c r="A2" s="4"/>
      <c r="D2" s="3"/>
      <c r="E2" s="3"/>
      <c r="F2" s="3"/>
      <c r="G2" s="3"/>
      <c r="H2" s="3"/>
    </row>
    <row r="3" spans="1:9" x14ac:dyDescent="0.25">
      <c r="A3" s="5" t="s">
        <v>1</v>
      </c>
      <c r="D3" s="3"/>
      <c r="E3" s="3"/>
    </row>
    <row r="4" spans="1:9" x14ac:dyDescent="0.25">
      <c r="A4" s="6" t="s">
        <v>2</v>
      </c>
      <c r="B4" s="154" t="s">
        <v>3</v>
      </c>
      <c r="C4" s="154"/>
      <c r="H4" s="7"/>
      <c r="I4" s="7"/>
    </row>
    <row r="5" spans="1:9" x14ac:dyDescent="0.25">
      <c r="A5" s="8" t="s">
        <v>4</v>
      </c>
      <c r="B5" s="155">
        <v>4</v>
      </c>
      <c r="C5" s="155"/>
      <c r="H5" s="7"/>
      <c r="I5" s="7"/>
    </row>
    <row r="6" spans="1:9" x14ac:dyDescent="0.25">
      <c r="A6" s="8" t="s">
        <v>5</v>
      </c>
      <c r="B6" s="155">
        <v>1</v>
      </c>
      <c r="C6" s="155"/>
    </row>
    <row r="7" spans="1:9" x14ac:dyDescent="0.25">
      <c r="A7" s="9" t="s">
        <v>6</v>
      </c>
      <c r="B7" s="156" t="s">
        <v>7</v>
      </c>
      <c r="C7" s="156"/>
    </row>
    <row r="9" spans="1:9" x14ac:dyDescent="0.25">
      <c r="A9" s="5" t="s">
        <v>8</v>
      </c>
    </row>
    <row r="10" spans="1:9" x14ac:dyDescent="0.25">
      <c r="A10" s="6" t="s">
        <v>9</v>
      </c>
      <c r="B10" s="148" t="s">
        <v>10</v>
      </c>
      <c r="C10" s="148"/>
      <c r="D10" s="148"/>
      <c r="E10" s="148"/>
    </row>
    <row r="11" spans="1:9" x14ac:dyDescent="0.25">
      <c r="A11" s="8" t="s">
        <v>11</v>
      </c>
      <c r="B11" s="149" t="s">
        <v>12</v>
      </c>
      <c r="C11" s="149"/>
      <c r="D11" s="149"/>
      <c r="E11" s="149"/>
    </row>
    <row r="12" spans="1:9" ht="14.45" customHeight="1" x14ac:dyDescent="0.25">
      <c r="A12" s="10" t="s">
        <v>13</v>
      </c>
      <c r="B12" s="150" t="s">
        <v>14</v>
      </c>
      <c r="C12" s="150"/>
      <c r="D12" s="150"/>
      <c r="E12" s="150"/>
    </row>
    <row r="13" spans="1:9" x14ac:dyDescent="0.25">
      <c r="A13" s="10"/>
      <c r="B13" s="150"/>
      <c r="C13" s="150"/>
      <c r="D13" s="150"/>
      <c r="E13" s="150"/>
    </row>
    <row r="14" spans="1:9" x14ac:dyDescent="0.25">
      <c r="A14" s="11"/>
      <c r="B14" s="150"/>
      <c r="C14" s="150"/>
      <c r="D14" s="150"/>
      <c r="E14" s="150"/>
    </row>
    <row r="15" spans="1:9" x14ac:dyDescent="0.25">
      <c r="A15" s="12"/>
      <c r="B15" s="13"/>
      <c r="C15" s="13"/>
      <c r="D15" s="13"/>
      <c r="E15" s="13"/>
    </row>
    <row r="16" spans="1:9" x14ac:dyDescent="0.25">
      <c r="A16" s="5" t="s">
        <v>15</v>
      </c>
      <c r="E16" s="14"/>
    </row>
    <row r="17" spans="1:6" x14ac:dyDescent="0.25">
      <c r="A17" s="15" t="s">
        <v>16</v>
      </c>
      <c r="B17" s="16" t="s">
        <v>242</v>
      </c>
    </row>
    <row r="18" spans="1:6" x14ac:dyDescent="0.25">
      <c r="A18" s="8" t="s">
        <v>18</v>
      </c>
      <c r="B18" s="17">
        <v>0.33819444444444402</v>
      </c>
      <c r="C18" s="18" t="s">
        <v>19</v>
      </c>
      <c r="D18" s="19"/>
      <c r="E18" s="20"/>
    </row>
    <row r="19" spans="1:6" x14ac:dyDescent="0.25">
      <c r="A19" s="21"/>
      <c r="B19" s="14"/>
      <c r="C19" s="22" t="s">
        <v>20</v>
      </c>
      <c r="D19" s="22" t="s">
        <v>21</v>
      </c>
      <c r="E19" s="23" t="s">
        <v>22</v>
      </c>
    </row>
    <row r="20" spans="1:6" x14ac:dyDescent="0.25">
      <c r="A20" s="8" t="s">
        <v>23</v>
      </c>
      <c r="B20" s="24"/>
      <c r="C20" s="25">
        <v>78</v>
      </c>
      <c r="D20" s="25">
        <v>47.510399999999997</v>
      </c>
      <c r="E20" s="26"/>
    </row>
    <row r="21" spans="1:6" x14ac:dyDescent="0.25">
      <c r="A21" s="9" t="s">
        <v>24</v>
      </c>
      <c r="B21" s="27"/>
      <c r="C21" s="28">
        <v>-3</v>
      </c>
      <c r="D21" s="28">
        <v>59.765999999999998</v>
      </c>
      <c r="E21" s="29"/>
    </row>
    <row r="23" spans="1:6" x14ac:dyDescent="0.25">
      <c r="A23" s="5" t="s">
        <v>25</v>
      </c>
      <c r="B23" s="30"/>
      <c r="E23" s="31"/>
    </row>
    <row r="24" spans="1:6" x14ac:dyDescent="0.25">
      <c r="A24" s="15" t="s">
        <v>26</v>
      </c>
      <c r="B24" s="16" t="s">
        <v>17</v>
      </c>
      <c r="F24" s="2" t="s">
        <v>27</v>
      </c>
    </row>
    <row r="25" spans="1:6" x14ac:dyDescent="0.25">
      <c r="A25" s="8" t="s">
        <v>28</v>
      </c>
      <c r="B25" s="17"/>
      <c r="C25" s="18"/>
      <c r="D25" s="19"/>
      <c r="E25" s="20"/>
    </row>
    <row r="26" spans="1:6" x14ac:dyDescent="0.25">
      <c r="A26" s="21"/>
      <c r="B26" s="14"/>
      <c r="C26" s="22" t="s">
        <v>20</v>
      </c>
      <c r="D26" s="22" t="s">
        <v>21</v>
      </c>
      <c r="E26" s="23" t="s">
        <v>22</v>
      </c>
    </row>
    <row r="27" spans="1:6" x14ac:dyDescent="0.25">
      <c r="A27" s="8" t="s">
        <v>29</v>
      </c>
      <c r="B27" s="24"/>
      <c r="C27" s="25"/>
      <c r="D27" s="25"/>
      <c r="E27" s="26"/>
    </row>
    <row r="28" spans="1:6" x14ac:dyDescent="0.25">
      <c r="A28" s="9" t="s">
        <v>30</v>
      </c>
      <c r="B28" s="27"/>
      <c r="C28" s="28"/>
      <c r="D28" s="28"/>
      <c r="E28" s="29"/>
    </row>
    <row r="29" spans="1:6" x14ac:dyDescent="0.25">
      <c r="B29" s="32"/>
      <c r="C29" s="33"/>
    </row>
    <row r="30" spans="1:6" x14ac:dyDescent="0.25">
      <c r="A30" s="34" t="s">
        <v>31</v>
      </c>
      <c r="B30" s="151" t="s">
        <v>32</v>
      </c>
      <c r="C30" s="151"/>
      <c r="D30" s="151"/>
      <c r="E30" s="151"/>
    </row>
    <row r="32" spans="1:6" ht="30" customHeight="1" x14ac:dyDescent="0.25">
      <c r="A32" s="35"/>
      <c r="B32" s="152" t="s">
        <v>33</v>
      </c>
      <c r="C32" s="152"/>
      <c r="D32" s="152" t="s">
        <v>34</v>
      </c>
      <c r="E32" s="152"/>
      <c r="F32" s="36" t="s">
        <v>35</v>
      </c>
    </row>
    <row r="33" spans="1:6" ht="30" customHeight="1" x14ac:dyDescent="0.25">
      <c r="A33" s="37" t="s">
        <v>36</v>
      </c>
      <c r="B33" s="147"/>
      <c r="C33" s="147"/>
      <c r="D33" s="147"/>
      <c r="E33" s="147"/>
      <c r="F33" s="38"/>
    </row>
    <row r="34" spans="1:6" ht="30" customHeight="1" x14ac:dyDescent="0.25">
      <c r="A34" s="39" t="s">
        <v>36</v>
      </c>
      <c r="B34" s="145"/>
      <c r="C34" s="145"/>
      <c r="D34" s="145"/>
      <c r="E34" s="145"/>
      <c r="F34" s="1"/>
    </row>
    <row r="35" spans="1:6" ht="30" customHeight="1" x14ac:dyDescent="0.25">
      <c r="A35" s="39" t="s">
        <v>36</v>
      </c>
      <c r="B35" s="145"/>
      <c r="C35" s="145"/>
      <c r="D35" s="145"/>
      <c r="E35" s="145"/>
      <c r="F35" s="1"/>
    </row>
    <row r="36" spans="1:6" ht="30" customHeight="1" x14ac:dyDescent="0.25">
      <c r="A36" s="39" t="s">
        <v>36</v>
      </c>
      <c r="B36" s="145"/>
      <c r="C36" s="145"/>
      <c r="D36" s="145"/>
      <c r="E36" s="145"/>
      <c r="F36" s="1"/>
    </row>
    <row r="37" spans="1:6" ht="30" customHeight="1" x14ac:dyDescent="0.25">
      <c r="A37" s="40" t="s">
        <v>36</v>
      </c>
      <c r="B37" s="146"/>
      <c r="C37" s="146"/>
      <c r="D37" s="146"/>
      <c r="E37" s="146"/>
      <c r="F37" s="41"/>
    </row>
    <row r="38" spans="1:6" x14ac:dyDescent="0.25">
      <c r="B38" s="42"/>
      <c r="C38" s="42"/>
      <c r="D38" s="42"/>
      <c r="E38" s="42"/>
      <c r="F38" s="42"/>
    </row>
    <row r="39" spans="1:6" x14ac:dyDescent="0.25">
      <c r="B39" s="42"/>
      <c r="C39" s="42"/>
      <c r="D39" s="42"/>
      <c r="E39" s="42"/>
      <c r="F39" s="42"/>
    </row>
    <row r="40" spans="1:6" x14ac:dyDescent="0.25">
      <c r="B40" s="42"/>
      <c r="C40" s="42"/>
      <c r="D40" s="42"/>
      <c r="E40" s="42"/>
      <c r="F40" s="42"/>
    </row>
    <row r="41" spans="1:6" x14ac:dyDescent="0.25">
      <c r="B41" s="42"/>
      <c r="C41" s="42"/>
      <c r="D41" s="42"/>
      <c r="E41" s="42"/>
      <c r="F41" s="42"/>
    </row>
    <row r="42" spans="1:6" x14ac:dyDescent="0.25">
      <c r="B42" s="42"/>
      <c r="C42" s="42"/>
      <c r="D42" s="42"/>
      <c r="E42" s="42"/>
      <c r="F42" s="42"/>
    </row>
    <row r="43" spans="1:6" x14ac:dyDescent="0.25">
      <c r="B43" s="42"/>
      <c r="C43" s="42"/>
      <c r="D43" s="42"/>
      <c r="E43" s="42"/>
      <c r="F43" s="42"/>
    </row>
    <row r="44" spans="1:6" x14ac:dyDescent="0.25">
      <c r="B44" s="42"/>
      <c r="C44" s="42"/>
      <c r="D44" s="42"/>
      <c r="E44" s="42"/>
      <c r="F44" s="42"/>
    </row>
    <row r="45" spans="1:6" x14ac:dyDescent="0.25">
      <c r="B45" s="42"/>
      <c r="C45" s="42"/>
      <c r="D45" s="42"/>
      <c r="E45" s="42"/>
      <c r="F45" s="42"/>
    </row>
    <row r="46" spans="1:6" x14ac:dyDescent="0.25">
      <c r="B46" s="42"/>
      <c r="C46" s="42"/>
      <c r="D46" s="42"/>
      <c r="E46" s="42"/>
      <c r="F46" s="42"/>
    </row>
  </sheetData>
  <mergeCells count="21">
    <mergeCell ref="A1:E1"/>
    <mergeCell ref="B4:C4"/>
    <mergeCell ref="B5:C5"/>
    <mergeCell ref="B6:C6"/>
    <mergeCell ref="B7:C7"/>
    <mergeCell ref="B10:E10"/>
    <mergeCell ref="B11:E11"/>
    <mergeCell ref="B12:E14"/>
    <mergeCell ref="B30:E30"/>
    <mergeCell ref="B32:C32"/>
    <mergeCell ref="D32:E32"/>
    <mergeCell ref="B36:C36"/>
    <mergeCell ref="D36:E36"/>
    <mergeCell ref="B37:C37"/>
    <mergeCell ref="D37:E37"/>
    <mergeCell ref="B33:C33"/>
    <mergeCell ref="D33:E33"/>
    <mergeCell ref="B34:C34"/>
    <mergeCell ref="D34:E34"/>
    <mergeCell ref="B35:C35"/>
    <mergeCell ref="D35:E35"/>
  </mergeCells>
  <dataValidations count="24">
    <dataValidation type="custom" allowBlank="1" showInputMessage="1" showErrorMessage="1" error="Must be blank if entered decimal degrees in first cell; otherwise, must be a  number between 0 and 60" prompt="Ending longitude seconds (0 to less than 60)_x000a_Leave blank if decimal degrees entered in previous cell" sqref="E28" xr:uid="{00000000-0002-0000-0000-000000000000}">
      <formula1>IF(C28=INT(C28),AND(E28&gt;=0,E28&lt;60),ISBLANK(E28))</formula1>
      <formula2>0</formula2>
    </dataValidation>
    <dataValidation type="custom" allowBlank="1" showInputMessage="1" showErrorMessage="1" error="Must be blank if entered decimal degrees in first cell; otherwise, must be a  number between 0 and 60" prompt="Ending latitude seconds (0 to less than 60)_x000a_Leave blank if decimal degrees entered in previous cell" sqref="E27" xr:uid="{00000000-0002-0000-0000-000001000000}">
      <formula1>IF(C27=INT(C27),AND(E27&gt;=0,E27&lt;60),ISBLANK(E27))</formula1>
      <formula2>0</formula2>
    </dataValidation>
    <dataValidation type="custom" allowBlank="1" showInputMessage="1" showErrorMessage="1" error="Must be blank if entered decimal degrees in first cell; otherwise, must be a  number between 0 and 60" prompt="Starting longitude seconds (0 to less than 60)_x000a_Leave blank if decimal degrees entered in previous cell" sqref="E21" xr:uid="{00000000-0002-0000-0000-000002000000}">
      <formula1>IF(C21=INT(C21),AND(E21&gt;=0,E21&lt;60),ISBLANK(E21))</formula1>
      <formula2>0</formula2>
    </dataValidation>
    <dataValidation type="custom" allowBlank="1" showInputMessage="1" showErrorMessage="1" error="Must be blank if entered decimal degrees in first cell; otherwise, must be a  number between 0 and 60" prompt="Starting latitude seconds (0 to less than 60)_x000a_Leave blank if decimal degrees entered in previous cell" sqref="E20" xr:uid="{00000000-0002-0000-0000-000003000000}">
      <formula1>IF(C20=INT(C20),AND(E20&gt;=0,E20&lt;60),ISBLANK(E20))</formula1>
      <formula2>0</formula2>
    </dataValidation>
    <dataValidation allowBlank="1" showInputMessage="1" showErrorMessage="1" promptTitle="Identify associated stations" prompt="Enter the station number (from the expedition in the previous cell) of the station with which this station should be associated" sqref="D33:D37" xr:uid="{00000000-0002-0000-0000-000004000000}">
      <formula1>0</formula1>
      <formula2>0</formula2>
    </dataValidation>
    <dataValidation allowBlank="1" showInputMessage="1" showErrorMessage="1" promptTitle="Identify associated stations" prompt="Explain the reason for the association given in this row" sqref="F33:F37" xr:uid="{00000000-0002-0000-0000-000005000000}">
      <formula1>0</formula1>
      <formula2>0</formula2>
    </dataValidation>
    <dataValidation allowBlank="1" showInputMessage="1" showErrorMessage="1" promptTitle="Identify associated stations" prompt="If this station should be associated with any others, enter them here and explain the reason._x000a__x000a_Enter the Expedition ID of the associated station" sqref="B33:B37" xr:uid="{00000000-0002-0000-0000-000006000000}">
      <formula1>0</formula1>
      <formula2>0</formula2>
    </dataValidation>
    <dataValidation type="list" allowBlank="1" showInputMessage="1" showErrorMessage="1" error="Must choose a value from the list" prompt="Choose from drop down list" sqref="B10" xr:uid="{00000000-0002-0000-0000-000007000000}">
      <formula1>StationTypes</formula1>
      <formula2>0</formula2>
    </dataValidation>
    <dataValidation allowBlank="1" showInputMessage="1" showErrorMessage="1" prompt="Any general comments about the station.  Free text." sqref="B12 B15:E15" xr:uid="{00000000-0002-0000-0000-000008000000}">
      <formula1>0</formula1>
      <formula2>0</formula2>
    </dataValidation>
    <dataValidation type="list" allowBlank="1" showInputMessage="1" showErrorMessage="1" error="Must choose a value from the list" prompt="Choose a description from the drop down list" sqref="B11" xr:uid="{00000000-0002-0000-0000-000009000000}">
      <formula1>GeneralConditions</formula1>
      <formula2>0</formula2>
    </dataValidation>
    <dataValidation type="decimal" allowBlank="1" showInputMessage="1" showErrorMessage="1" error="Must be blank if entered decimal degrees in first cell; otherwise, must be a whole number between 0 and 59" prompt="Starting latitude minutes 0 to 59 or 0,0 to 59,99_x000a_Leave blank if decimal degrees entered in previous cell" sqref="D20:D21 D27:D28" xr:uid="{00000000-0002-0000-0000-00000A000000}">
      <formula1>0</formula1>
      <formula2>59.99</formula2>
    </dataValidation>
    <dataValidation type="decimal" allowBlank="1" showInputMessage="1" showErrorMessage="1" error="Must be a valid longitude between -180 and 360" promptTitle="Longitude at end time" prompt="Enter DD MM SS.sss in the three cells, or DD.dddd in this cell (then leave others blank)._x000a_For western longitudes, enter either a value between 180 and 360, or make the degrees between 0 and -180 (minutes and seconds, if entered, remain positive)." sqref="C28" xr:uid="{00000000-0002-0000-0000-00000B000000}">
      <formula1>-180</formula1>
      <formula2>360</formula2>
    </dataValidation>
    <dataValidation type="decimal" allowBlank="1" showInputMessage="1" showErrorMessage="1" error="Must be a valid latitude between -90 and 90" promptTitle="Latitude at end time" prompt="Enter DD MM SS.sss in the three cells, or DD.dddd in this cell (then leave others blank)._x000a_For southern latitudes, enter a negative value for degrees (minutes and seconds, if entered, remain positive)." sqref="C27" xr:uid="{00000000-0002-0000-0000-00000C000000}">
      <formula1>-90</formula1>
      <formula2>90</formula2>
    </dataValidation>
    <dataValidation type="decimal" allowBlank="1" showInputMessage="1" showErrorMessage="1" error="Must be a valid latitude between -90 and 90" promptTitle="Latitude at start time" prompt="Enter DD MM SS.sss in the three cells, or DD.dddd in this cell (then leave others blank)._x000a_For southern latitudes, enter a negative value for degrees (minutes and seconds, if entered, remain positive)." sqref="C20" xr:uid="{00000000-0002-0000-0000-00000D000000}">
      <formula1>-90</formula1>
      <formula2>90</formula2>
    </dataValidation>
    <dataValidation type="decimal" allowBlank="1" showInputMessage="1" showErrorMessage="1" error="Must be a valid longitude between -180 and 360" promptTitle="Longitude at start time" prompt="Enter DD MM SS.sss in the three cells, or DD.dddd in this cell (then leave others blank)._x000a_For western longitudes, enter either a value between 180 and 360, or make the degrees between 0 and -180 (minutes and seconds, if entered, remain positive)." sqref="C21" xr:uid="{00000000-0002-0000-0000-00000E000000}">
      <formula1>-180</formula1>
      <formula2>180</formula2>
    </dataValidation>
    <dataValidation type="whole" allowBlank="1" showInputMessage="1" showErrorMessage="1" error="Must be a valid hour, whole number 0-23" prompt="Number between 0 and 23_x000a_Hour the work began" sqref="B29" xr:uid="{00000000-0002-0000-0000-00000F000000}">
      <formula1>0</formula1>
      <formula2>23</formula2>
    </dataValidation>
    <dataValidation type="list" allowBlank="1" showInputMessage="1" showErrorMessage="1" sqref="C29 B30:E30" xr:uid="{00000000-0002-0000-0000-000010000000}">
      <formula1>TimeZones</formula1>
      <formula2>0</formula2>
    </dataValidation>
    <dataValidation type="time" allowBlank="1" showInputMessage="1" showErrorMessage="1" errorTitle="End Time for Ice Station" error="Must be a valid time between 00:00 and 23:59" promptTitle="End Time for Ice Station" prompt="Number between 00:00 and 23:59_x000a_" sqref="B25" xr:uid="{00000000-0002-0000-0000-000011000000}">
      <formula1>0</formula1>
      <formula2>0.999305555555556</formula2>
    </dataValidation>
    <dataValidation type="whole" allowBlank="1" showInputMessage="1" showErrorMessage="1" error="Value must be a number between 1 and 99" promptTitle="It's the Nth day at the station" prompt="Number between 1 and 99_x000a_If the station lasts less than one day, enter 1." sqref="B6" xr:uid="{00000000-0002-0000-0000-000012000000}">
      <formula1>1</formula1>
      <formula2>99</formula2>
    </dataValidation>
    <dataValidation type="whole" allowBlank="1" showInputMessage="1" showErrorMessage="1" error="Value must be a number between 1 and 99" promptTitle="Unique number for this station" prompt="Generally number sequentially._x000a__x000a_On a cruise, each floe is typically a station.  On fast ice, two distinctly different locations might be given different station numbers, just agree with coworkers._x000a__x000a_Number between 1 and 99" sqref="B5" xr:uid="{00000000-0002-0000-0000-000013000000}">
      <formula1>1</formula1>
      <formula2>99</formula2>
    </dataValidation>
    <dataValidation type="custom" allowBlank="1" showInputMessage="1" showErrorMessage="1" errorTitle="Must enter an ID" promptTitle="Enter a unique expedition ID" prompt="Text with no spaces_x000a_Examples: FS08 or KF_April2010" sqref="B4" xr:uid="{00000000-0002-0000-0000-000014000000}">
      <formula1>ISERROR(FIND(" ",B4))</formula1>
      <formula2>0</formula2>
    </dataValidation>
    <dataValidation type="time" allowBlank="1" showInputMessage="1" showErrorMessage="1" errorTitle="Start time for Ice Station" error="Must be a valid time between 00:00 and 23:59" promptTitle="Start time for Ice Station" prompt="Number between 00:00 and 23:59_x000a_" sqref="B23" xr:uid="{00000000-0002-0000-0000-000015000000}">
      <formula1>0</formula1>
      <formula2>0.999305555555556</formula2>
    </dataValidation>
    <dataValidation type="time" allowBlank="1" showInputMessage="1" showErrorMessage="1" errorTitle="Ice Station Starting Time" error="Must be a valid time between 00:00 and 23:59" promptTitle="Ice Station Starting Time" prompt="Number between 00:00 and 23:59_x000a_" sqref="B18" xr:uid="{00000000-0002-0000-0000-000016000000}">
      <formula1>0</formula1>
      <formula2>0.999305555555556</formula2>
    </dataValidation>
    <dataValidation allowBlank="1" showInputMessage="1" showErrorMessage="1" error="Value must be a number between 1 and 99" promptTitle="Observer" prompt="Give name of observer." sqref="B7:C7" xr:uid="{00000000-0002-0000-0000-000017000000}">
      <formula1>0</formula1>
      <formula2>0</formula2>
    </dataValidation>
  </dataValidations>
  <pageMargins left="0.7" right="0.7" top="0.75" bottom="0.75" header="0.51180555555555496" footer="0.51180555555555496"/>
  <pageSetup paperSize="9" firstPageNumber="0" orientation="portrait" horizontalDpi="300" verticalDpi="300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>
    <tabColor rgb="FF92D050"/>
    <pageSetUpPr fitToPage="1"/>
  </sheetPr>
  <dimension ref="A1:AMJ50"/>
  <sheetViews>
    <sheetView topLeftCell="A13" zoomScale="80" zoomScaleNormal="80" workbookViewId="0">
      <selection activeCell="I38" sqref="I38"/>
    </sheetView>
  </sheetViews>
  <sheetFormatPr defaultColWidth="9.140625" defaultRowHeight="15" x14ac:dyDescent="0.25"/>
  <cols>
    <col min="1" max="1" width="29.42578125" style="2" customWidth="1"/>
    <col min="2" max="8" width="15.5703125" style="2" customWidth="1"/>
    <col min="9" max="9" width="36.5703125" style="2" customWidth="1"/>
    <col min="10" max="10" width="14.140625" style="2" customWidth="1"/>
    <col min="11" max="13" width="15.5703125" style="2" customWidth="1"/>
    <col min="14" max="14" width="36.5703125" style="2" customWidth="1"/>
    <col min="15" max="1024" width="9.140625" style="2"/>
  </cols>
  <sheetData>
    <row r="1" spans="1:13" ht="31.5" x14ac:dyDescent="0.5">
      <c r="A1" s="160" t="s">
        <v>37</v>
      </c>
      <c r="B1" s="160"/>
      <c r="C1" s="160"/>
      <c r="D1" s="160"/>
    </row>
    <row r="2" spans="1:13" x14ac:dyDescent="0.25">
      <c r="A2" s="43" t="s">
        <v>38</v>
      </c>
      <c r="B2" s="161" t="str">
        <f>CONCATENATE(ExpID,"-",StnNum,"-",StnDay)</f>
        <v>AO2023-I-4-1</v>
      </c>
      <c r="C2" s="161"/>
      <c r="D2" s="44"/>
    </row>
    <row r="3" spans="1:13" x14ac:dyDescent="0.25">
      <c r="A3" s="43" t="s">
        <v>39</v>
      </c>
      <c r="B3" s="162" t="s">
        <v>40</v>
      </c>
      <c r="C3" s="162"/>
      <c r="D3" s="45"/>
    </row>
    <row r="4" spans="1:13" x14ac:dyDescent="0.25">
      <c r="A4" s="43" t="s">
        <v>41</v>
      </c>
      <c r="B4" s="163" t="str">
        <f>ObsDate</f>
        <v>15.06.2023</v>
      </c>
      <c r="C4" s="163"/>
      <c r="D4" s="45"/>
    </row>
    <row r="5" spans="1:13" x14ac:dyDescent="0.25">
      <c r="A5" s="46" t="s">
        <v>42</v>
      </c>
      <c r="B5" s="164">
        <v>0.34722222222222199</v>
      </c>
      <c r="C5" s="164"/>
      <c r="D5" s="45"/>
    </row>
    <row r="6" spans="1:13" x14ac:dyDescent="0.25">
      <c r="A6" s="46" t="s">
        <v>6</v>
      </c>
      <c r="B6" s="157" t="s">
        <v>43</v>
      </c>
      <c r="C6" s="157"/>
      <c r="D6" s="45"/>
      <c r="E6" s="47"/>
    </row>
    <row r="7" spans="1:13" ht="30" customHeight="1" x14ac:dyDescent="0.25">
      <c r="A7" s="48" t="s">
        <v>44</v>
      </c>
      <c r="B7" s="158" t="s">
        <v>45</v>
      </c>
      <c r="C7" s="158"/>
      <c r="D7" s="158"/>
    </row>
    <row r="9" spans="1:13" x14ac:dyDescent="0.25">
      <c r="A9" s="5" t="s">
        <v>46</v>
      </c>
    </row>
    <row r="10" spans="1:13" x14ac:dyDescent="0.25">
      <c r="A10" s="49" t="s">
        <v>47</v>
      </c>
      <c r="B10" s="50"/>
      <c r="K10" s="159" t="s">
        <v>48</v>
      </c>
      <c r="L10" s="159"/>
      <c r="M10" s="51"/>
    </row>
    <row r="11" spans="1:13" x14ac:dyDescent="0.25">
      <c r="A11" s="49" t="s">
        <v>49</v>
      </c>
      <c r="B11" s="50">
        <v>109</v>
      </c>
      <c r="K11" s="159" t="s">
        <v>50</v>
      </c>
      <c r="L11" s="159"/>
      <c r="M11" s="25">
        <v>2</v>
      </c>
    </row>
    <row r="12" spans="1:13" x14ac:dyDescent="0.25">
      <c r="A12" s="49" t="s">
        <v>51</v>
      </c>
      <c r="B12" s="50">
        <v>99</v>
      </c>
      <c r="K12" s="49" t="s">
        <v>52</v>
      </c>
      <c r="L12" s="49"/>
      <c r="M12" s="52">
        <f>SUM(M18:M50)</f>
        <v>113</v>
      </c>
    </row>
    <row r="13" spans="1:13" x14ac:dyDescent="0.25">
      <c r="A13" s="49" t="s">
        <v>53</v>
      </c>
      <c r="B13" s="50">
        <v>10</v>
      </c>
    </row>
    <row r="14" spans="1:13" x14ac:dyDescent="0.25">
      <c r="A14" s="49" t="s">
        <v>54</v>
      </c>
      <c r="B14" s="50"/>
    </row>
    <row r="15" spans="1:13" x14ac:dyDescent="0.25">
      <c r="A15" s="49" t="s">
        <v>55</v>
      </c>
      <c r="B15" s="50">
        <v>5</v>
      </c>
    </row>
    <row r="17" spans="1:14" s="54" customFormat="1" ht="45" x14ac:dyDescent="0.25">
      <c r="A17" s="53" t="s">
        <v>56</v>
      </c>
      <c r="B17" s="53" t="s">
        <v>57</v>
      </c>
      <c r="C17" s="53" t="s">
        <v>58</v>
      </c>
      <c r="D17" s="53" t="s">
        <v>59</v>
      </c>
      <c r="E17" s="53" t="s">
        <v>60</v>
      </c>
      <c r="F17" s="53" t="s">
        <v>61</v>
      </c>
      <c r="G17" s="53" t="s">
        <v>62</v>
      </c>
      <c r="H17" s="53" t="s">
        <v>63</v>
      </c>
      <c r="I17" s="53" t="s">
        <v>13</v>
      </c>
      <c r="J17" s="54" t="s">
        <v>64</v>
      </c>
      <c r="K17" s="53" t="s">
        <v>65</v>
      </c>
      <c r="L17" s="53" t="s">
        <v>66</v>
      </c>
      <c r="M17" s="53" t="s">
        <v>67</v>
      </c>
      <c r="N17" s="53" t="s">
        <v>13</v>
      </c>
    </row>
    <row r="18" spans="1:14" x14ac:dyDescent="0.25">
      <c r="A18" s="55" t="s">
        <v>68</v>
      </c>
      <c r="B18" s="50">
        <v>0</v>
      </c>
      <c r="C18" s="50">
        <v>5</v>
      </c>
      <c r="D18" s="56">
        <v>2.6</v>
      </c>
      <c r="E18" s="56">
        <v>4.87</v>
      </c>
      <c r="F18" s="57">
        <v>14.6</v>
      </c>
      <c r="G18" s="50"/>
      <c r="H18" s="56"/>
      <c r="I18" s="58"/>
      <c r="J18" s="2" t="s">
        <v>69</v>
      </c>
      <c r="K18" s="55">
        <v>1</v>
      </c>
      <c r="L18" s="50"/>
      <c r="M18" s="50">
        <v>113</v>
      </c>
      <c r="N18" s="58" t="s">
        <v>70</v>
      </c>
    </row>
    <row r="19" spans="1:14" x14ac:dyDescent="0.25">
      <c r="A19" s="55" t="s">
        <v>71</v>
      </c>
      <c r="B19" s="50">
        <v>5</v>
      </c>
      <c r="C19" s="50">
        <v>10</v>
      </c>
      <c r="D19" s="56">
        <v>4.4000000000000004</v>
      </c>
      <c r="E19" s="56">
        <v>8.1199999999999992</v>
      </c>
      <c r="F19" s="57">
        <v>14.7</v>
      </c>
      <c r="G19" s="50"/>
      <c r="H19" s="56"/>
      <c r="I19" s="58"/>
      <c r="J19" s="2" t="s">
        <v>72</v>
      </c>
      <c r="K19" s="55"/>
      <c r="L19" s="50"/>
      <c r="M19" s="50"/>
      <c r="N19" s="58"/>
    </row>
    <row r="20" spans="1:14" x14ac:dyDescent="0.25">
      <c r="A20" s="55" t="s">
        <v>73</v>
      </c>
      <c r="B20" s="50">
        <v>10</v>
      </c>
      <c r="C20" s="50">
        <v>15</v>
      </c>
      <c r="D20" s="56">
        <v>4.9000000000000004</v>
      </c>
      <c r="E20" s="56">
        <v>8.94</v>
      </c>
      <c r="F20" s="57">
        <v>13.8</v>
      </c>
      <c r="G20" s="50"/>
      <c r="H20" s="56"/>
      <c r="I20" s="58"/>
      <c r="J20" s="2" t="s">
        <v>74</v>
      </c>
      <c r="K20" s="55"/>
      <c r="L20" s="50"/>
      <c r="M20" s="50"/>
      <c r="N20" s="58"/>
    </row>
    <row r="21" spans="1:14" x14ac:dyDescent="0.25">
      <c r="A21" s="55" t="s">
        <v>75</v>
      </c>
      <c r="B21" s="50">
        <v>15</v>
      </c>
      <c r="C21" s="50">
        <v>20</v>
      </c>
      <c r="D21" s="56">
        <v>5.7</v>
      </c>
      <c r="E21" s="56">
        <v>10.24</v>
      </c>
      <c r="F21" s="57">
        <v>14.5</v>
      </c>
      <c r="G21" s="50"/>
      <c r="H21" s="56"/>
      <c r="I21" s="58"/>
      <c r="J21" s="2" t="s">
        <v>76</v>
      </c>
      <c r="K21" s="55"/>
      <c r="L21" s="50"/>
      <c r="M21" s="50"/>
      <c r="N21" s="58"/>
    </row>
    <row r="22" spans="1:14" x14ac:dyDescent="0.25">
      <c r="A22" s="55" t="s">
        <v>77</v>
      </c>
      <c r="B22" s="50">
        <v>20</v>
      </c>
      <c r="C22" s="50">
        <v>30</v>
      </c>
      <c r="D22" s="56">
        <v>5.2</v>
      </c>
      <c r="E22" s="56">
        <v>9.49</v>
      </c>
      <c r="F22" s="57">
        <v>14.5</v>
      </c>
      <c r="G22" s="50"/>
      <c r="H22" s="56"/>
      <c r="I22" s="58"/>
      <c r="K22" s="55"/>
      <c r="L22" s="50"/>
      <c r="M22" s="50"/>
      <c r="N22" s="58"/>
    </row>
    <row r="23" spans="1:14" x14ac:dyDescent="0.25">
      <c r="A23" s="55" t="s">
        <v>78</v>
      </c>
      <c r="B23" s="50">
        <v>30</v>
      </c>
      <c r="C23" s="50">
        <v>40</v>
      </c>
      <c r="D23" s="56">
        <v>5.5</v>
      </c>
      <c r="E23" s="56">
        <v>9.91</v>
      </c>
      <c r="F23" s="57">
        <v>13.5</v>
      </c>
      <c r="G23" s="50"/>
      <c r="H23" s="56"/>
      <c r="I23" s="58"/>
      <c r="K23" s="55"/>
      <c r="L23" s="50"/>
      <c r="M23" s="50"/>
      <c r="N23" s="58"/>
    </row>
    <row r="24" spans="1:14" x14ac:dyDescent="0.25">
      <c r="A24" s="55" t="s">
        <v>79</v>
      </c>
      <c r="B24" s="50">
        <v>40</v>
      </c>
      <c r="C24" s="50">
        <v>50</v>
      </c>
      <c r="D24" s="56">
        <v>5.3</v>
      </c>
      <c r="E24" s="56">
        <v>9.57</v>
      </c>
      <c r="F24" s="57">
        <v>14.3</v>
      </c>
      <c r="G24" s="50"/>
      <c r="H24" s="56"/>
      <c r="I24" s="58"/>
      <c r="K24" s="55"/>
      <c r="L24" s="50"/>
      <c r="M24" s="50"/>
      <c r="N24" s="58"/>
    </row>
    <row r="25" spans="1:14" x14ac:dyDescent="0.25">
      <c r="A25" s="55" t="s">
        <v>80</v>
      </c>
      <c r="B25" s="50">
        <v>50</v>
      </c>
      <c r="C25" s="50">
        <v>60</v>
      </c>
      <c r="D25" s="56">
        <v>5.3</v>
      </c>
      <c r="E25" s="56">
        <v>9.52</v>
      </c>
      <c r="F25" s="57">
        <v>12.8</v>
      </c>
      <c r="G25" s="50"/>
      <c r="H25" s="56"/>
      <c r="I25" s="58"/>
      <c r="K25" s="55"/>
      <c r="L25" s="50"/>
      <c r="M25" s="50"/>
      <c r="N25" s="58"/>
    </row>
    <row r="26" spans="1:14" x14ac:dyDescent="0.25">
      <c r="A26" s="55" t="s">
        <v>81</v>
      </c>
      <c r="B26" s="50">
        <v>60</v>
      </c>
      <c r="C26" s="50">
        <v>70</v>
      </c>
      <c r="D26" s="56">
        <v>4.3</v>
      </c>
      <c r="E26" s="56">
        <v>7.86</v>
      </c>
      <c r="F26" s="57">
        <v>13.5</v>
      </c>
      <c r="G26" s="50"/>
      <c r="H26" s="56"/>
      <c r="I26" s="58"/>
      <c r="K26" s="55"/>
      <c r="L26" s="50"/>
      <c r="M26" s="50"/>
      <c r="N26" s="58"/>
    </row>
    <row r="27" spans="1:14" x14ac:dyDescent="0.25">
      <c r="A27" s="55" t="s">
        <v>82</v>
      </c>
      <c r="B27" s="50">
        <v>70</v>
      </c>
      <c r="C27" s="50">
        <v>80</v>
      </c>
      <c r="D27" s="56">
        <v>4.4000000000000004</v>
      </c>
      <c r="E27" s="56">
        <v>8.09</v>
      </c>
      <c r="F27" s="57">
        <v>13.3</v>
      </c>
      <c r="G27" s="50"/>
      <c r="H27" s="56"/>
      <c r="I27" s="58"/>
      <c r="K27" s="55"/>
      <c r="L27" s="50"/>
      <c r="M27" s="50"/>
      <c r="N27" s="58"/>
    </row>
    <row r="28" spans="1:14" x14ac:dyDescent="0.25">
      <c r="A28" s="55" t="s">
        <v>83</v>
      </c>
      <c r="B28" s="50">
        <v>80</v>
      </c>
      <c r="C28" s="50">
        <v>90</v>
      </c>
      <c r="D28" s="56">
        <v>3.8</v>
      </c>
      <c r="E28" s="56">
        <v>6.94</v>
      </c>
      <c r="F28" s="57">
        <v>12.8</v>
      </c>
      <c r="G28" s="50"/>
      <c r="H28" s="56"/>
      <c r="I28" s="58"/>
      <c r="J28" s="2" t="s">
        <v>84</v>
      </c>
      <c r="K28" s="55"/>
      <c r="L28" s="50"/>
      <c r="M28" s="50"/>
      <c r="N28" s="58"/>
    </row>
    <row r="29" spans="1:14" x14ac:dyDescent="0.25">
      <c r="A29" s="55" t="s">
        <v>85</v>
      </c>
      <c r="B29" s="50">
        <v>90</v>
      </c>
      <c r="C29" s="50">
        <v>100</v>
      </c>
      <c r="D29" s="56">
        <v>4</v>
      </c>
      <c r="E29" s="56">
        <v>7.37</v>
      </c>
      <c r="F29" s="57">
        <v>14.5</v>
      </c>
      <c r="G29" s="50"/>
      <c r="H29" s="56"/>
      <c r="I29" s="58"/>
      <c r="K29" s="55"/>
      <c r="L29" s="50"/>
      <c r="M29" s="50"/>
      <c r="N29" s="58"/>
    </row>
    <row r="30" spans="1:14" x14ac:dyDescent="0.25">
      <c r="A30" s="55" t="s">
        <v>86</v>
      </c>
      <c r="B30" s="50">
        <v>100</v>
      </c>
      <c r="C30" s="50">
        <v>107</v>
      </c>
      <c r="D30" s="56">
        <v>6.4</v>
      </c>
      <c r="E30" s="56">
        <v>11.36</v>
      </c>
      <c r="F30" s="57">
        <v>14.1</v>
      </c>
      <c r="G30" s="50"/>
      <c r="H30" s="56"/>
      <c r="I30" s="58"/>
      <c r="K30" s="55"/>
      <c r="L30" s="50"/>
      <c r="M30" s="50"/>
      <c r="N30" s="58"/>
    </row>
    <row r="31" spans="1:14" x14ac:dyDescent="0.25">
      <c r="A31" s="55" t="s">
        <v>87</v>
      </c>
      <c r="B31" s="50">
        <v>107</v>
      </c>
      <c r="C31" s="50">
        <v>113</v>
      </c>
      <c r="D31" s="56">
        <v>7.2</v>
      </c>
      <c r="E31" s="56">
        <v>12.74</v>
      </c>
      <c r="F31" s="57">
        <v>13.7</v>
      </c>
      <c r="G31" s="50"/>
      <c r="H31" s="56"/>
      <c r="I31" s="58"/>
      <c r="K31" s="55"/>
      <c r="L31" s="50"/>
      <c r="M31" s="50"/>
      <c r="N31" s="58"/>
    </row>
    <row r="32" spans="1:14" x14ac:dyDescent="0.25">
      <c r="A32" s="55"/>
      <c r="B32" s="50"/>
      <c r="C32" s="50"/>
      <c r="D32" s="56"/>
      <c r="E32" s="56"/>
      <c r="F32" s="57"/>
      <c r="G32" s="50"/>
      <c r="H32" s="56"/>
      <c r="I32" s="58" t="s">
        <v>217</v>
      </c>
      <c r="K32" s="55"/>
      <c r="L32" s="50"/>
      <c r="M32" s="50"/>
      <c r="N32" s="58"/>
    </row>
    <row r="33" spans="1:14" x14ac:dyDescent="0.25">
      <c r="A33" s="55"/>
      <c r="B33" s="50"/>
      <c r="C33" s="50"/>
      <c r="D33" s="56"/>
      <c r="E33" s="56"/>
      <c r="F33" s="57"/>
      <c r="G33" s="50"/>
      <c r="H33" s="56"/>
      <c r="I33" s="58"/>
      <c r="K33" s="55"/>
      <c r="L33" s="50"/>
      <c r="M33" s="50"/>
      <c r="N33" s="58"/>
    </row>
    <row r="34" spans="1:14" x14ac:dyDescent="0.25">
      <c r="A34" s="55"/>
      <c r="B34" s="50"/>
      <c r="C34" s="50"/>
      <c r="D34" s="56"/>
      <c r="E34" s="56"/>
      <c r="F34" s="57"/>
      <c r="G34" s="50"/>
      <c r="H34" s="56"/>
      <c r="I34" s="58"/>
      <c r="K34" s="55"/>
      <c r="L34" s="50"/>
      <c r="M34" s="50"/>
      <c r="N34" s="58"/>
    </row>
    <row r="35" spans="1:14" x14ac:dyDescent="0.25">
      <c r="A35" s="55"/>
      <c r="B35" s="50"/>
      <c r="C35" s="50"/>
      <c r="D35" s="56"/>
      <c r="E35" s="56"/>
      <c r="F35" s="57"/>
      <c r="G35" s="50"/>
      <c r="H35" s="56"/>
      <c r="I35" s="58"/>
      <c r="K35" s="55"/>
      <c r="L35" s="50"/>
      <c r="M35" s="50"/>
      <c r="N35" s="58"/>
    </row>
    <row r="36" spans="1:14" x14ac:dyDescent="0.25">
      <c r="A36" s="55"/>
      <c r="B36" s="50"/>
      <c r="C36" s="50"/>
      <c r="D36" s="56"/>
      <c r="E36" s="56"/>
      <c r="F36" s="57"/>
      <c r="G36" s="50"/>
      <c r="H36" s="56"/>
      <c r="I36" s="58"/>
      <c r="K36" s="55"/>
      <c r="L36" s="50"/>
      <c r="M36" s="50"/>
      <c r="N36" s="58"/>
    </row>
    <row r="37" spans="1:14" x14ac:dyDescent="0.25">
      <c r="A37" s="55"/>
      <c r="B37" s="50"/>
      <c r="C37" s="50"/>
      <c r="D37" s="56"/>
      <c r="E37" s="56"/>
      <c r="F37" s="57"/>
      <c r="G37" s="50"/>
      <c r="H37" s="56"/>
      <c r="I37" s="58"/>
      <c r="K37" s="55"/>
      <c r="L37" s="50"/>
      <c r="M37" s="50"/>
      <c r="N37" s="58"/>
    </row>
    <row r="38" spans="1:14" x14ac:dyDescent="0.25">
      <c r="A38" s="55"/>
      <c r="B38" s="50"/>
      <c r="C38" s="50"/>
      <c r="D38" s="56"/>
      <c r="E38" s="56"/>
      <c r="F38" s="57"/>
      <c r="G38" s="50"/>
      <c r="H38" s="56"/>
      <c r="I38" s="58"/>
      <c r="K38" s="55"/>
      <c r="L38" s="50"/>
      <c r="M38" s="50"/>
      <c r="N38" s="58"/>
    </row>
    <row r="39" spans="1:14" x14ac:dyDescent="0.25">
      <c r="A39" s="55"/>
      <c r="B39" s="50"/>
      <c r="C39" s="50"/>
      <c r="D39" s="56"/>
      <c r="E39" s="56"/>
      <c r="F39" s="57"/>
      <c r="G39" s="50"/>
      <c r="H39" s="56"/>
      <c r="I39" s="58"/>
      <c r="K39" s="55"/>
      <c r="L39" s="50"/>
      <c r="M39" s="50"/>
      <c r="N39" s="58"/>
    </row>
    <row r="40" spans="1:14" x14ac:dyDescent="0.25">
      <c r="A40" s="55"/>
      <c r="B40" s="50"/>
      <c r="C40" s="50"/>
      <c r="D40" s="56"/>
      <c r="E40" s="56"/>
      <c r="F40" s="57"/>
      <c r="G40" s="50"/>
      <c r="H40" s="56"/>
      <c r="I40" s="58"/>
      <c r="K40" s="55"/>
      <c r="L40" s="50"/>
      <c r="M40" s="50"/>
      <c r="N40" s="58"/>
    </row>
    <row r="41" spans="1:14" x14ac:dyDescent="0.25">
      <c r="A41" s="55"/>
      <c r="B41" s="50"/>
      <c r="C41" s="50"/>
      <c r="D41" s="56"/>
      <c r="E41" s="56"/>
      <c r="F41" s="57"/>
      <c r="G41" s="50"/>
      <c r="H41" s="56"/>
      <c r="I41" s="58"/>
      <c r="K41" s="55"/>
      <c r="L41" s="50"/>
      <c r="M41" s="50"/>
      <c r="N41" s="58"/>
    </row>
    <row r="42" spans="1:14" x14ac:dyDescent="0.25">
      <c r="A42" s="55"/>
      <c r="B42" s="50"/>
      <c r="C42" s="50"/>
      <c r="D42" s="56"/>
      <c r="E42" s="56"/>
      <c r="F42" s="57"/>
      <c r="G42" s="50"/>
      <c r="H42" s="56"/>
      <c r="I42" s="58"/>
      <c r="K42" s="55"/>
      <c r="L42" s="50"/>
      <c r="M42" s="50"/>
      <c r="N42" s="58"/>
    </row>
    <row r="43" spans="1:14" x14ac:dyDescent="0.25">
      <c r="A43" s="55"/>
      <c r="B43" s="50"/>
      <c r="C43" s="50"/>
      <c r="D43" s="56"/>
      <c r="E43" s="56"/>
      <c r="F43" s="57"/>
      <c r="G43" s="50"/>
      <c r="H43" s="56"/>
      <c r="I43" s="58"/>
      <c r="K43" s="55"/>
      <c r="L43" s="50"/>
      <c r="M43" s="50"/>
      <c r="N43" s="58"/>
    </row>
    <row r="44" spans="1:14" x14ac:dyDescent="0.25">
      <c r="A44" s="55"/>
      <c r="B44" s="50"/>
      <c r="C44" s="50"/>
      <c r="D44" s="56"/>
      <c r="E44" s="56"/>
      <c r="F44" s="57"/>
      <c r="G44" s="50"/>
      <c r="H44" s="56"/>
      <c r="I44" s="58"/>
      <c r="K44" s="55"/>
      <c r="L44" s="50"/>
      <c r="M44" s="50"/>
      <c r="N44" s="58"/>
    </row>
    <row r="45" spans="1:14" x14ac:dyDescent="0.25">
      <c r="A45" s="55"/>
      <c r="B45" s="50"/>
      <c r="C45" s="50"/>
      <c r="D45" s="56"/>
      <c r="E45" s="56"/>
      <c r="F45" s="57"/>
      <c r="G45" s="50"/>
      <c r="H45" s="56"/>
      <c r="I45" s="58"/>
      <c r="K45" s="55"/>
      <c r="L45" s="50"/>
      <c r="M45" s="50"/>
      <c r="N45" s="58"/>
    </row>
    <row r="46" spans="1:14" x14ac:dyDescent="0.25">
      <c r="A46" s="55"/>
      <c r="B46" s="50"/>
      <c r="C46" s="50"/>
      <c r="D46" s="56"/>
      <c r="E46" s="56"/>
      <c r="F46" s="57"/>
      <c r="G46" s="50"/>
      <c r="H46" s="56"/>
      <c r="I46" s="58"/>
      <c r="K46" s="55"/>
      <c r="L46" s="50"/>
      <c r="M46" s="50"/>
      <c r="N46" s="58"/>
    </row>
    <row r="47" spans="1:14" x14ac:dyDescent="0.25">
      <c r="A47" s="55"/>
      <c r="B47" s="50"/>
      <c r="C47" s="50"/>
      <c r="D47" s="56"/>
      <c r="E47" s="56"/>
      <c r="F47" s="57"/>
      <c r="G47" s="50"/>
      <c r="H47" s="56"/>
      <c r="I47" s="58"/>
      <c r="K47" s="55"/>
      <c r="L47" s="50"/>
      <c r="M47" s="50"/>
      <c r="N47" s="58"/>
    </row>
    <row r="48" spans="1:14" x14ac:dyDescent="0.25">
      <c r="A48" s="55"/>
      <c r="B48" s="50"/>
      <c r="C48" s="50"/>
      <c r="D48" s="56"/>
      <c r="E48" s="56"/>
      <c r="F48" s="57"/>
      <c r="G48" s="50"/>
      <c r="H48" s="56"/>
      <c r="I48" s="58"/>
      <c r="K48" s="55"/>
      <c r="L48" s="50"/>
      <c r="M48" s="50"/>
      <c r="N48" s="58"/>
    </row>
    <row r="49" spans="1:14" x14ac:dyDescent="0.25">
      <c r="A49" s="55"/>
      <c r="B49" s="50"/>
      <c r="C49" s="50"/>
      <c r="D49" s="56"/>
      <c r="E49" s="56"/>
      <c r="F49" s="57"/>
      <c r="G49" s="50"/>
      <c r="H49" s="56"/>
      <c r="I49" s="58"/>
      <c r="K49" s="55"/>
      <c r="L49" s="50"/>
      <c r="M49" s="50"/>
      <c r="N49" s="58"/>
    </row>
    <row r="50" spans="1:14" x14ac:dyDescent="0.25">
      <c r="A50" s="55"/>
      <c r="B50" s="50"/>
      <c r="C50" s="50"/>
      <c r="D50" s="56"/>
      <c r="E50" s="56"/>
      <c r="F50" s="57"/>
      <c r="G50" s="50"/>
      <c r="H50" s="56"/>
      <c r="I50" s="58"/>
      <c r="K50" s="55"/>
      <c r="L50" s="50"/>
      <c r="M50" s="50"/>
      <c r="N50" s="58"/>
    </row>
  </sheetData>
  <mergeCells count="9">
    <mergeCell ref="B6:C6"/>
    <mergeCell ref="B7:D7"/>
    <mergeCell ref="K10:L10"/>
    <mergeCell ref="K11:L11"/>
    <mergeCell ref="A1:D1"/>
    <mergeCell ref="B2:C2"/>
    <mergeCell ref="B3:C3"/>
    <mergeCell ref="B4:C4"/>
    <mergeCell ref="B5:C5"/>
  </mergeCells>
  <pageMargins left="0.7" right="0.7" top="0.75" bottom="0.75" header="0.51180555555555496" footer="0.51180555555555496"/>
  <pageSetup paperSize="9" firstPageNumber="0" fitToHeight="0" orientation="landscape" horizontalDpi="300" verticalDpi="300"/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>
    <tabColor rgb="FF92D050"/>
    <pageSetUpPr fitToPage="1"/>
  </sheetPr>
  <dimension ref="A1:AMJ47"/>
  <sheetViews>
    <sheetView topLeftCell="A2" zoomScale="80" zoomScaleNormal="80" workbookViewId="0">
      <selection activeCell="F24" sqref="F24"/>
    </sheetView>
  </sheetViews>
  <sheetFormatPr defaultColWidth="9.140625" defaultRowHeight="15" x14ac:dyDescent="0.25"/>
  <cols>
    <col min="1" max="1" width="23.5703125" style="2" customWidth="1"/>
    <col min="2" max="2" width="16.42578125" style="2" customWidth="1"/>
    <col min="3" max="3" width="12.5703125" style="2" customWidth="1"/>
    <col min="4" max="4" width="29.42578125" style="2" customWidth="1"/>
    <col min="5" max="5" width="18.5703125" style="2" customWidth="1"/>
    <col min="6" max="6" width="20.42578125" style="2" customWidth="1"/>
    <col min="7" max="7" width="18.5703125" style="2" customWidth="1"/>
    <col min="8" max="8" width="36.5703125" style="2" customWidth="1"/>
    <col min="9" max="1024" width="9.140625" style="2"/>
  </cols>
  <sheetData>
    <row r="1" spans="1:9" ht="33.75" x14ac:dyDescent="0.5">
      <c r="A1" s="167" t="s">
        <v>88</v>
      </c>
      <c r="B1" s="167"/>
      <c r="C1" s="167"/>
      <c r="D1" s="167"/>
    </row>
    <row r="2" spans="1:9" x14ac:dyDescent="0.25">
      <c r="A2" s="59" t="s">
        <v>38</v>
      </c>
      <c r="B2" s="168" t="str">
        <f>CONCATENATE(ExpID,"-",StnNum,"-",StnDay)</f>
        <v>AO2023-I-4-1</v>
      </c>
      <c r="C2" s="168"/>
      <c r="D2" s="60"/>
    </row>
    <row r="3" spans="1:9" x14ac:dyDescent="0.25">
      <c r="A3" s="61" t="s">
        <v>39</v>
      </c>
      <c r="B3" s="162"/>
      <c r="C3" s="162"/>
      <c r="D3" s="62"/>
    </row>
    <row r="4" spans="1:9" x14ac:dyDescent="0.25">
      <c r="A4" s="61" t="s">
        <v>41</v>
      </c>
      <c r="B4" s="163" t="str">
        <f>ObsDate</f>
        <v>15.06.2023</v>
      </c>
      <c r="C4" s="163"/>
      <c r="D4" s="62"/>
    </row>
    <row r="5" spans="1:9" x14ac:dyDescent="0.25">
      <c r="A5" s="63" t="s">
        <v>42</v>
      </c>
      <c r="B5" s="164">
        <v>0.375</v>
      </c>
      <c r="C5" s="164"/>
      <c r="D5" s="62"/>
    </row>
    <row r="6" spans="1:9" x14ac:dyDescent="0.25">
      <c r="A6" s="63" t="s">
        <v>6</v>
      </c>
      <c r="B6" s="157" t="s">
        <v>43</v>
      </c>
      <c r="C6" s="157"/>
      <c r="D6" s="62"/>
    </row>
    <row r="7" spans="1:9" x14ac:dyDescent="0.25">
      <c r="A7" s="165" t="s">
        <v>89</v>
      </c>
      <c r="B7" s="165"/>
      <c r="C7" s="64" t="s">
        <v>90</v>
      </c>
      <c r="D7" s="62"/>
      <c r="E7" s="65"/>
      <c r="F7" s="47"/>
      <c r="G7" s="47"/>
      <c r="H7" s="66"/>
      <c r="I7" s="67"/>
    </row>
    <row r="8" spans="1:9" ht="30" customHeight="1" x14ac:dyDescent="0.25">
      <c r="A8" s="68" t="s">
        <v>44</v>
      </c>
      <c r="B8" s="166" t="s">
        <v>91</v>
      </c>
      <c r="C8" s="166"/>
      <c r="D8" s="166"/>
    </row>
    <row r="10" spans="1:9" x14ac:dyDescent="0.25">
      <c r="A10" s="5" t="s">
        <v>92</v>
      </c>
      <c r="D10" s="5" t="s">
        <v>46</v>
      </c>
    </row>
    <row r="11" spans="1:9" x14ac:dyDescent="0.25">
      <c r="A11" s="6" t="s">
        <v>93</v>
      </c>
      <c r="B11" s="69">
        <v>-0.4</v>
      </c>
      <c r="D11" s="6" t="s">
        <v>47</v>
      </c>
      <c r="E11" s="70"/>
    </row>
    <row r="12" spans="1:9" x14ac:dyDescent="0.25">
      <c r="A12" s="8" t="s">
        <v>94</v>
      </c>
      <c r="B12" s="71">
        <v>-0.4</v>
      </c>
      <c r="D12" s="8" t="s">
        <v>49</v>
      </c>
      <c r="E12" s="72">
        <v>107</v>
      </c>
    </row>
    <row r="13" spans="1:9" x14ac:dyDescent="0.25">
      <c r="A13" s="8" t="s">
        <v>95</v>
      </c>
      <c r="B13" s="71">
        <v>-0.9</v>
      </c>
      <c r="D13" s="8" t="s">
        <v>51</v>
      </c>
      <c r="E13" s="72">
        <v>99</v>
      </c>
    </row>
    <row r="14" spans="1:9" x14ac:dyDescent="0.25">
      <c r="A14" s="9" t="s">
        <v>96</v>
      </c>
      <c r="B14" s="73">
        <v>-1.9</v>
      </c>
      <c r="D14" s="8" t="s">
        <v>53</v>
      </c>
      <c r="E14" s="72"/>
    </row>
    <row r="15" spans="1:9" x14ac:dyDescent="0.25">
      <c r="D15" s="8" t="s">
        <v>54</v>
      </c>
      <c r="E15" s="72"/>
    </row>
    <row r="16" spans="1:9" x14ac:dyDescent="0.25">
      <c r="D16" s="9" t="s">
        <v>55</v>
      </c>
      <c r="E16" s="74">
        <v>9</v>
      </c>
    </row>
    <row r="18" spans="1:8" x14ac:dyDescent="0.25">
      <c r="D18" s="6" t="s">
        <v>48</v>
      </c>
      <c r="E18" s="75">
        <v>110</v>
      </c>
      <c r="F18" s="76"/>
      <c r="G18" s="77"/>
    </row>
    <row r="19" spans="1:8" x14ac:dyDescent="0.25">
      <c r="D19" s="8" t="s">
        <v>50</v>
      </c>
      <c r="E19" s="78">
        <v>1</v>
      </c>
      <c r="F19" s="14"/>
      <c r="G19" s="79"/>
    </row>
    <row r="20" spans="1:8" x14ac:dyDescent="0.25">
      <c r="D20" s="9" t="s">
        <v>52</v>
      </c>
      <c r="E20" s="80"/>
      <c r="F20" s="80"/>
      <c r="G20" s="81">
        <v>110</v>
      </c>
    </row>
    <row r="22" spans="1:8" x14ac:dyDescent="0.25">
      <c r="A22" s="82" t="s">
        <v>97</v>
      </c>
      <c r="B22" s="83" t="s">
        <v>98</v>
      </c>
      <c r="D22" s="82" t="s">
        <v>65</v>
      </c>
      <c r="E22" s="84" t="s">
        <v>99</v>
      </c>
      <c r="F22" s="84" t="s">
        <v>100</v>
      </c>
      <c r="G22" s="84" t="s">
        <v>101</v>
      </c>
      <c r="H22" s="83" t="s">
        <v>13</v>
      </c>
    </row>
    <row r="23" spans="1:8" x14ac:dyDescent="0.25">
      <c r="A23" s="85" t="s">
        <v>102</v>
      </c>
      <c r="B23" s="86">
        <v>-0.6</v>
      </c>
      <c r="D23" s="87">
        <v>1</v>
      </c>
      <c r="E23" s="88"/>
      <c r="F23" s="88"/>
      <c r="G23" s="88">
        <v>110</v>
      </c>
      <c r="H23" s="89" t="s">
        <v>103</v>
      </c>
    </row>
    <row r="24" spans="1:8" x14ac:dyDescent="0.25">
      <c r="A24" s="90">
        <v>2.5</v>
      </c>
      <c r="B24" s="91">
        <v>-1.2</v>
      </c>
      <c r="D24" s="92"/>
      <c r="E24" s="93"/>
      <c r="F24" s="93"/>
      <c r="G24" s="93"/>
      <c r="H24" s="25"/>
    </row>
    <row r="25" spans="1:8" x14ac:dyDescent="0.25">
      <c r="A25" s="90">
        <v>10</v>
      </c>
      <c r="B25" s="91">
        <v>-1.5</v>
      </c>
      <c r="D25" s="92"/>
      <c r="E25" s="93"/>
      <c r="F25" s="93"/>
      <c r="G25" s="93"/>
      <c r="H25" s="25"/>
    </row>
    <row r="26" spans="1:8" x14ac:dyDescent="0.25">
      <c r="A26" s="90">
        <v>20</v>
      </c>
      <c r="B26" s="91">
        <v>-1.8</v>
      </c>
      <c r="D26" s="92"/>
      <c r="E26" s="93"/>
      <c r="F26" s="93"/>
      <c r="G26" s="93"/>
      <c r="H26" s="25"/>
    </row>
    <row r="27" spans="1:8" x14ac:dyDescent="0.25">
      <c r="A27" s="90">
        <v>30</v>
      </c>
      <c r="B27" s="91">
        <v>-1.9</v>
      </c>
      <c r="D27" s="92"/>
      <c r="E27" s="93"/>
      <c r="F27" s="93"/>
      <c r="G27" s="93"/>
      <c r="H27" s="25"/>
    </row>
    <row r="28" spans="1:8" x14ac:dyDescent="0.25">
      <c r="A28" s="90">
        <v>40</v>
      </c>
      <c r="B28" s="91">
        <v>-1.7</v>
      </c>
      <c r="D28" s="92"/>
      <c r="E28" s="93"/>
      <c r="F28" s="93"/>
      <c r="G28" s="93"/>
      <c r="H28" s="25"/>
    </row>
    <row r="29" spans="1:8" x14ac:dyDescent="0.25">
      <c r="A29" s="90">
        <v>50</v>
      </c>
      <c r="B29" s="91">
        <v>-2.1</v>
      </c>
      <c r="D29" s="92"/>
      <c r="E29" s="93"/>
      <c r="F29" s="93"/>
      <c r="G29" s="93"/>
      <c r="H29" s="25"/>
    </row>
    <row r="30" spans="1:8" x14ac:dyDescent="0.25">
      <c r="A30" s="90">
        <v>60</v>
      </c>
      <c r="B30" s="91">
        <v>-2.1</v>
      </c>
      <c r="D30" s="92"/>
      <c r="E30" s="93"/>
      <c r="F30" s="93"/>
      <c r="G30" s="93"/>
      <c r="H30" s="25"/>
    </row>
    <row r="31" spans="1:8" x14ac:dyDescent="0.25">
      <c r="A31" s="90">
        <v>70</v>
      </c>
      <c r="B31" s="91">
        <v>-1.9</v>
      </c>
      <c r="D31" s="92"/>
      <c r="E31" s="93"/>
      <c r="F31" s="93"/>
      <c r="G31" s="93"/>
      <c r="H31" s="25"/>
    </row>
    <row r="32" spans="1:8" x14ac:dyDescent="0.25">
      <c r="A32" s="90">
        <v>80</v>
      </c>
      <c r="B32" s="91">
        <v>-2</v>
      </c>
      <c r="D32" s="92"/>
      <c r="E32" s="93"/>
      <c r="F32" s="93"/>
      <c r="G32" s="93"/>
      <c r="H32" s="25"/>
    </row>
    <row r="33" spans="1:8" x14ac:dyDescent="0.25">
      <c r="A33" s="90">
        <v>90</v>
      </c>
      <c r="B33" s="91">
        <v>-1.9</v>
      </c>
      <c r="D33" s="92"/>
      <c r="E33" s="93"/>
      <c r="F33" s="93"/>
      <c r="G33" s="93"/>
      <c r="H33" s="25"/>
    </row>
    <row r="34" spans="1:8" x14ac:dyDescent="0.25">
      <c r="A34" s="90">
        <v>100</v>
      </c>
      <c r="B34" s="91">
        <v>-1.7</v>
      </c>
      <c r="D34" s="92"/>
      <c r="E34" s="93"/>
      <c r="F34" s="93"/>
      <c r="G34" s="93"/>
      <c r="H34" s="25"/>
    </row>
    <row r="35" spans="1:8" x14ac:dyDescent="0.25">
      <c r="A35" s="90">
        <v>107</v>
      </c>
      <c r="B35" s="91">
        <v>-1.7</v>
      </c>
      <c r="D35" s="92"/>
      <c r="E35" s="93"/>
      <c r="F35" s="93"/>
      <c r="G35" s="93"/>
      <c r="H35" s="25"/>
    </row>
    <row r="36" spans="1:8" x14ac:dyDescent="0.25">
      <c r="A36" s="90" t="s">
        <v>104</v>
      </c>
      <c r="B36" s="91">
        <v>-1.6</v>
      </c>
      <c r="D36" s="92"/>
      <c r="E36" s="93"/>
      <c r="F36" s="93"/>
      <c r="G36" s="93"/>
      <c r="H36" s="25"/>
    </row>
    <row r="37" spans="1:8" x14ac:dyDescent="0.25">
      <c r="A37" s="90"/>
      <c r="B37" s="91"/>
      <c r="D37" s="92"/>
      <c r="E37" s="93"/>
      <c r="F37" s="93"/>
      <c r="G37" s="93"/>
      <c r="H37" s="25"/>
    </row>
    <row r="38" spans="1:8" x14ac:dyDescent="0.25">
      <c r="A38" s="90"/>
      <c r="B38" s="91"/>
      <c r="D38" s="92"/>
      <c r="E38" s="93"/>
      <c r="F38" s="93"/>
      <c r="G38" s="93"/>
      <c r="H38" s="25"/>
    </row>
    <row r="39" spans="1:8" x14ac:dyDescent="0.25">
      <c r="A39" s="90"/>
      <c r="B39" s="91"/>
      <c r="D39" s="92"/>
      <c r="E39" s="93"/>
      <c r="F39" s="93"/>
      <c r="G39" s="93"/>
      <c r="H39" s="25"/>
    </row>
    <row r="40" spans="1:8" x14ac:dyDescent="0.25">
      <c r="A40" s="90"/>
      <c r="B40" s="91"/>
      <c r="D40" s="92"/>
      <c r="E40" s="93"/>
      <c r="F40" s="93"/>
      <c r="G40" s="93"/>
      <c r="H40" s="25"/>
    </row>
    <row r="41" spans="1:8" x14ac:dyDescent="0.25">
      <c r="A41" s="90"/>
      <c r="B41" s="91"/>
      <c r="D41" s="92"/>
      <c r="E41" s="93"/>
      <c r="F41" s="93"/>
      <c r="G41" s="93"/>
      <c r="H41" s="25"/>
    </row>
    <row r="42" spans="1:8" x14ac:dyDescent="0.25">
      <c r="A42" s="90"/>
      <c r="B42" s="91"/>
      <c r="D42" s="92"/>
      <c r="E42" s="93"/>
      <c r="F42" s="93"/>
      <c r="G42" s="93"/>
      <c r="H42" s="25"/>
    </row>
    <row r="43" spans="1:8" x14ac:dyDescent="0.25">
      <c r="A43" s="90"/>
      <c r="B43" s="91"/>
      <c r="D43" s="92"/>
      <c r="E43" s="93"/>
      <c r="F43" s="93"/>
      <c r="G43" s="93"/>
      <c r="H43" s="25"/>
    </row>
    <row r="44" spans="1:8" x14ac:dyDescent="0.25">
      <c r="A44" s="90"/>
      <c r="B44" s="91"/>
      <c r="D44" s="92"/>
      <c r="E44" s="93"/>
      <c r="F44" s="93"/>
      <c r="G44" s="93"/>
      <c r="H44" s="25"/>
    </row>
    <row r="45" spans="1:8" x14ac:dyDescent="0.25">
      <c r="A45" s="90"/>
      <c r="B45" s="91"/>
      <c r="D45" s="92"/>
      <c r="E45" s="93"/>
      <c r="F45" s="93"/>
      <c r="G45" s="93"/>
      <c r="H45" s="25"/>
    </row>
    <row r="46" spans="1:8" x14ac:dyDescent="0.25">
      <c r="A46" s="90"/>
      <c r="B46" s="91"/>
      <c r="D46" s="92"/>
      <c r="E46" s="93"/>
      <c r="F46" s="93"/>
      <c r="G46" s="93"/>
      <c r="H46" s="25"/>
    </row>
    <row r="47" spans="1:8" x14ac:dyDescent="0.25">
      <c r="A47" s="90"/>
      <c r="B47" s="91"/>
      <c r="D47" s="92"/>
      <c r="E47" s="93"/>
      <c r="F47" s="93"/>
      <c r="G47" s="93"/>
      <c r="H47" s="25"/>
    </row>
  </sheetData>
  <mergeCells count="8">
    <mergeCell ref="B6:C6"/>
    <mergeCell ref="A7:B7"/>
    <mergeCell ref="B8:D8"/>
    <mergeCell ref="A1:D1"/>
    <mergeCell ref="B2:C2"/>
    <mergeCell ref="B3:C3"/>
    <mergeCell ref="B4:C4"/>
    <mergeCell ref="B5:C5"/>
  </mergeCells>
  <dataValidations count="1">
    <dataValidation type="list" allowBlank="1" showInputMessage="1" showErrorMessage="1" sqref="C7" xr:uid="{00000000-0002-0000-0200-000000000000}">
      <formula1>Yes_No</formula1>
      <formula2>0</formula2>
    </dataValidation>
  </dataValidations>
  <pageMargins left="0.7" right="0.7" top="0.75" bottom="0.75" header="0.51180555555555496" footer="0.51180555555555496"/>
  <pageSetup paperSize="9" firstPageNumber="0" fitToHeight="0" orientation="landscape" horizontalDpi="300" verticalDpi="300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sheetPr>
    <tabColor rgb="FF92D050"/>
    <pageSetUpPr fitToPage="1"/>
  </sheetPr>
  <dimension ref="A1:AMJ44"/>
  <sheetViews>
    <sheetView zoomScale="80" zoomScaleNormal="80" workbookViewId="0">
      <selection activeCell="H23" sqref="H23:H44"/>
    </sheetView>
  </sheetViews>
  <sheetFormatPr defaultColWidth="9.140625" defaultRowHeight="15" x14ac:dyDescent="0.25"/>
  <cols>
    <col min="1" max="1" width="21.5703125" style="2" customWidth="1"/>
    <col min="2" max="3" width="15.5703125" style="2" customWidth="1"/>
    <col min="4" max="5" width="18.5703125" style="2" customWidth="1"/>
    <col min="6" max="6" width="19.5703125" style="2" customWidth="1"/>
    <col min="7" max="7" width="19.85546875" style="2" customWidth="1"/>
    <col min="8" max="8" width="19.5703125" style="2" customWidth="1"/>
    <col min="9" max="9" width="36.5703125" style="94" customWidth="1"/>
    <col min="10" max="1024" width="9.140625" style="2"/>
  </cols>
  <sheetData>
    <row r="1" spans="1:9" ht="33.75" x14ac:dyDescent="0.5">
      <c r="A1" s="167" t="s">
        <v>105</v>
      </c>
      <c r="B1" s="167"/>
      <c r="C1" s="167"/>
      <c r="D1" s="95"/>
    </row>
    <row r="2" spans="1:9" x14ac:dyDescent="0.25">
      <c r="A2" s="59" t="s">
        <v>38</v>
      </c>
      <c r="B2" s="171" t="str">
        <f>CONCATENATE(ExpID,"-",StnNum,"-",StnDay)</f>
        <v>AO2023-I-4-1</v>
      </c>
      <c r="C2" s="171"/>
      <c r="D2" s="60"/>
    </row>
    <row r="3" spans="1:9" x14ac:dyDescent="0.25">
      <c r="A3" s="61" t="s">
        <v>39</v>
      </c>
      <c r="B3" s="172" t="s">
        <v>106</v>
      </c>
      <c r="C3" s="172"/>
      <c r="D3" s="62"/>
    </row>
    <row r="4" spans="1:9" x14ac:dyDescent="0.25">
      <c r="A4" s="61" t="s">
        <v>41</v>
      </c>
      <c r="B4" s="163" t="str">
        <f>ObsDate</f>
        <v>15.06.2023</v>
      </c>
      <c r="C4" s="163"/>
      <c r="D4" s="62"/>
    </row>
    <row r="5" spans="1:9" x14ac:dyDescent="0.25">
      <c r="A5" s="63" t="s">
        <v>42</v>
      </c>
      <c r="B5" s="169"/>
      <c r="C5" s="169"/>
      <c r="D5" s="62"/>
    </row>
    <row r="6" spans="1:9" x14ac:dyDescent="0.25">
      <c r="A6" s="63" t="s">
        <v>6</v>
      </c>
      <c r="B6" s="169" t="s">
        <v>43</v>
      </c>
      <c r="C6" s="169"/>
      <c r="D6" s="62"/>
      <c r="E6" s="47"/>
      <c r="F6" s="47"/>
      <c r="G6" s="66"/>
      <c r="H6" s="67"/>
    </row>
    <row r="7" spans="1:9" ht="30" customHeight="1" x14ac:dyDescent="0.25">
      <c r="A7" s="68" t="s">
        <v>44</v>
      </c>
      <c r="B7" s="170" t="s">
        <v>222</v>
      </c>
      <c r="C7" s="170"/>
      <c r="D7" s="170"/>
      <c r="F7" s="139" t="s">
        <v>230</v>
      </c>
      <c r="G7" s="139">
        <v>-19</v>
      </c>
    </row>
    <row r="8" spans="1:9" x14ac:dyDescent="0.25">
      <c r="F8" s="139" t="s">
        <v>231</v>
      </c>
      <c r="G8" s="139">
        <v>0.83599999999999997</v>
      </c>
      <c r="H8" s="2" t="s">
        <v>241</v>
      </c>
    </row>
    <row r="9" spans="1:9" x14ac:dyDescent="0.25">
      <c r="A9" s="5" t="s">
        <v>46</v>
      </c>
    </row>
    <row r="10" spans="1:9" x14ac:dyDescent="0.25">
      <c r="A10" s="15" t="s">
        <v>55</v>
      </c>
      <c r="B10" s="96">
        <v>5</v>
      </c>
      <c r="F10" s="97" t="s">
        <v>65</v>
      </c>
      <c r="G10" s="98" t="s">
        <v>66</v>
      </c>
      <c r="H10" s="98" t="s">
        <v>67</v>
      </c>
      <c r="I10" s="99" t="s">
        <v>13</v>
      </c>
    </row>
    <row r="11" spans="1:9" x14ac:dyDescent="0.25">
      <c r="A11" s="100" t="s">
        <v>54</v>
      </c>
      <c r="B11" s="101">
        <v>109</v>
      </c>
      <c r="F11" s="102">
        <v>1</v>
      </c>
      <c r="G11" s="103">
        <v>60</v>
      </c>
      <c r="H11" s="104">
        <v>60</v>
      </c>
      <c r="I11" s="105" t="s">
        <v>221</v>
      </c>
    </row>
    <row r="12" spans="1:9" x14ac:dyDescent="0.25">
      <c r="A12" s="100" t="s">
        <v>107</v>
      </c>
      <c r="B12" s="101">
        <v>99</v>
      </c>
      <c r="F12" s="102">
        <v>2</v>
      </c>
      <c r="G12" s="104">
        <v>111</v>
      </c>
      <c r="H12" s="106">
        <v>51</v>
      </c>
      <c r="I12" s="107" t="s">
        <v>240</v>
      </c>
    </row>
    <row r="13" spans="1:9" x14ac:dyDescent="0.25">
      <c r="A13" s="100" t="s">
        <v>53</v>
      </c>
      <c r="B13" s="101"/>
      <c r="F13" s="102"/>
      <c r="G13" s="104"/>
      <c r="H13" s="104"/>
      <c r="I13" s="107"/>
    </row>
    <row r="14" spans="1:9" x14ac:dyDescent="0.25">
      <c r="A14" s="108" t="s">
        <v>108</v>
      </c>
      <c r="B14" s="109"/>
      <c r="F14" s="102"/>
      <c r="G14" s="104"/>
      <c r="H14" s="104"/>
      <c r="I14" s="107"/>
    </row>
    <row r="15" spans="1:9" x14ac:dyDescent="0.25">
      <c r="F15" s="102"/>
      <c r="G15" s="104"/>
      <c r="H15" s="104"/>
      <c r="I15" s="107"/>
    </row>
    <row r="16" spans="1:9" x14ac:dyDescent="0.25">
      <c r="A16" s="5" t="s">
        <v>109</v>
      </c>
      <c r="F16" s="102"/>
      <c r="G16" s="104"/>
      <c r="H16" s="104"/>
      <c r="I16" s="107"/>
    </row>
    <row r="17" spans="1:12" x14ac:dyDescent="0.25">
      <c r="A17" s="15" t="s">
        <v>110</v>
      </c>
      <c r="B17" s="96"/>
      <c r="F17" s="102"/>
      <c r="G17" s="104"/>
      <c r="H17" s="104"/>
      <c r="I17" s="107"/>
    </row>
    <row r="18" spans="1:12" x14ac:dyDescent="0.25">
      <c r="A18" s="9" t="s">
        <v>111</v>
      </c>
      <c r="B18" s="110"/>
      <c r="F18" s="102"/>
      <c r="G18" s="104"/>
      <c r="H18" s="104"/>
      <c r="I18" s="107"/>
    </row>
    <row r="19" spans="1:12" x14ac:dyDescent="0.25">
      <c r="B19" s="111"/>
      <c r="F19" s="112"/>
      <c r="G19" s="113"/>
      <c r="H19" s="113"/>
      <c r="I19" s="114"/>
    </row>
    <row r="22" spans="1:12" s="115" customFormat="1" ht="45" x14ac:dyDescent="0.25">
      <c r="A22" s="131" t="s">
        <v>57</v>
      </c>
      <c r="B22" s="132" t="s">
        <v>58</v>
      </c>
      <c r="C22" s="132" t="s">
        <v>112</v>
      </c>
      <c r="D22" s="132" t="s">
        <v>223</v>
      </c>
      <c r="E22" s="132" t="s">
        <v>224</v>
      </c>
      <c r="F22" s="132" t="s">
        <v>225</v>
      </c>
      <c r="G22" s="132" t="s">
        <v>226</v>
      </c>
      <c r="H22" s="132" t="s">
        <v>227</v>
      </c>
      <c r="I22" s="133" t="s">
        <v>13</v>
      </c>
      <c r="J22" s="134" t="s">
        <v>59</v>
      </c>
      <c r="K22" s="134" t="s">
        <v>60</v>
      </c>
      <c r="L22" s="134" t="s">
        <v>228</v>
      </c>
    </row>
    <row r="23" spans="1:12" x14ac:dyDescent="0.25">
      <c r="A23" s="135">
        <v>0</v>
      </c>
      <c r="B23" s="135">
        <v>5</v>
      </c>
      <c r="C23" s="136"/>
      <c r="D23" s="136">
        <v>232.06</v>
      </c>
      <c r="E23" s="137">
        <v>1.36</v>
      </c>
      <c r="F23" s="135"/>
      <c r="G23" s="135">
        <f>AVERAGE(A23:B23)</f>
        <v>2.5</v>
      </c>
      <c r="H23" s="136">
        <f t="shared" ref="H23:H44" si="0">0.836*D23/(D23-E23)</f>
        <v>0.84092830515821415</v>
      </c>
      <c r="I23" s="138" t="s">
        <v>232</v>
      </c>
      <c r="J23" s="139">
        <v>5.2</v>
      </c>
      <c r="K23" s="142">
        <v>9.27</v>
      </c>
      <c r="L23" s="142">
        <v>18.3</v>
      </c>
    </row>
    <row r="24" spans="1:12" x14ac:dyDescent="0.25">
      <c r="A24" s="140">
        <v>5</v>
      </c>
      <c r="B24" s="140">
        <v>10</v>
      </c>
      <c r="C24" s="140"/>
      <c r="D24" s="140">
        <v>244.38</v>
      </c>
      <c r="E24" s="140">
        <v>4.18</v>
      </c>
      <c r="F24" s="140"/>
      <c r="G24" s="135">
        <f t="shared" ref="G24:G44" si="1">AVERAGE(A24:B24)</f>
        <v>7.5</v>
      </c>
      <c r="H24" s="136">
        <f t="shared" si="0"/>
        <v>0.85054820982514567</v>
      </c>
      <c r="I24" s="141" t="s">
        <v>229</v>
      </c>
      <c r="J24" s="139">
        <v>5.3</v>
      </c>
      <c r="K24" s="142">
        <v>9.42</v>
      </c>
      <c r="L24" s="142">
        <v>18.399999999999999</v>
      </c>
    </row>
    <row r="25" spans="1:12" x14ac:dyDescent="0.25">
      <c r="A25" s="135">
        <v>10</v>
      </c>
      <c r="B25" s="135">
        <v>15</v>
      </c>
      <c r="C25" s="16"/>
      <c r="D25" s="16">
        <v>231.74</v>
      </c>
      <c r="E25" s="16">
        <v>1.71</v>
      </c>
      <c r="F25" s="16"/>
      <c r="G25" s="135">
        <f t="shared" si="1"/>
        <v>12.5</v>
      </c>
      <c r="H25" s="136">
        <f t="shared" si="0"/>
        <v>0.84221466765204545</v>
      </c>
      <c r="I25" s="141" t="s">
        <v>233</v>
      </c>
      <c r="J25" s="2">
        <v>5.3</v>
      </c>
      <c r="K25" s="143">
        <v>9.48</v>
      </c>
      <c r="L25" s="143">
        <v>18.600000000000001</v>
      </c>
    </row>
    <row r="26" spans="1:12" x14ac:dyDescent="0.25">
      <c r="A26" s="140">
        <v>15</v>
      </c>
      <c r="B26" s="140">
        <v>20</v>
      </c>
      <c r="C26" s="16"/>
      <c r="D26" s="16">
        <v>247.75</v>
      </c>
      <c r="E26" s="16">
        <v>13.99</v>
      </c>
      <c r="F26" s="16"/>
      <c r="G26" s="135">
        <f t="shared" si="1"/>
        <v>17.5</v>
      </c>
      <c r="H26" s="136">
        <f t="shared" si="0"/>
        <v>0.88603268309377148</v>
      </c>
      <c r="I26" s="116" t="s">
        <v>234</v>
      </c>
      <c r="J26" s="2">
        <v>5.0999999999999996</v>
      </c>
      <c r="K26" s="143">
        <v>9.11</v>
      </c>
      <c r="L26" s="143">
        <v>18.2</v>
      </c>
    </row>
    <row r="27" spans="1:12" x14ac:dyDescent="0.25">
      <c r="A27" s="135">
        <v>20</v>
      </c>
      <c r="B27" s="135">
        <v>25</v>
      </c>
      <c r="C27" s="16"/>
      <c r="D27" s="16">
        <v>253.52</v>
      </c>
      <c r="E27" s="16">
        <v>15.96</v>
      </c>
      <c r="F27" s="16"/>
      <c r="G27" s="135">
        <f t="shared" si="1"/>
        <v>22.5</v>
      </c>
      <c r="H27" s="136">
        <f t="shared" si="0"/>
        <v>0.89216501094460354</v>
      </c>
      <c r="I27" s="116" t="s">
        <v>235</v>
      </c>
      <c r="J27" s="2">
        <v>4.5999999999999996</v>
      </c>
      <c r="K27" s="143">
        <v>8.32</v>
      </c>
      <c r="L27" s="143">
        <v>18.8</v>
      </c>
    </row>
    <row r="28" spans="1:12" x14ac:dyDescent="0.25">
      <c r="A28" s="140">
        <v>25</v>
      </c>
      <c r="B28" s="140">
        <v>30</v>
      </c>
      <c r="C28" s="16"/>
      <c r="D28" s="16">
        <v>268.62</v>
      </c>
      <c r="E28" s="16">
        <v>23.64</v>
      </c>
      <c r="F28" s="16"/>
      <c r="G28" s="135">
        <f t="shared" si="1"/>
        <v>27.5</v>
      </c>
      <c r="H28" s="136">
        <f t="shared" si="0"/>
        <v>0.91667205486162129</v>
      </c>
      <c r="I28" s="116" t="s">
        <v>235</v>
      </c>
      <c r="J28" s="2">
        <v>3.6</v>
      </c>
      <c r="K28" s="143">
        <v>6.68</v>
      </c>
      <c r="L28" s="143">
        <v>18</v>
      </c>
    </row>
    <row r="29" spans="1:12" x14ac:dyDescent="0.25">
      <c r="A29" s="135">
        <v>30</v>
      </c>
      <c r="B29" s="135">
        <v>35</v>
      </c>
      <c r="C29" s="16"/>
      <c r="D29" s="16">
        <v>277.37</v>
      </c>
      <c r="E29" s="16">
        <v>24.21</v>
      </c>
      <c r="F29" s="16"/>
      <c r="G29" s="135">
        <f t="shared" si="1"/>
        <v>32.5</v>
      </c>
      <c r="H29" s="136">
        <f t="shared" si="0"/>
        <v>0.915947701058619</v>
      </c>
      <c r="I29" s="116" t="s">
        <v>236</v>
      </c>
      <c r="J29" s="2">
        <v>4.7</v>
      </c>
      <c r="K29" s="143">
        <v>8.44</v>
      </c>
      <c r="L29" s="143">
        <v>18.5</v>
      </c>
    </row>
    <row r="30" spans="1:12" x14ac:dyDescent="0.25">
      <c r="A30" s="140">
        <v>35</v>
      </c>
      <c r="B30" s="140">
        <v>40</v>
      </c>
      <c r="C30" s="16"/>
      <c r="D30" s="16">
        <v>281.89</v>
      </c>
      <c r="E30" s="16">
        <v>24.99</v>
      </c>
      <c r="F30" s="16"/>
      <c r="G30" s="135">
        <f t="shared" si="1"/>
        <v>37.5</v>
      </c>
      <c r="H30" s="136">
        <f t="shared" si="0"/>
        <v>0.91732207084468664</v>
      </c>
      <c r="I30" s="116" t="s">
        <v>236</v>
      </c>
      <c r="J30" s="2">
        <v>4.4000000000000004</v>
      </c>
      <c r="K30" s="143">
        <v>8.0299999999999994</v>
      </c>
      <c r="L30" s="143">
        <v>18.3</v>
      </c>
    </row>
    <row r="31" spans="1:12" x14ac:dyDescent="0.25">
      <c r="A31" s="135">
        <v>40</v>
      </c>
      <c r="B31" s="135">
        <v>45</v>
      </c>
      <c r="C31" s="16"/>
      <c r="D31" s="16">
        <v>265.75</v>
      </c>
      <c r="E31" s="16">
        <v>22.77</v>
      </c>
      <c r="F31" s="16"/>
      <c r="G31" s="135">
        <f t="shared" si="1"/>
        <v>42.5</v>
      </c>
      <c r="H31" s="136">
        <f t="shared" si="0"/>
        <v>0.91434274425878681</v>
      </c>
      <c r="I31" s="116" t="s">
        <v>237</v>
      </c>
      <c r="J31" s="2">
        <v>4.7</v>
      </c>
      <c r="K31" s="143">
        <v>8.49</v>
      </c>
      <c r="L31" s="143">
        <v>18</v>
      </c>
    </row>
    <row r="32" spans="1:12" x14ac:dyDescent="0.25">
      <c r="A32" s="140">
        <v>45</v>
      </c>
      <c r="B32" s="140">
        <v>50</v>
      </c>
      <c r="C32" s="16"/>
      <c r="D32" s="16">
        <v>271.22000000000003</v>
      </c>
      <c r="E32" s="16">
        <v>22.65</v>
      </c>
      <c r="F32" s="16"/>
      <c r="G32" s="135">
        <f t="shared" si="1"/>
        <v>47.5</v>
      </c>
      <c r="H32" s="136">
        <f t="shared" si="0"/>
        <v>0.91217733435249626</v>
      </c>
      <c r="I32" s="116" t="s">
        <v>238</v>
      </c>
      <c r="J32" s="2">
        <v>4.5999999999999996</v>
      </c>
      <c r="K32" s="143">
        <v>8.31</v>
      </c>
      <c r="L32" s="143">
        <v>18</v>
      </c>
    </row>
    <row r="33" spans="1:12" x14ac:dyDescent="0.25">
      <c r="A33" s="135">
        <v>50</v>
      </c>
      <c r="B33" s="135">
        <v>55</v>
      </c>
      <c r="C33" s="16"/>
      <c r="D33" s="16">
        <v>287.58999999999997</v>
      </c>
      <c r="E33" s="16">
        <v>24.98</v>
      </c>
      <c r="F33" s="16"/>
      <c r="G33" s="135">
        <f t="shared" si="1"/>
        <v>52.5</v>
      </c>
      <c r="H33" s="136">
        <f t="shared" si="0"/>
        <v>0.91552202886409506</v>
      </c>
      <c r="I33" s="116" t="s">
        <v>237</v>
      </c>
      <c r="J33" s="2">
        <v>4.5999999999999996</v>
      </c>
      <c r="K33" s="143">
        <v>8.39</v>
      </c>
      <c r="L33" s="143">
        <v>18.2</v>
      </c>
    </row>
    <row r="34" spans="1:12" x14ac:dyDescent="0.25">
      <c r="A34" s="140">
        <v>55</v>
      </c>
      <c r="B34" s="140">
        <v>61</v>
      </c>
      <c r="C34" s="16"/>
      <c r="D34" s="16">
        <v>344.93</v>
      </c>
      <c r="E34" s="16">
        <v>30.57</v>
      </c>
      <c r="F34" s="16"/>
      <c r="G34" s="135">
        <f t="shared" si="1"/>
        <v>58</v>
      </c>
      <c r="H34" s="136">
        <f t="shared" si="0"/>
        <v>0.91729698434915374</v>
      </c>
      <c r="I34" s="116" t="s">
        <v>239</v>
      </c>
      <c r="J34" s="2">
        <v>4.0999999999999996</v>
      </c>
      <c r="K34" s="143">
        <v>7.44</v>
      </c>
      <c r="L34" s="143">
        <v>18.2</v>
      </c>
    </row>
    <row r="35" spans="1:12" x14ac:dyDescent="0.25">
      <c r="A35" s="135">
        <v>61</v>
      </c>
      <c r="B35" s="135">
        <v>65</v>
      </c>
      <c r="C35" s="16"/>
      <c r="D35" s="16">
        <v>205.6</v>
      </c>
      <c r="E35" s="16">
        <v>15.7</v>
      </c>
      <c r="F35" s="16"/>
      <c r="G35" s="135">
        <f t="shared" si="1"/>
        <v>63</v>
      </c>
      <c r="H35" s="136">
        <f t="shared" si="0"/>
        <v>0.90511637704054759</v>
      </c>
      <c r="I35" s="116" t="s">
        <v>236</v>
      </c>
      <c r="J35" s="2">
        <v>4.8</v>
      </c>
      <c r="K35" s="143">
        <v>8.6999999999999993</v>
      </c>
      <c r="L35" s="143">
        <v>18.2</v>
      </c>
    </row>
    <row r="36" spans="1:12" x14ac:dyDescent="0.25">
      <c r="A36" s="140">
        <v>65</v>
      </c>
      <c r="B36" s="140">
        <v>70</v>
      </c>
      <c r="C36" s="16"/>
      <c r="D36" s="16">
        <v>274.12</v>
      </c>
      <c r="E36" s="16">
        <v>23.53</v>
      </c>
      <c r="F36" s="16"/>
      <c r="G36" s="135">
        <f t="shared" si="1"/>
        <v>67.5</v>
      </c>
      <c r="H36" s="136">
        <f t="shared" si="0"/>
        <v>0.91449906221317689</v>
      </c>
      <c r="I36" s="116" t="s">
        <v>236</v>
      </c>
      <c r="J36" s="2">
        <v>4.3</v>
      </c>
      <c r="K36" s="143">
        <v>7.84</v>
      </c>
      <c r="L36" s="143">
        <v>18</v>
      </c>
    </row>
    <row r="37" spans="1:12" x14ac:dyDescent="0.25">
      <c r="A37" s="135">
        <v>70</v>
      </c>
      <c r="B37" s="135">
        <v>75</v>
      </c>
      <c r="C37" s="16"/>
      <c r="D37" s="16">
        <v>289.63</v>
      </c>
      <c r="E37" s="16">
        <v>24.63</v>
      </c>
      <c r="F37" s="16"/>
      <c r="G37" s="135">
        <f t="shared" si="1"/>
        <v>72.5</v>
      </c>
      <c r="H37" s="136">
        <f t="shared" si="0"/>
        <v>0.91370067924528298</v>
      </c>
      <c r="I37" s="116" t="s">
        <v>237</v>
      </c>
      <c r="J37" s="2">
        <v>4</v>
      </c>
      <c r="K37" s="143">
        <v>7.26</v>
      </c>
      <c r="L37" s="143">
        <v>18.100000000000001</v>
      </c>
    </row>
    <row r="38" spans="1:12" x14ac:dyDescent="0.25">
      <c r="A38" s="140">
        <v>75</v>
      </c>
      <c r="B38" s="140">
        <v>80</v>
      </c>
      <c r="C38" s="16"/>
      <c r="D38" s="16">
        <v>291.74</v>
      </c>
      <c r="E38" s="16">
        <v>25.86</v>
      </c>
      <c r="F38" s="16"/>
      <c r="G38" s="135">
        <f t="shared" si="1"/>
        <v>77.5</v>
      </c>
      <c r="H38" s="136">
        <f t="shared" si="0"/>
        <v>0.91731096735369344</v>
      </c>
      <c r="I38" s="116" t="s">
        <v>236</v>
      </c>
      <c r="J38" s="2">
        <v>3.8</v>
      </c>
      <c r="K38" s="143">
        <v>7.03</v>
      </c>
      <c r="L38" s="143">
        <v>18.100000000000001</v>
      </c>
    </row>
    <row r="39" spans="1:12" x14ac:dyDescent="0.25">
      <c r="A39" s="135">
        <v>80</v>
      </c>
      <c r="B39" s="135">
        <v>85</v>
      </c>
      <c r="C39" s="16"/>
      <c r="D39" s="16">
        <v>250.44</v>
      </c>
      <c r="E39" s="16">
        <v>22.29</v>
      </c>
      <c r="F39" s="16"/>
      <c r="G39" s="135">
        <f t="shared" si="1"/>
        <v>82.5</v>
      </c>
      <c r="H39" s="136">
        <f t="shared" si="0"/>
        <v>0.91767626561472715</v>
      </c>
      <c r="I39" s="116" t="s">
        <v>236</v>
      </c>
      <c r="J39" s="2">
        <v>3.3</v>
      </c>
      <c r="K39" s="143">
        <v>6.13</v>
      </c>
      <c r="L39" s="143">
        <v>18.3</v>
      </c>
    </row>
    <row r="40" spans="1:12" x14ac:dyDescent="0.25">
      <c r="A40" s="140">
        <v>85</v>
      </c>
      <c r="B40" s="140">
        <v>90</v>
      </c>
      <c r="C40" s="16"/>
      <c r="D40" s="16">
        <v>259.16000000000003</v>
      </c>
      <c r="E40" s="16">
        <v>23.08</v>
      </c>
      <c r="F40" s="16"/>
      <c r="G40" s="135">
        <f t="shared" si="1"/>
        <v>87.5</v>
      </c>
      <c r="H40" s="136">
        <f t="shared" si="0"/>
        <v>0.91773026092849874</v>
      </c>
      <c r="I40" s="116" t="s">
        <v>236</v>
      </c>
      <c r="J40" s="2">
        <v>3.6</v>
      </c>
      <c r="K40" s="143">
        <v>6.58</v>
      </c>
      <c r="L40" s="143">
        <v>18</v>
      </c>
    </row>
    <row r="41" spans="1:12" x14ac:dyDescent="0.25">
      <c r="A41" s="135">
        <v>90</v>
      </c>
      <c r="B41" s="135">
        <v>95</v>
      </c>
      <c r="C41" s="16"/>
      <c r="D41" s="16">
        <v>275.26</v>
      </c>
      <c r="E41" s="16">
        <v>24.51</v>
      </c>
      <c r="F41" s="16"/>
      <c r="G41" s="135">
        <f t="shared" si="1"/>
        <v>92.5</v>
      </c>
      <c r="H41" s="136">
        <f t="shared" si="0"/>
        <v>0.91771629112662012</v>
      </c>
      <c r="I41" s="116" t="s">
        <v>236</v>
      </c>
      <c r="J41" s="2">
        <v>3.7</v>
      </c>
      <c r="K41" s="143">
        <v>6.71</v>
      </c>
      <c r="L41" s="143">
        <v>18.5</v>
      </c>
    </row>
    <row r="42" spans="1:12" x14ac:dyDescent="0.25">
      <c r="A42" s="140">
        <v>95</v>
      </c>
      <c r="B42" s="140">
        <v>100</v>
      </c>
      <c r="C42" s="144"/>
      <c r="D42" s="144">
        <v>265.19</v>
      </c>
      <c r="E42" s="144">
        <v>23.25</v>
      </c>
      <c r="F42" s="144"/>
      <c r="G42" s="135">
        <f t="shared" si="1"/>
        <v>97.5</v>
      </c>
      <c r="H42" s="136">
        <f t="shared" si="0"/>
        <v>0.91633810035546004</v>
      </c>
      <c r="I42" s="116" t="s">
        <v>236</v>
      </c>
      <c r="J42" s="2">
        <v>4.5</v>
      </c>
      <c r="K42" s="143">
        <v>8.09</v>
      </c>
      <c r="L42" s="143">
        <v>18.3</v>
      </c>
    </row>
    <row r="43" spans="1:12" x14ac:dyDescent="0.25">
      <c r="A43" s="135">
        <v>100</v>
      </c>
      <c r="B43" s="135">
        <v>105</v>
      </c>
      <c r="C43" s="144"/>
      <c r="D43" s="144">
        <v>294.74</v>
      </c>
      <c r="E43" s="144">
        <v>26.45</v>
      </c>
      <c r="F43" s="144"/>
      <c r="G43" s="135">
        <f t="shared" si="1"/>
        <v>102.5</v>
      </c>
      <c r="H43" s="136">
        <f t="shared" si="0"/>
        <v>0.9184190241902418</v>
      </c>
      <c r="I43" s="116" t="s">
        <v>236</v>
      </c>
      <c r="J43" s="2">
        <v>5.2</v>
      </c>
      <c r="K43" s="143">
        <v>9.42</v>
      </c>
      <c r="L43" s="143">
        <v>18.3</v>
      </c>
    </row>
    <row r="44" spans="1:12" x14ac:dyDescent="0.25">
      <c r="A44" s="140">
        <v>105</v>
      </c>
      <c r="B44" s="140">
        <v>110</v>
      </c>
      <c r="C44" s="144"/>
      <c r="D44" s="144">
        <v>272.70999999999998</v>
      </c>
      <c r="E44" s="144">
        <v>24.44</v>
      </c>
      <c r="F44" s="144"/>
      <c r="G44" s="135">
        <f t="shared" si="1"/>
        <v>107.5</v>
      </c>
      <c r="H44" s="136">
        <f t="shared" si="0"/>
        <v>0.91829685423128038</v>
      </c>
      <c r="I44" s="116" t="s">
        <v>236</v>
      </c>
      <c r="J44" s="2">
        <v>5.5</v>
      </c>
      <c r="K44" s="143">
        <v>9.81</v>
      </c>
      <c r="L44" s="143">
        <v>18.3</v>
      </c>
    </row>
  </sheetData>
  <mergeCells count="7">
    <mergeCell ref="B6:C6"/>
    <mergeCell ref="B7:D7"/>
    <mergeCell ref="A1:C1"/>
    <mergeCell ref="B2:C2"/>
    <mergeCell ref="B3:C3"/>
    <mergeCell ref="B4:C4"/>
    <mergeCell ref="B5:C5"/>
  </mergeCells>
  <pageMargins left="0.7" right="0.7" top="0.75" bottom="0.75" header="0.51180555555555496" footer="0.51180555555555496"/>
  <pageSetup paperSize="9" firstPageNumber="0" fitToHeight="0" orientation="landscape" horizontalDpi="300" verticalDpi="300"/>
  <drawing r:id="rId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sheetPr>
    <tabColor rgb="FF92D050"/>
    <pageSetUpPr fitToPage="1"/>
  </sheetPr>
  <dimension ref="A1:AMJ47"/>
  <sheetViews>
    <sheetView zoomScale="80" zoomScaleNormal="80" workbookViewId="0">
      <selection activeCell="D14" sqref="D14"/>
    </sheetView>
  </sheetViews>
  <sheetFormatPr defaultColWidth="9.140625" defaultRowHeight="15" x14ac:dyDescent="0.25"/>
  <cols>
    <col min="1" max="1" width="23.5703125" style="2" customWidth="1"/>
    <col min="2" max="2" width="16.5703125" style="2" customWidth="1"/>
    <col min="3" max="3" width="20.42578125" style="2" customWidth="1"/>
    <col min="4" max="4" width="27" style="2" customWidth="1"/>
    <col min="5" max="5" width="18.5703125" style="2" customWidth="1"/>
    <col min="6" max="6" width="20.42578125" style="2" customWidth="1"/>
    <col min="7" max="7" width="18.5703125" style="2" customWidth="1"/>
    <col min="8" max="8" width="36.5703125" style="2" customWidth="1"/>
    <col min="9" max="1024" width="9.140625" style="2"/>
  </cols>
  <sheetData>
    <row r="1" spans="1:9" ht="33.75" x14ac:dyDescent="0.5">
      <c r="A1" s="167" t="s">
        <v>113</v>
      </c>
      <c r="B1" s="167"/>
      <c r="C1" s="167"/>
      <c r="D1" s="167"/>
    </row>
    <row r="2" spans="1:9" x14ac:dyDescent="0.25">
      <c r="A2" s="59" t="s">
        <v>38</v>
      </c>
      <c r="B2" s="168" t="str">
        <f>CONCATENATE(ExpID,"-",StnNum,"-",StnDay)</f>
        <v>AO2023-I-4-1</v>
      </c>
      <c r="C2" s="168"/>
      <c r="D2" s="60"/>
    </row>
    <row r="3" spans="1:9" x14ac:dyDescent="0.25">
      <c r="A3" s="61" t="s">
        <v>39</v>
      </c>
      <c r="B3" s="162" t="s">
        <v>106</v>
      </c>
      <c r="C3" s="162"/>
      <c r="D3" s="62"/>
    </row>
    <row r="4" spans="1:9" x14ac:dyDescent="0.25">
      <c r="A4" s="61" t="s">
        <v>41</v>
      </c>
      <c r="B4" s="163" t="str">
        <f>ObsDate</f>
        <v>15.06.2023</v>
      </c>
      <c r="C4" s="163"/>
      <c r="D4" s="62"/>
    </row>
    <row r="5" spans="1:9" x14ac:dyDescent="0.25">
      <c r="A5" s="63" t="s">
        <v>42</v>
      </c>
      <c r="B5" s="164"/>
      <c r="C5" s="164"/>
      <c r="D5" s="62"/>
    </row>
    <row r="6" spans="1:9" x14ac:dyDescent="0.25">
      <c r="A6" s="63" t="s">
        <v>6</v>
      </c>
      <c r="B6" s="157" t="s">
        <v>43</v>
      </c>
      <c r="C6" s="157"/>
      <c r="D6" s="62"/>
    </row>
    <row r="7" spans="1:9" x14ac:dyDescent="0.25">
      <c r="A7" s="165" t="s">
        <v>89</v>
      </c>
      <c r="B7" s="165"/>
      <c r="C7" s="64" t="s">
        <v>114</v>
      </c>
      <c r="D7" s="62"/>
      <c r="E7" s="65"/>
      <c r="F7" s="47"/>
      <c r="G7" s="47"/>
      <c r="H7" s="66"/>
      <c r="I7" s="67"/>
    </row>
    <row r="8" spans="1:9" ht="30" customHeight="1" x14ac:dyDescent="0.25">
      <c r="A8" s="68" t="s">
        <v>44</v>
      </c>
      <c r="B8" s="166" t="s">
        <v>115</v>
      </c>
      <c r="C8" s="166"/>
      <c r="D8" s="166"/>
    </row>
    <row r="10" spans="1:9" x14ac:dyDescent="0.25">
      <c r="A10" s="5" t="s">
        <v>92</v>
      </c>
      <c r="D10" s="5" t="s">
        <v>46</v>
      </c>
    </row>
    <row r="11" spans="1:9" x14ac:dyDescent="0.25">
      <c r="A11" s="6" t="s">
        <v>93</v>
      </c>
      <c r="B11" s="69"/>
      <c r="D11" s="6" t="s">
        <v>47</v>
      </c>
      <c r="E11" s="70"/>
    </row>
    <row r="12" spans="1:9" x14ac:dyDescent="0.25">
      <c r="A12" s="8" t="s">
        <v>94</v>
      </c>
      <c r="B12" s="71"/>
      <c r="D12" s="8" t="s">
        <v>49</v>
      </c>
      <c r="E12" s="72"/>
    </row>
    <row r="13" spans="1:9" x14ac:dyDescent="0.25">
      <c r="A13" s="8" t="s">
        <v>95</v>
      </c>
      <c r="B13" s="71"/>
      <c r="D13" s="8" t="s">
        <v>51</v>
      </c>
      <c r="E13" s="72"/>
    </row>
    <row r="14" spans="1:9" x14ac:dyDescent="0.25">
      <c r="A14" s="9" t="s">
        <v>96</v>
      </c>
      <c r="B14" s="73"/>
      <c r="D14" s="8" t="s">
        <v>53</v>
      </c>
      <c r="E14" s="72"/>
    </row>
    <row r="15" spans="1:9" x14ac:dyDescent="0.25">
      <c r="D15" s="8" t="s">
        <v>54</v>
      </c>
      <c r="E15" s="72"/>
    </row>
    <row r="16" spans="1:9" x14ac:dyDescent="0.25">
      <c r="D16" s="9" t="s">
        <v>55</v>
      </c>
      <c r="E16" s="74"/>
    </row>
    <row r="18" spans="1:6" x14ac:dyDescent="0.25">
      <c r="A18" s="6" t="s">
        <v>48</v>
      </c>
      <c r="B18" s="75">
        <v>110</v>
      </c>
      <c r="C18" s="76"/>
      <c r="D18" s="77"/>
    </row>
    <row r="19" spans="1:6" x14ac:dyDescent="0.25">
      <c r="A19" s="8" t="s">
        <v>50</v>
      </c>
      <c r="B19" s="78">
        <v>2</v>
      </c>
      <c r="C19" s="14"/>
      <c r="D19" s="79"/>
    </row>
    <row r="20" spans="1:6" x14ac:dyDescent="0.25">
      <c r="A20" s="9" t="s">
        <v>52</v>
      </c>
      <c r="B20" s="80"/>
      <c r="C20" s="80"/>
      <c r="D20" s="81">
        <v>110</v>
      </c>
    </row>
    <row r="22" spans="1:6" x14ac:dyDescent="0.25">
      <c r="A22" s="82" t="s">
        <v>65</v>
      </c>
      <c r="B22" s="84" t="s">
        <v>99</v>
      </c>
      <c r="C22" s="84" t="s">
        <v>100</v>
      </c>
      <c r="D22" s="84" t="s">
        <v>101</v>
      </c>
      <c r="E22" s="174" t="s">
        <v>13</v>
      </c>
      <c r="F22" s="174"/>
    </row>
    <row r="23" spans="1:6" x14ac:dyDescent="0.25">
      <c r="A23" s="87">
        <v>1</v>
      </c>
      <c r="B23" s="88">
        <v>0</v>
      </c>
      <c r="C23" s="88">
        <v>18</v>
      </c>
      <c r="D23" s="88">
        <v>18</v>
      </c>
      <c r="E23" s="175"/>
      <c r="F23" s="175"/>
    </row>
    <row r="24" spans="1:6" x14ac:dyDescent="0.25">
      <c r="A24" s="92">
        <v>2</v>
      </c>
      <c r="B24" s="93">
        <v>18</v>
      </c>
      <c r="C24" s="93">
        <v>110</v>
      </c>
      <c r="D24" s="93">
        <v>92</v>
      </c>
      <c r="E24" s="173"/>
      <c r="F24" s="173"/>
    </row>
    <row r="25" spans="1:6" x14ac:dyDescent="0.25">
      <c r="A25" s="92"/>
      <c r="B25" s="93"/>
      <c r="C25" s="93"/>
      <c r="D25" s="93"/>
      <c r="E25" s="173"/>
      <c r="F25" s="173"/>
    </row>
    <row r="26" spans="1:6" x14ac:dyDescent="0.25">
      <c r="A26" s="92"/>
      <c r="B26" s="93"/>
      <c r="C26" s="93"/>
      <c r="D26" s="93"/>
      <c r="E26" s="173"/>
      <c r="F26" s="173"/>
    </row>
    <row r="27" spans="1:6" x14ac:dyDescent="0.25">
      <c r="A27" s="92"/>
      <c r="B27" s="93"/>
      <c r="C27" s="93"/>
      <c r="D27" s="93"/>
      <c r="E27" s="173"/>
      <c r="F27" s="173"/>
    </row>
    <row r="28" spans="1:6" x14ac:dyDescent="0.25">
      <c r="A28" s="92"/>
      <c r="B28" s="93"/>
      <c r="C28" s="93"/>
      <c r="D28" s="93"/>
      <c r="E28" s="173"/>
      <c r="F28" s="173"/>
    </row>
    <row r="29" spans="1:6" x14ac:dyDescent="0.25">
      <c r="A29" s="92"/>
      <c r="B29" s="93"/>
      <c r="C29" s="93"/>
      <c r="D29" s="93"/>
      <c r="E29" s="173"/>
      <c r="F29" s="173"/>
    </row>
    <row r="30" spans="1:6" x14ac:dyDescent="0.25">
      <c r="A30" s="92"/>
      <c r="B30" s="93"/>
      <c r="C30" s="93"/>
      <c r="D30" s="93"/>
      <c r="E30" s="173"/>
      <c r="F30" s="173"/>
    </row>
    <row r="31" spans="1:6" x14ac:dyDescent="0.25">
      <c r="A31" s="92"/>
      <c r="B31" s="93"/>
      <c r="C31" s="93"/>
      <c r="D31" s="93"/>
      <c r="E31" s="173"/>
      <c r="F31" s="173"/>
    </row>
    <row r="32" spans="1:6" x14ac:dyDescent="0.25">
      <c r="A32" s="92"/>
      <c r="B32" s="93"/>
      <c r="C32" s="93"/>
      <c r="D32" s="93"/>
      <c r="E32" s="173"/>
      <c r="F32" s="173"/>
    </row>
    <row r="33" spans="1:6" x14ac:dyDescent="0.25">
      <c r="A33" s="92"/>
      <c r="B33" s="93"/>
      <c r="C33" s="93"/>
      <c r="D33" s="93"/>
      <c r="E33" s="173"/>
      <c r="F33" s="173"/>
    </row>
    <row r="34" spans="1:6" x14ac:dyDescent="0.25">
      <c r="A34" s="92"/>
      <c r="B34" s="93"/>
      <c r="C34" s="93"/>
      <c r="D34" s="93"/>
      <c r="E34" s="173"/>
      <c r="F34" s="173"/>
    </row>
    <row r="35" spans="1:6" x14ac:dyDescent="0.25">
      <c r="A35" s="92"/>
      <c r="B35" s="93"/>
      <c r="C35" s="93"/>
      <c r="D35" s="93"/>
      <c r="E35" s="173"/>
      <c r="F35" s="173"/>
    </row>
    <row r="36" spans="1:6" x14ac:dyDescent="0.25">
      <c r="A36" s="92"/>
      <c r="B36" s="93"/>
      <c r="C36" s="93"/>
      <c r="D36" s="93"/>
      <c r="E36" s="173"/>
      <c r="F36" s="173"/>
    </row>
    <row r="37" spans="1:6" x14ac:dyDescent="0.25">
      <c r="A37" s="92"/>
      <c r="B37" s="93"/>
      <c r="C37" s="93"/>
      <c r="D37" s="93"/>
      <c r="E37" s="173"/>
      <c r="F37" s="173"/>
    </row>
    <row r="38" spans="1:6" x14ac:dyDescent="0.25">
      <c r="A38" s="92"/>
      <c r="B38" s="93"/>
      <c r="C38" s="93"/>
      <c r="D38" s="93"/>
      <c r="E38" s="173"/>
      <c r="F38" s="173"/>
    </row>
    <row r="39" spans="1:6" x14ac:dyDescent="0.25">
      <c r="A39" s="92"/>
      <c r="B39" s="93"/>
      <c r="C39" s="93"/>
      <c r="D39" s="93"/>
      <c r="E39" s="173"/>
      <c r="F39" s="173"/>
    </row>
    <row r="40" spans="1:6" x14ac:dyDescent="0.25">
      <c r="A40" s="92"/>
      <c r="B40" s="93"/>
      <c r="C40" s="93"/>
      <c r="D40" s="93"/>
      <c r="E40" s="173"/>
      <c r="F40" s="173"/>
    </row>
    <row r="41" spans="1:6" x14ac:dyDescent="0.25">
      <c r="A41" s="92"/>
      <c r="B41" s="93"/>
      <c r="C41" s="93"/>
      <c r="D41" s="93"/>
      <c r="E41" s="173"/>
      <c r="F41" s="173"/>
    </row>
    <row r="42" spans="1:6" x14ac:dyDescent="0.25">
      <c r="A42" s="92"/>
      <c r="B42" s="93"/>
      <c r="C42" s="93"/>
      <c r="D42" s="93"/>
      <c r="E42" s="173"/>
      <c r="F42" s="173"/>
    </row>
    <row r="43" spans="1:6" x14ac:dyDescent="0.25">
      <c r="A43" s="92"/>
      <c r="B43" s="93"/>
      <c r="C43" s="93"/>
      <c r="D43" s="93"/>
      <c r="E43" s="173"/>
      <c r="F43" s="173"/>
    </row>
    <row r="44" spans="1:6" x14ac:dyDescent="0.25">
      <c r="A44" s="92"/>
      <c r="B44" s="93"/>
      <c r="C44" s="93"/>
      <c r="D44" s="93"/>
      <c r="E44" s="173"/>
      <c r="F44" s="173"/>
    </row>
    <row r="45" spans="1:6" x14ac:dyDescent="0.25">
      <c r="A45" s="92"/>
      <c r="B45" s="93"/>
      <c r="C45" s="93"/>
      <c r="D45" s="93"/>
      <c r="E45" s="173"/>
      <c r="F45" s="173"/>
    </row>
    <row r="46" spans="1:6" x14ac:dyDescent="0.25">
      <c r="A46" s="92"/>
      <c r="B46" s="93"/>
      <c r="C46" s="93"/>
      <c r="D46" s="93"/>
      <c r="E46" s="173"/>
      <c r="F46" s="173"/>
    </row>
    <row r="47" spans="1:6" x14ac:dyDescent="0.25">
      <c r="A47" s="92"/>
      <c r="B47" s="93"/>
      <c r="C47" s="93"/>
      <c r="D47" s="93"/>
      <c r="E47" s="173"/>
      <c r="F47" s="173"/>
    </row>
  </sheetData>
  <mergeCells count="34">
    <mergeCell ref="A1:D1"/>
    <mergeCell ref="B2:C2"/>
    <mergeCell ref="B3:C3"/>
    <mergeCell ref="B4:C4"/>
    <mergeCell ref="B5:C5"/>
    <mergeCell ref="B6:C6"/>
    <mergeCell ref="A7:B7"/>
    <mergeCell ref="B8:D8"/>
    <mergeCell ref="E22:F22"/>
    <mergeCell ref="E23:F23"/>
    <mergeCell ref="E24:F24"/>
    <mergeCell ref="E25:F25"/>
    <mergeCell ref="E26:F26"/>
    <mergeCell ref="E27:F27"/>
    <mergeCell ref="E28:F28"/>
    <mergeCell ref="E29:F29"/>
    <mergeCell ref="E30:F30"/>
    <mergeCell ref="E31:F31"/>
    <mergeCell ref="E32:F32"/>
    <mergeCell ref="E33:F33"/>
    <mergeCell ref="E34:F34"/>
    <mergeCell ref="E35:F35"/>
    <mergeCell ref="E36:F36"/>
    <mergeCell ref="E37:F37"/>
    <mergeCell ref="E38:F38"/>
    <mergeCell ref="E44:F44"/>
    <mergeCell ref="E45:F45"/>
    <mergeCell ref="E46:F46"/>
    <mergeCell ref="E47:F47"/>
    <mergeCell ref="E39:F39"/>
    <mergeCell ref="E40:F40"/>
    <mergeCell ref="E41:F41"/>
    <mergeCell ref="E42:F42"/>
    <mergeCell ref="E43:F43"/>
  </mergeCells>
  <dataValidations count="1">
    <dataValidation type="list" allowBlank="1" showInputMessage="1" showErrorMessage="1" sqref="C7" xr:uid="{00000000-0002-0000-0400-000000000000}">
      <formula1>Yes_No</formula1>
      <formula2>0</formula2>
    </dataValidation>
  </dataValidations>
  <pageMargins left="0.7" right="0.7" top="0.75" bottom="0.75" header="0.51180555555555496" footer="0.51180555555555496"/>
  <pageSetup paperSize="9" firstPageNumber="0" fitToHeight="0" orientation="landscape" horizontalDpi="300" verticalDpi="300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sheetPr>
    <tabColor rgb="FF92D050"/>
    <pageSetUpPr fitToPage="1"/>
  </sheetPr>
  <dimension ref="A1:AMJ47"/>
  <sheetViews>
    <sheetView zoomScale="80" zoomScaleNormal="80" workbookViewId="0">
      <selection activeCell="B8" sqref="B8:D8"/>
    </sheetView>
  </sheetViews>
  <sheetFormatPr defaultColWidth="9.140625" defaultRowHeight="15" x14ac:dyDescent="0.25"/>
  <cols>
    <col min="1" max="1" width="23.5703125" style="2" customWidth="1"/>
    <col min="2" max="2" width="16.5703125" style="2" customWidth="1"/>
    <col min="3" max="3" width="20.42578125" style="2" customWidth="1"/>
    <col min="4" max="4" width="27" style="2" customWidth="1"/>
    <col min="5" max="5" width="18.5703125" style="2" customWidth="1"/>
    <col min="6" max="6" width="20.42578125" style="2" customWidth="1"/>
    <col min="7" max="7" width="18.5703125" style="2" customWidth="1"/>
    <col min="8" max="8" width="36.5703125" style="2" customWidth="1"/>
    <col min="9" max="1024" width="9.140625" style="2"/>
  </cols>
  <sheetData>
    <row r="1" spans="1:9" ht="33.75" x14ac:dyDescent="0.5">
      <c r="A1" s="167" t="s">
        <v>116</v>
      </c>
      <c r="B1" s="167"/>
      <c r="C1" s="167"/>
      <c r="D1" s="167"/>
    </row>
    <row r="2" spans="1:9" x14ac:dyDescent="0.25">
      <c r="A2" s="59" t="s">
        <v>38</v>
      </c>
      <c r="B2" s="168" t="str">
        <f>CONCATENATE(ExpID,"-",StnNum,"-",StnDay)</f>
        <v>AO2023-I-4-1</v>
      </c>
      <c r="C2" s="168"/>
      <c r="D2" s="60"/>
    </row>
    <row r="3" spans="1:9" x14ac:dyDescent="0.25">
      <c r="A3" s="61" t="s">
        <v>39</v>
      </c>
      <c r="B3" s="162" t="s">
        <v>106</v>
      </c>
      <c r="C3" s="162"/>
      <c r="D3" s="62"/>
    </row>
    <row r="4" spans="1:9" x14ac:dyDescent="0.25">
      <c r="A4" s="61" t="s">
        <v>41</v>
      </c>
      <c r="B4" s="163" t="str">
        <f>ObsDate</f>
        <v>15.06.2023</v>
      </c>
      <c r="C4" s="163"/>
      <c r="D4" s="62"/>
    </row>
    <row r="5" spans="1:9" x14ac:dyDescent="0.25">
      <c r="A5" s="63" t="s">
        <v>42</v>
      </c>
      <c r="B5" s="164"/>
      <c r="C5" s="164"/>
      <c r="D5" s="62"/>
    </row>
    <row r="6" spans="1:9" x14ac:dyDescent="0.25">
      <c r="A6" s="63" t="s">
        <v>6</v>
      </c>
      <c r="B6" s="157" t="s">
        <v>43</v>
      </c>
      <c r="C6" s="157"/>
      <c r="D6" s="62"/>
    </row>
    <row r="7" spans="1:9" x14ac:dyDescent="0.25">
      <c r="A7" s="165" t="s">
        <v>89</v>
      </c>
      <c r="B7" s="165"/>
      <c r="C7" s="64" t="s">
        <v>114</v>
      </c>
      <c r="D7" s="62"/>
      <c r="E7" s="65"/>
      <c r="F7" s="47"/>
      <c r="G7" s="47"/>
      <c r="H7" s="66"/>
      <c r="I7" s="67"/>
    </row>
    <row r="8" spans="1:9" ht="30" customHeight="1" x14ac:dyDescent="0.25">
      <c r="A8" s="68" t="s">
        <v>44</v>
      </c>
      <c r="B8" s="166" t="s">
        <v>117</v>
      </c>
      <c r="C8" s="166"/>
      <c r="D8" s="166"/>
    </row>
    <row r="10" spans="1:9" x14ac:dyDescent="0.25">
      <c r="A10" s="5" t="s">
        <v>92</v>
      </c>
      <c r="D10" s="5" t="s">
        <v>46</v>
      </c>
    </row>
    <row r="11" spans="1:9" x14ac:dyDescent="0.25">
      <c r="A11" s="6" t="s">
        <v>93</v>
      </c>
      <c r="B11" s="69"/>
      <c r="D11" s="6" t="s">
        <v>47</v>
      </c>
      <c r="E11" s="70"/>
    </row>
    <row r="12" spans="1:9" x14ac:dyDescent="0.25">
      <c r="A12" s="8" t="s">
        <v>94</v>
      </c>
      <c r="B12" s="71"/>
      <c r="D12" s="8" t="s">
        <v>49</v>
      </c>
      <c r="E12" s="72">
        <v>109</v>
      </c>
    </row>
    <row r="13" spans="1:9" x14ac:dyDescent="0.25">
      <c r="A13" s="8" t="s">
        <v>95</v>
      </c>
      <c r="B13" s="71"/>
      <c r="D13" s="8" t="s">
        <v>51</v>
      </c>
      <c r="E13" s="72">
        <v>99</v>
      </c>
    </row>
    <row r="14" spans="1:9" x14ac:dyDescent="0.25">
      <c r="A14" s="9" t="s">
        <v>96</v>
      </c>
      <c r="B14" s="73"/>
      <c r="D14" s="8" t="s">
        <v>53</v>
      </c>
      <c r="E14" s="72"/>
    </row>
    <row r="15" spans="1:9" x14ac:dyDescent="0.25">
      <c r="D15" s="8" t="s">
        <v>54</v>
      </c>
      <c r="E15" s="72"/>
    </row>
    <row r="16" spans="1:9" x14ac:dyDescent="0.25">
      <c r="D16" s="9" t="s">
        <v>55</v>
      </c>
      <c r="E16" s="74"/>
    </row>
    <row r="18" spans="1:6" x14ac:dyDescent="0.25">
      <c r="A18" s="6" t="s">
        <v>48</v>
      </c>
      <c r="B18" s="75">
        <v>112</v>
      </c>
      <c r="C18" s="76"/>
      <c r="D18" s="77"/>
    </row>
    <row r="19" spans="1:6" x14ac:dyDescent="0.25">
      <c r="A19" s="8" t="s">
        <v>50</v>
      </c>
      <c r="B19" s="78"/>
      <c r="C19" s="14"/>
      <c r="D19" s="79"/>
    </row>
    <row r="20" spans="1:6" x14ac:dyDescent="0.25">
      <c r="A20" s="9" t="s">
        <v>52</v>
      </c>
      <c r="B20" s="80"/>
      <c r="C20" s="80"/>
      <c r="D20" s="81">
        <f>SUM(G23:G52)</f>
        <v>0</v>
      </c>
    </row>
    <row r="22" spans="1:6" x14ac:dyDescent="0.25">
      <c r="A22" s="82" t="s">
        <v>65</v>
      </c>
      <c r="B22" s="84" t="s">
        <v>99</v>
      </c>
      <c r="C22" s="84" t="s">
        <v>100</v>
      </c>
      <c r="D22" s="84" t="s">
        <v>101</v>
      </c>
      <c r="E22" s="174" t="s">
        <v>13</v>
      </c>
      <c r="F22" s="174"/>
    </row>
    <row r="23" spans="1:6" ht="14.45" customHeight="1" x14ac:dyDescent="0.25">
      <c r="A23" s="87">
        <v>1</v>
      </c>
      <c r="B23" s="88">
        <v>0</v>
      </c>
      <c r="C23" s="88">
        <v>51</v>
      </c>
      <c r="D23" s="88">
        <v>51</v>
      </c>
      <c r="E23" s="175" t="s">
        <v>118</v>
      </c>
      <c r="F23" s="175"/>
    </row>
    <row r="24" spans="1:6" x14ac:dyDescent="0.25">
      <c r="A24" s="92">
        <v>2</v>
      </c>
      <c r="B24" s="93">
        <v>51</v>
      </c>
      <c r="C24" s="93">
        <v>112</v>
      </c>
      <c r="D24" s="93">
        <v>61</v>
      </c>
      <c r="E24" s="173"/>
      <c r="F24" s="173"/>
    </row>
    <row r="25" spans="1:6" x14ac:dyDescent="0.25">
      <c r="A25" s="92"/>
      <c r="B25" s="93"/>
      <c r="C25" s="93"/>
      <c r="D25" s="93"/>
      <c r="E25" s="173"/>
      <c r="F25" s="173"/>
    </row>
    <row r="26" spans="1:6" x14ac:dyDescent="0.25">
      <c r="A26" s="92"/>
      <c r="B26" s="93"/>
      <c r="C26" s="93"/>
      <c r="D26" s="93"/>
      <c r="E26" s="173"/>
      <c r="F26" s="173"/>
    </row>
    <row r="27" spans="1:6" x14ac:dyDescent="0.25">
      <c r="A27" s="92"/>
      <c r="B27" s="93"/>
      <c r="C27" s="93"/>
      <c r="D27" s="93"/>
      <c r="E27" s="173"/>
      <c r="F27" s="173"/>
    </row>
    <row r="28" spans="1:6" x14ac:dyDescent="0.25">
      <c r="A28" s="92"/>
      <c r="B28" s="93"/>
      <c r="C28" s="93"/>
      <c r="D28" s="93"/>
      <c r="E28" s="173"/>
      <c r="F28" s="173"/>
    </row>
    <row r="29" spans="1:6" x14ac:dyDescent="0.25">
      <c r="A29" s="92"/>
      <c r="B29" s="93"/>
      <c r="C29" s="93"/>
      <c r="D29" s="93"/>
      <c r="E29" s="173"/>
      <c r="F29" s="173"/>
    </row>
    <row r="30" spans="1:6" x14ac:dyDescent="0.25">
      <c r="A30" s="92"/>
      <c r="B30" s="93"/>
      <c r="C30" s="93"/>
      <c r="D30" s="93"/>
      <c r="E30" s="173"/>
      <c r="F30" s="173"/>
    </row>
    <row r="31" spans="1:6" x14ac:dyDescent="0.25">
      <c r="A31" s="92"/>
      <c r="B31" s="93"/>
      <c r="C31" s="93"/>
      <c r="D31" s="93"/>
      <c r="E31" s="173"/>
      <c r="F31" s="173"/>
    </row>
    <row r="32" spans="1:6" x14ac:dyDescent="0.25">
      <c r="A32" s="92"/>
      <c r="B32" s="93"/>
      <c r="C32" s="93"/>
      <c r="D32" s="93"/>
      <c r="E32" s="173"/>
      <c r="F32" s="173"/>
    </row>
    <row r="33" spans="1:6" x14ac:dyDescent="0.25">
      <c r="A33" s="92"/>
      <c r="B33" s="93"/>
      <c r="C33" s="93"/>
      <c r="D33" s="93"/>
      <c r="E33" s="173"/>
      <c r="F33" s="173"/>
    </row>
    <row r="34" spans="1:6" x14ac:dyDescent="0.25">
      <c r="A34" s="92"/>
      <c r="B34" s="93"/>
      <c r="C34" s="93"/>
      <c r="D34" s="93"/>
      <c r="E34" s="173"/>
      <c r="F34" s="173"/>
    </row>
    <row r="35" spans="1:6" x14ac:dyDescent="0.25">
      <c r="A35" s="92"/>
      <c r="B35" s="93"/>
      <c r="C35" s="93"/>
      <c r="D35" s="93"/>
      <c r="E35" s="173"/>
      <c r="F35" s="173"/>
    </row>
    <row r="36" spans="1:6" x14ac:dyDescent="0.25">
      <c r="A36" s="92"/>
      <c r="B36" s="93"/>
      <c r="C36" s="93"/>
      <c r="D36" s="93"/>
      <c r="E36" s="173"/>
      <c r="F36" s="173"/>
    </row>
    <row r="37" spans="1:6" x14ac:dyDescent="0.25">
      <c r="A37" s="92"/>
      <c r="B37" s="93"/>
      <c r="C37" s="93"/>
      <c r="D37" s="93"/>
      <c r="E37" s="173"/>
      <c r="F37" s="173"/>
    </row>
    <row r="38" spans="1:6" x14ac:dyDescent="0.25">
      <c r="A38" s="92"/>
      <c r="B38" s="93"/>
      <c r="C38" s="93"/>
      <c r="D38" s="93"/>
      <c r="E38" s="173"/>
      <c r="F38" s="173"/>
    </row>
    <row r="39" spans="1:6" x14ac:dyDescent="0.25">
      <c r="A39" s="92"/>
      <c r="B39" s="93"/>
      <c r="C39" s="93"/>
      <c r="D39" s="93"/>
      <c r="E39" s="173"/>
      <c r="F39" s="173"/>
    </row>
    <row r="40" spans="1:6" x14ac:dyDescent="0.25">
      <c r="A40" s="92"/>
      <c r="B40" s="93"/>
      <c r="C40" s="93"/>
      <c r="D40" s="93"/>
      <c r="E40" s="173"/>
      <c r="F40" s="173"/>
    </row>
    <row r="41" spans="1:6" x14ac:dyDescent="0.25">
      <c r="A41" s="92"/>
      <c r="B41" s="93"/>
      <c r="C41" s="93"/>
      <c r="D41" s="93"/>
      <c r="E41" s="173"/>
      <c r="F41" s="173"/>
    </row>
    <row r="42" spans="1:6" x14ac:dyDescent="0.25">
      <c r="A42" s="92"/>
      <c r="B42" s="93"/>
      <c r="C42" s="93"/>
      <c r="D42" s="93"/>
      <c r="E42" s="173"/>
      <c r="F42" s="173"/>
    </row>
    <row r="43" spans="1:6" x14ac:dyDescent="0.25">
      <c r="A43" s="92"/>
      <c r="B43" s="93"/>
      <c r="C43" s="93"/>
      <c r="D43" s="93"/>
      <c r="E43" s="173"/>
      <c r="F43" s="173"/>
    </row>
    <row r="44" spans="1:6" x14ac:dyDescent="0.25">
      <c r="A44" s="92"/>
      <c r="B44" s="93"/>
      <c r="C44" s="93"/>
      <c r="D44" s="93"/>
      <c r="E44" s="173"/>
      <c r="F44" s="173"/>
    </row>
    <row r="45" spans="1:6" x14ac:dyDescent="0.25">
      <c r="A45" s="92"/>
      <c r="B45" s="93"/>
      <c r="C45" s="93"/>
      <c r="D45" s="93"/>
      <c r="E45" s="173"/>
      <c r="F45" s="173"/>
    </row>
    <row r="46" spans="1:6" x14ac:dyDescent="0.25">
      <c r="A46" s="92"/>
      <c r="B46" s="93"/>
      <c r="C46" s="93"/>
      <c r="D46" s="93"/>
      <c r="E46" s="173"/>
      <c r="F46" s="173"/>
    </row>
    <row r="47" spans="1:6" x14ac:dyDescent="0.25">
      <c r="A47" s="92"/>
      <c r="B47" s="93"/>
      <c r="C47" s="93"/>
      <c r="D47" s="93"/>
      <c r="E47" s="173"/>
      <c r="F47" s="173"/>
    </row>
  </sheetData>
  <mergeCells count="34">
    <mergeCell ref="A1:D1"/>
    <mergeCell ref="B2:C2"/>
    <mergeCell ref="B3:C3"/>
    <mergeCell ref="B4:C4"/>
    <mergeCell ref="B5:C5"/>
    <mergeCell ref="B6:C6"/>
    <mergeCell ref="A7:B7"/>
    <mergeCell ref="B8:D8"/>
    <mergeCell ref="E22:F22"/>
    <mergeCell ref="E23:F23"/>
    <mergeCell ref="E24:F24"/>
    <mergeCell ref="E25:F25"/>
    <mergeCell ref="E26:F26"/>
    <mergeCell ref="E27:F27"/>
    <mergeCell ref="E28:F28"/>
    <mergeCell ref="E29:F29"/>
    <mergeCell ref="E30:F30"/>
    <mergeCell ref="E31:F31"/>
    <mergeCell ref="E32:F32"/>
    <mergeCell ref="E33:F33"/>
    <mergeCell ref="E34:F34"/>
    <mergeCell ref="E35:F35"/>
    <mergeCell ref="E36:F36"/>
    <mergeCell ref="E37:F37"/>
    <mergeCell ref="E38:F38"/>
    <mergeCell ref="E44:F44"/>
    <mergeCell ref="E45:F45"/>
    <mergeCell ref="E46:F46"/>
    <mergeCell ref="E47:F47"/>
    <mergeCell ref="E39:F39"/>
    <mergeCell ref="E40:F40"/>
    <mergeCell ref="E41:F41"/>
    <mergeCell ref="E42:F42"/>
    <mergeCell ref="E43:F43"/>
  </mergeCells>
  <dataValidations count="1">
    <dataValidation type="list" allowBlank="1" showInputMessage="1" showErrorMessage="1" sqref="C7" xr:uid="{00000000-0002-0000-0500-000000000000}">
      <formula1>Yes_No</formula1>
      <formula2>0</formula2>
    </dataValidation>
  </dataValidations>
  <pageMargins left="0.7" right="0.7" top="0.75" bottom="0.75" header="0.51180555555555496" footer="0.51180555555555496"/>
  <pageSetup paperSize="9" firstPageNumber="0" fitToHeight="0" orientation="landscape" horizontalDpi="300" verticalDpi="300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sheetPr>
    <tabColor rgb="FF92D050"/>
    <pageSetUpPr fitToPage="1"/>
  </sheetPr>
  <dimension ref="A1:AMJ47"/>
  <sheetViews>
    <sheetView zoomScale="80" zoomScaleNormal="80" workbookViewId="0">
      <selection activeCell="G27" sqref="G27"/>
    </sheetView>
  </sheetViews>
  <sheetFormatPr defaultColWidth="9.140625" defaultRowHeight="15" x14ac:dyDescent="0.25"/>
  <cols>
    <col min="1" max="1" width="23.5703125" style="2" customWidth="1"/>
    <col min="2" max="2" width="16.5703125" style="2" customWidth="1"/>
    <col min="3" max="3" width="20.42578125" style="2" customWidth="1"/>
    <col min="4" max="4" width="27" style="2" customWidth="1"/>
    <col min="5" max="5" width="18.5703125" style="2" customWidth="1"/>
    <col min="6" max="6" width="20.42578125" style="2" customWidth="1"/>
    <col min="7" max="7" width="18.5703125" style="2" customWidth="1"/>
    <col min="8" max="8" width="36.5703125" style="2" customWidth="1"/>
    <col min="9" max="1024" width="9.140625" style="2"/>
  </cols>
  <sheetData>
    <row r="1" spans="1:9" ht="33.75" x14ac:dyDescent="0.5">
      <c r="A1" s="167" t="s">
        <v>119</v>
      </c>
      <c r="B1" s="167"/>
      <c r="C1" s="167"/>
      <c r="D1" s="167"/>
    </row>
    <row r="2" spans="1:9" x14ac:dyDescent="0.25">
      <c r="A2" s="59" t="s">
        <v>38</v>
      </c>
      <c r="B2" s="168" t="str">
        <f>CONCATENATE(ExpID,"-",StnNum,"-",StnDay)</f>
        <v>AO2023-I-4-1</v>
      </c>
      <c r="C2" s="168"/>
      <c r="D2" s="60"/>
    </row>
    <row r="3" spans="1:9" x14ac:dyDescent="0.25">
      <c r="A3" s="61" t="s">
        <v>39</v>
      </c>
      <c r="B3" s="162" t="s">
        <v>106</v>
      </c>
      <c r="C3" s="162"/>
      <c r="D3" s="62"/>
    </row>
    <row r="4" spans="1:9" x14ac:dyDescent="0.25">
      <c r="A4" s="61" t="s">
        <v>41</v>
      </c>
      <c r="B4" s="163" t="str">
        <f>ObsDate</f>
        <v>15.06.2023</v>
      </c>
      <c r="C4" s="163"/>
      <c r="D4" s="62"/>
    </row>
    <row r="5" spans="1:9" x14ac:dyDescent="0.25">
      <c r="A5" s="63" t="s">
        <v>42</v>
      </c>
      <c r="B5" s="164"/>
      <c r="C5" s="164"/>
      <c r="D5" s="62"/>
    </row>
    <row r="6" spans="1:9" x14ac:dyDescent="0.25">
      <c r="A6" s="63" t="s">
        <v>6</v>
      </c>
      <c r="B6" s="157" t="s">
        <v>43</v>
      </c>
      <c r="C6" s="157"/>
      <c r="D6" s="62"/>
    </row>
    <row r="7" spans="1:9" x14ac:dyDescent="0.25">
      <c r="A7" s="165" t="s">
        <v>89</v>
      </c>
      <c r="B7" s="165"/>
      <c r="C7" s="64" t="s">
        <v>114</v>
      </c>
      <c r="D7" s="62"/>
      <c r="E7" s="65"/>
      <c r="F7" s="47"/>
      <c r="G7" s="47"/>
      <c r="H7" s="66"/>
      <c r="I7" s="67"/>
    </row>
    <row r="8" spans="1:9" ht="30" customHeight="1" x14ac:dyDescent="0.25">
      <c r="A8" s="68" t="s">
        <v>44</v>
      </c>
      <c r="B8" s="166" t="s">
        <v>120</v>
      </c>
      <c r="C8" s="166"/>
      <c r="D8" s="166"/>
    </row>
    <row r="10" spans="1:9" x14ac:dyDescent="0.25">
      <c r="A10" s="5" t="s">
        <v>92</v>
      </c>
      <c r="D10" s="5" t="s">
        <v>46</v>
      </c>
    </row>
    <row r="11" spans="1:9" x14ac:dyDescent="0.25">
      <c r="A11" s="6" t="s">
        <v>93</v>
      </c>
      <c r="B11" s="69"/>
      <c r="D11" s="6" t="s">
        <v>47</v>
      </c>
      <c r="E11" s="70"/>
    </row>
    <row r="12" spans="1:9" x14ac:dyDescent="0.25">
      <c r="A12" s="8" t="s">
        <v>94</v>
      </c>
      <c r="B12" s="71"/>
      <c r="D12" s="8" t="s">
        <v>49</v>
      </c>
      <c r="E12" s="72">
        <v>109</v>
      </c>
    </row>
    <row r="13" spans="1:9" x14ac:dyDescent="0.25">
      <c r="A13" s="8" t="s">
        <v>95</v>
      </c>
      <c r="B13" s="71"/>
      <c r="D13" s="8" t="s">
        <v>51</v>
      </c>
      <c r="E13" s="72">
        <v>99</v>
      </c>
    </row>
    <row r="14" spans="1:9" x14ac:dyDescent="0.25">
      <c r="A14" s="9" t="s">
        <v>96</v>
      </c>
      <c r="B14" s="73"/>
      <c r="D14" s="8" t="s">
        <v>53</v>
      </c>
      <c r="E14" s="72"/>
    </row>
    <row r="15" spans="1:9" x14ac:dyDescent="0.25">
      <c r="D15" s="8" t="s">
        <v>54</v>
      </c>
      <c r="E15" s="72"/>
    </row>
    <row r="16" spans="1:9" x14ac:dyDescent="0.25">
      <c r="D16" s="9" t="s">
        <v>55</v>
      </c>
      <c r="E16" s="74">
        <v>5</v>
      </c>
    </row>
    <row r="18" spans="1:6" x14ac:dyDescent="0.25">
      <c r="A18" s="6" t="s">
        <v>48</v>
      </c>
      <c r="B18" s="75">
        <v>113</v>
      </c>
      <c r="C18" s="76"/>
      <c r="D18" s="77"/>
    </row>
    <row r="19" spans="1:6" x14ac:dyDescent="0.25">
      <c r="A19" s="8" t="s">
        <v>50</v>
      </c>
      <c r="B19" s="78"/>
      <c r="C19" s="14"/>
      <c r="D19" s="79"/>
    </row>
    <row r="20" spans="1:6" x14ac:dyDescent="0.25">
      <c r="A20" s="9" t="s">
        <v>52</v>
      </c>
      <c r="B20" s="80"/>
      <c r="C20" s="80"/>
      <c r="D20" s="81">
        <v>113</v>
      </c>
    </row>
    <row r="22" spans="1:6" x14ac:dyDescent="0.25">
      <c r="A22" s="82" t="s">
        <v>65</v>
      </c>
      <c r="B22" s="84" t="s">
        <v>99</v>
      </c>
      <c r="C22" s="84" t="s">
        <v>100</v>
      </c>
      <c r="D22" s="84" t="s">
        <v>101</v>
      </c>
      <c r="E22" s="174" t="s">
        <v>13</v>
      </c>
      <c r="F22" s="174"/>
    </row>
    <row r="23" spans="1:6" ht="14.45" customHeight="1" x14ac:dyDescent="0.25">
      <c r="A23" s="87">
        <v>1</v>
      </c>
      <c r="B23" s="88">
        <v>0</v>
      </c>
      <c r="C23" s="88">
        <v>20</v>
      </c>
      <c r="D23" s="88">
        <v>20</v>
      </c>
      <c r="E23" s="175" t="s">
        <v>118</v>
      </c>
      <c r="F23" s="175"/>
    </row>
    <row r="24" spans="1:6" x14ac:dyDescent="0.25">
      <c r="A24" s="92">
        <v>2</v>
      </c>
      <c r="B24" s="93">
        <v>20</v>
      </c>
      <c r="C24" s="93">
        <v>113</v>
      </c>
      <c r="D24" s="93">
        <v>93</v>
      </c>
      <c r="E24" s="173"/>
      <c r="F24" s="173"/>
    </row>
    <row r="25" spans="1:6" x14ac:dyDescent="0.25">
      <c r="A25" s="92"/>
      <c r="B25" s="93"/>
      <c r="C25" s="93"/>
      <c r="D25" s="93"/>
      <c r="E25" s="173"/>
      <c r="F25" s="173"/>
    </row>
    <row r="26" spans="1:6" x14ac:dyDescent="0.25">
      <c r="A26" s="92"/>
      <c r="B26" s="93"/>
      <c r="C26" s="93"/>
      <c r="D26" s="93"/>
      <c r="E26" s="173"/>
      <c r="F26" s="173"/>
    </row>
    <row r="27" spans="1:6" x14ac:dyDescent="0.25">
      <c r="A27" s="92"/>
      <c r="B27" s="93"/>
      <c r="C27" s="93"/>
      <c r="D27" s="93"/>
      <c r="E27" s="173"/>
      <c r="F27" s="173"/>
    </row>
    <row r="28" spans="1:6" x14ac:dyDescent="0.25">
      <c r="A28" s="92"/>
      <c r="B28" s="93"/>
      <c r="C28" s="93"/>
      <c r="D28" s="93"/>
      <c r="E28" s="173"/>
      <c r="F28" s="173"/>
    </row>
    <row r="29" spans="1:6" x14ac:dyDescent="0.25">
      <c r="A29" s="92"/>
      <c r="B29" s="93"/>
      <c r="C29" s="93"/>
      <c r="D29" s="93"/>
      <c r="E29" s="173"/>
      <c r="F29" s="173"/>
    </row>
    <row r="30" spans="1:6" x14ac:dyDescent="0.25">
      <c r="A30" s="92"/>
      <c r="B30" s="93"/>
      <c r="C30" s="93"/>
      <c r="D30" s="93"/>
      <c r="E30" s="173"/>
      <c r="F30" s="173"/>
    </row>
    <row r="31" spans="1:6" x14ac:dyDescent="0.25">
      <c r="A31" s="92"/>
      <c r="B31" s="93"/>
      <c r="C31" s="93"/>
      <c r="D31" s="93"/>
      <c r="E31" s="173"/>
      <c r="F31" s="173"/>
    </row>
    <row r="32" spans="1:6" x14ac:dyDescent="0.25">
      <c r="A32" s="92"/>
      <c r="B32" s="93"/>
      <c r="C32" s="93"/>
      <c r="D32" s="93"/>
      <c r="E32" s="173"/>
      <c r="F32" s="173"/>
    </row>
    <row r="33" spans="1:6" x14ac:dyDescent="0.25">
      <c r="A33" s="92"/>
      <c r="B33" s="93"/>
      <c r="C33" s="93"/>
      <c r="D33" s="93"/>
      <c r="E33" s="173"/>
      <c r="F33" s="173"/>
    </row>
    <row r="34" spans="1:6" x14ac:dyDescent="0.25">
      <c r="A34" s="92"/>
      <c r="B34" s="93"/>
      <c r="C34" s="93"/>
      <c r="D34" s="93"/>
      <c r="E34" s="173"/>
      <c r="F34" s="173"/>
    </row>
    <row r="35" spans="1:6" x14ac:dyDescent="0.25">
      <c r="A35" s="92"/>
      <c r="B35" s="93"/>
      <c r="C35" s="93"/>
      <c r="D35" s="93"/>
      <c r="E35" s="173"/>
      <c r="F35" s="173"/>
    </row>
    <row r="36" spans="1:6" x14ac:dyDescent="0.25">
      <c r="A36" s="92"/>
      <c r="B36" s="93"/>
      <c r="C36" s="93"/>
      <c r="D36" s="93"/>
      <c r="E36" s="173"/>
      <c r="F36" s="173"/>
    </row>
    <row r="37" spans="1:6" x14ac:dyDescent="0.25">
      <c r="A37" s="92"/>
      <c r="B37" s="93"/>
      <c r="C37" s="93"/>
      <c r="D37" s="93"/>
      <c r="E37" s="173"/>
      <c r="F37" s="173"/>
    </row>
    <row r="38" spans="1:6" x14ac:dyDescent="0.25">
      <c r="A38" s="92"/>
      <c r="B38" s="93"/>
      <c r="C38" s="93"/>
      <c r="D38" s="93"/>
      <c r="E38" s="173"/>
      <c r="F38" s="173"/>
    </row>
    <row r="39" spans="1:6" x14ac:dyDescent="0.25">
      <c r="A39" s="92"/>
      <c r="B39" s="93"/>
      <c r="C39" s="93"/>
      <c r="D39" s="93"/>
      <c r="E39" s="173"/>
      <c r="F39" s="173"/>
    </row>
    <row r="40" spans="1:6" x14ac:dyDescent="0.25">
      <c r="A40" s="92"/>
      <c r="B40" s="93"/>
      <c r="C40" s="93"/>
      <c r="D40" s="93"/>
      <c r="E40" s="173"/>
      <c r="F40" s="173"/>
    </row>
    <row r="41" spans="1:6" x14ac:dyDescent="0.25">
      <c r="A41" s="92"/>
      <c r="B41" s="93"/>
      <c r="C41" s="93"/>
      <c r="D41" s="93"/>
      <c r="E41" s="173"/>
      <c r="F41" s="173"/>
    </row>
    <row r="42" spans="1:6" x14ac:dyDescent="0.25">
      <c r="A42" s="92"/>
      <c r="B42" s="93"/>
      <c r="C42" s="93"/>
      <c r="D42" s="93"/>
      <c r="E42" s="173"/>
      <c r="F42" s="173"/>
    </row>
    <row r="43" spans="1:6" x14ac:dyDescent="0.25">
      <c r="A43" s="92"/>
      <c r="B43" s="93"/>
      <c r="C43" s="93"/>
      <c r="D43" s="93"/>
      <c r="E43" s="173"/>
      <c r="F43" s="173"/>
    </row>
    <row r="44" spans="1:6" x14ac:dyDescent="0.25">
      <c r="A44" s="92"/>
      <c r="B44" s="93"/>
      <c r="C44" s="93"/>
      <c r="D44" s="93"/>
      <c r="E44" s="173"/>
      <c r="F44" s="173"/>
    </row>
    <row r="45" spans="1:6" x14ac:dyDescent="0.25">
      <c r="A45" s="92"/>
      <c r="B45" s="93"/>
      <c r="C45" s="93"/>
      <c r="D45" s="93"/>
      <c r="E45" s="173"/>
      <c r="F45" s="173"/>
    </row>
    <row r="46" spans="1:6" x14ac:dyDescent="0.25">
      <c r="A46" s="92"/>
      <c r="B46" s="93"/>
      <c r="C46" s="93"/>
      <c r="D46" s="93"/>
      <c r="E46" s="173"/>
      <c r="F46" s="173"/>
    </row>
    <row r="47" spans="1:6" x14ac:dyDescent="0.25">
      <c r="A47" s="92"/>
      <c r="B47" s="93"/>
      <c r="C47" s="93"/>
      <c r="D47" s="93"/>
      <c r="E47" s="173"/>
      <c r="F47" s="173"/>
    </row>
  </sheetData>
  <mergeCells count="34">
    <mergeCell ref="A1:D1"/>
    <mergeCell ref="B2:C2"/>
    <mergeCell ref="B3:C3"/>
    <mergeCell ref="B4:C4"/>
    <mergeCell ref="B5:C5"/>
    <mergeCell ref="B6:C6"/>
    <mergeCell ref="A7:B7"/>
    <mergeCell ref="B8:D8"/>
    <mergeCell ref="E22:F22"/>
    <mergeCell ref="E23:F23"/>
    <mergeCell ref="E24:F24"/>
    <mergeCell ref="E25:F25"/>
    <mergeCell ref="E26:F26"/>
    <mergeCell ref="E27:F27"/>
    <mergeCell ref="E28:F28"/>
    <mergeCell ref="E29:F29"/>
    <mergeCell ref="E30:F30"/>
    <mergeCell ref="E31:F31"/>
    <mergeCell ref="E32:F32"/>
    <mergeCell ref="E33:F33"/>
    <mergeCell ref="E34:F34"/>
    <mergeCell ref="E35:F35"/>
    <mergeCell ref="E36:F36"/>
    <mergeCell ref="E37:F37"/>
    <mergeCell ref="E38:F38"/>
    <mergeCell ref="E44:F44"/>
    <mergeCell ref="E45:F45"/>
    <mergeCell ref="E46:F46"/>
    <mergeCell ref="E47:F47"/>
    <mergeCell ref="E39:F39"/>
    <mergeCell ref="E40:F40"/>
    <mergeCell ref="E41:F41"/>
    <mergeCell ref="E42:F42"/>
    <mergeCell ref="E43:F43"/>
  </mergeCells>
  <dataValidations count="1">
    <dataValidation type="list" allowBlank="1" showInputMessage="1" showErrorMessage="1" sqref="C7" xr:uid="{00000000-0002-0000-0600-000000000000}">
      <formula1>Yes_No</formula1>
      <formula2>0</formula2>
    </dataValidation>
  </dataValidations>
  <pageMargins left="0.7" right="0.7" top="0.75" bottom="0.75" header="0.51180555555555496" footer="0.51180555555555496"/>
  <pageSetup paperSize="9" firstPageNumber="0" fitToHeight="0" orientation="landscape" horizontalDpi="300" verticalDpi="300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700-000000000000}">
  <sheetPr>
    <tabColor rgb="FF92D050"/>
    <pageSetUpPr fitToPage="1"/>
  </sheetPr>
  <dimension ref="A1:AMJ56"/>
  <sheetViews>
    <sheetView topLeftCell="J1" zoomScale="80" zoomScaleNormal="80" workbookViewId="0">
      <selection activeCell="Y19" sqref="Y19"/>
    </sheetView>
  </sheetViews>
  <sheetFormatPr defaultColWidth="9.140625" defaultRowHeight="15" x14ac:dyDescent="0.25"/>
  <cols>
    <col min="1" max="1" width="24.5703125" style="2" customWidth="1"/>
    <col min="2" max="3" width="15.5703125" style="2" customWidth="1"/>
    <col min="4" max="5" width="13.5703125" style="2" customWidth="1"/>
    <col min="6" max="7" width="15.5703125" style="2" customWidth="1"/>
    <col min="8" max="8" width="13.5703125" style="2" customWidth="1"/>
    <col min="9" max="9" width="36.5703125" style="2" customWidth="1"/>
    <col min="10" max="10" width="9.140625" style="2"/>
    <col min="11" max="11" width="19.140625" style="2" customWidth="1"/>
    <col min="12" max="12" width="15.5703125" style="2" customWidth="1"/>
    <col min="13" max="16" width="12.5703125" style="2" customWidth="1"/>
    <col min="17" max="17" width="9.140625" style="2"/>
    <col min="18" max="19" width="15.5703125" style="2" customWidth="1"/>
    <col min="20" max="1024" width="9.140625" style="2"/>
  </cols>
  <sheetData>
    <row r="1" spans="1:25" ht="31.5" x14ac:dyDescent="0.5">
      <c r="A1" s="160" t="s">
        <v>121</v>
      </c>
      <c r="B1" s="160"/>
      <c r="C1" s="160"/>
      <c r="D1" s="160"/>
    </row>
    <row r="2" spans="1:25" x14ac:dyDescent="0.25">
      <c r="A2" s="43" t="s">
        <v>38</v>
      </c>
      <c r="B2" s="161" t="str">
        <f>CONCATENATE(ExpID,"-",StnNum,"-",StnDay)</f>
        <v>AO2023-I-4-1</v>
      </c>
      <c r="C2" s="161"/>
      <c r="D2" s="44"/>
    </row>
    <row r="3" spans="1:25" x14ac:dyDescent="0.25">
      <c r="A3" s="43" t="s">
        <v>39</v>
      </c>
      <c r="B3" s="162"/>
      <c r="C3" s="162"/>
      <c r="D3" s="45"/>
    </row>
    <row r="4" spans="1:25" x14ac:dyDescent="0.25">
      <c r="A4" s="43" t="s">
        <v>41</v>
      </c>
      <c r="B4" s="163" t="str">
        <f>ObsDate</f>
        <v>15.06.2023</v>
      </c>
      <c r="C4" s="163"/>
      <c r="D4" s="45"/>
    </row>
    <row r="5" spans="1:25" x14ac:dyDescent="0.25">
      <c r="A5" s="46" t="s">
        <v>42</v>
      </c>
      <c r="B5" s="164">
        <v>0.34722222222222227</v>
      </c>
      <c r="C5" s="164"/>
      <c r="D5" s="45"/>
    </row>
    <row r="6" spans="1:25" x14ac:dyDescent="0.25">
      <c r="A6" s="46" t="s">
        <v>6</v>
      </c>
      <c r="B6" s="157" t="s">
        <v>122</v>
      </c>
      <c r="C6" s="157"/>
      <c r="D6" s="45"/>
      <c r="E6" s="47"/>
    </row>
    <row r="7" spans="1:25" ht="30" customHeight="1" x14ac:dyDescent="0.25">
      <c r="A7" s="48" t="s">
        <v>44</v>
      </c>
      <c r="B7" s="158" t="s">
        <v>215</v>
      </c>
      <c r="C7" s="158"/>
      <c r="D7" s="158"/>
    </row>
    <row r="9" spans="1:25" x14ac:dyDescent="0.25">
      <c r="A9" s="5" t="s">
        <v>92</v>
      </c>
      <c r="K9" s="5" t="s">
        <v>123</v>
      </c>
    </row>
    <row r="10" spans="1:25" x14ac:dyDescent="0.25">
      <c r="A10" s="49" t="s">
        <v>93</v>
      </c>
      <c r="B10" s="91">
        <v>-0.1</v>
      </c>
      <c r="K10" s="49" t="s">
        <v>124</v>
      </c>
      <c r="L10" s="117">
        <v>100</v>
      </c>
    </row>
    <row r="11" spans="1:25" x14ac:dyDescent="0.25">
      <c r="A11" s="49" t="s">
        <v>125</v>
      </c>
      <c r="B11" s="91">
        <v>-0.5</v>
      </c>
      <c r="K11" s="49" t="s">
        <v>126</v>
      </c>
      <c r="L11" s="118">
        <v>222</v>
      </c>
    </row>
    <row r="12" spans="1:25" x14ac:dyDescent="0.25">
      <c r="A12" s="49" t="s">
        <v>127</v>
      </c>
      <c r="B12" s="91">
        <v>-0.7</v>
      </c>
    </row>
    <row r="13" spans="1:25" x14ac:dyDescent="0.25">
      <c r="A13" s="49" t="s">
        <v>128</v>
      </c>
      <c r="B13" s="91">
        <v>-1.9</v>
      </c>
    </row>
    <row r="15" spans="1:25" ht="15.75" x14ac:dyDescent="0.25">
      <c r="A15" s="5" t="s">
        <v>129</v>
      </c>
      <c r="B15" s="119" t="s">
        <v>130</v>
      </c>
      <c r="K15" s="5" t="s">
        <v>123</v>
      </c>
      <c r="R15" s="5" t="s">
        <v>131</v>
      </c>
      <c r="U15" s="5" t="s">
        <v>132</v>
      </c>
    </row>
    <row r="16" spans="1:25" s="120" customFormat="1" ht="62.25" x14ac:dyDescent="0.25">
      <c r="A16" s="53" t="s">
        <v>133</v>
      </c>
      <c r="B16" s="53" t="s">
        <v>57</v>
      </c>
      <c r="C16" s="53" t="s">
        <v>58</v>
      </c>
      <c r="D16" s="53" t="s">
        <v>134</v>
      </c>
      <c r="E16" s="53" t="s">
        <v>135</v>
      </c>
      <c r="F16" s="53" t="s">
        <v>136</v>
      </c>
      <c r="G16" s="53" t="s">
        <v>137</v>
      </c>
      <c r="H16" s="53" t="s">
        <v>138</v>
      </c>
      <c r="I16" s="53" t="s">
        <v>13</v>
      </c>
      <c r="K16" s="121" t="s">
        <v>139</v>
      </c>
      <c r="L16" s="121" t="s">
        <v>140</v>
      </c>
      <c r="M16" s="121" t="s">
        <v>141</v>
      </c>
      <c r="N16" s="121" t="s">
        <v>142</v>
      </c>
      <c r="O16" s="121" t="s">
        <v>143</v>
      </c>
      <c r="P16" s="121" t="s">
        <v>144</v>
      </c>
      <c r="Q16" s="122"/>
      <c r="R16" s="121" t="s">
        <v>145</v>
      </c>
      <c r="S16" s="121" t="s">
        <v>146</v>
      </c>
      <c r="U16" s="121" t="s">
        <v>145</v>
      </c>
      <c r="V16" s="121" t="s">
        <v>146</v>
      </c>
      <c r="W16" s="121" t="s">
        <v>147</v>
      </c>
      <c r="X16" s="121" t="s">
        <v>148</v>
      </c>
      <c r="Y16" s="120" t="s">
        <v>216</v>
      </c>
    </row>
    <row r="17" spans="1:25" x14ac:dyDescent="0.25">
      <c r="A17" s="92">
        <v>1</v>
      </c>
      <c r="B17" s="51">
        <v>2.5</v>
      </c>
      <c r="C17" s="51">
        <v>0</v>
      </c>
      <c r="D17" s="25" t="s">
        <v>149</v>
      </c>
      <c r="E17" s="25"/>
      <c r="F17" s="123">
        <v>0.5</v>
      </c>
      <c r="G17" s="123">
        <v>3</v>
      </c>
      <c r="H17" s="25" t="s">
        <v>150</v>
      </c>
      <c r="I17" s="25"/>
      <c r="K17" s="51">
        <v>7.5</v>
      </c>
      <c r="L17" s="51">
        <v>4.5</v>
      </c>
      <c r="M17" s="124">
        <v>252</v>
      </c>
      <c r="N17" s="25"/>
      <c r="O17" s="16">
        <f t="shared" ref="O17:O56" si="0">IF($L$10&gt;0,((M17-$L$11)/$L$10)*1000,0)</f>
        <v>300</v>
      </c>
      <c r="P17" s="25"/>
      <c r="R17" s="51">
        <v>0</v>
      </c>
      <c r="S17" s="57">
        <v>-0.7</v>
      </c>
      <c r="T17" s="120"/>
      <c r="U17" s="51">
        <v>1.5</v>
      </c>
      <c r="V17" s="57">
        <v>14.5</v>
      </c>
      <c r="W17" s="125">
        <v>0.3</v>
      </c>
      <c r="X17" s="126">
        <v>0.82599999999999996</v>
      </c>
      <c r="Y17" s="2" t="s">
        <v>218</v>
      </c>
    </row>
    <row r="18" spans="1:25" x14ac:dyDescent="0.25">
      <c r="A18" s="92">
        <v>2</v>
      </c>
      <c r="B18" s="51">
        <v>7</v>
      </c>
      <c r="C18" s="51">
        <v>2.5</v>
      </c>
      <c r="D18" s="25" t="s">
        <v>149</v>
      </c>
      <c r="E18" s="25"/>
      <c r="F18" s="123">
        <v>0.5</v>
      </c>
      <c r="G18" s="123">
        <v>3</v>
      </c>
      <c r="H18" s="25" t="s">
        <v>151</v>
      </c>
      <c r="I18" s="25"/>
      <c r="K18" s="51"/>
      <c r="L18" s="51"/>
      <c r="M18" s="124"/>
      <c r="N18" s="25"/>
      <c r="O18" s="16">
        <f t="shared" si="0"/>
        <v>-2220</v>
      </c>
      <c r="P18" s="25"/>
      <c r="R18" s="51">
        <v>3</v>
      </c>
      <c r="S18" s="57">
        <v>-1</v>
      </c>
      <c r="T18" s="120"/>
      <c r="U18" s="51">
        <v>4.5</v>
      </c>
      <c r="V18" s="57">
        <v>15.7</v>
      </c>
      <c r="W18" s="125">
        <v>0.1</v>
      </c>
      <c r="X18" s="126">
        <v>0.36799999999999999</v>
      </c>
      <c r="Y18" s="2" t="s">
        <v>219</v>
      </c>
    </row>
    <row r="19" spans="1:25" x14ac:dyDescent="0.25">
      <c r="A19" s="92">
        <v>3</v>
      </c>
      <c r="B19" s="51">
        <v>9</v>
      </c>
      <c r="C19" s="51">
        <v>7</v>
      </c>
      <c r="D19" s="25" t="s">
        <v>152</v>
      </c>
      <c r="E19" s="25"/>
      <c r="F19" s="123">
        <v>0.2</v>
      </c>
      <c r="G19" s="123">
        <v>0.8</v>
      </c>
      <c r="H19" s="25" t="s">
        <v>153</v>
      </c>
      <c r="I19" s="25"/>
      <c r="K19" s="51"/>
      <c r="L19" s="51"/>
      <c r="M19" s="124"/>
      <c r="N19" s="25"/>
      <c r="O19" s="16">
        <f t="shared" si="0"/>
        <v>-2220</v>
      </c>
      <c r="P19" s="25"/>
      <c r="R19" s="51">
        <v>6</v>
      </c>
      <c r="S19" s="57">
        <v>-0.9</v>
      </c>
      <c r="T19" s="120"/>
      <c r="U19" s="51">
        <v>7.5</v>
      </c>
      <c r="V19" s="57">
        <v>15.4</v>
      </c>
      <c r="W19" s="125">
        <v>0</v>
      </c>
      <c r="X19" s="126">
        <v>0.311</v>
      </c>
      <c r="Y19" s="2" t="s">
        <v>220</v>
      </c>
    </row>
    <row r="20" spans="1:25" x14ac:dyDescent="0.25">
      <c r="A20" s="92"/>
      <c r="B20" s="51"/>
      <c r="C20" s="51"/>
      <c r="D20" s="25"/>
      <c r="E20" s="25"/>
      <c r="F20" s="123"/>
      <c r="G20" s="123"/>
      <c r="H20" s="25"/>
      <c r="I20" s="25"/>
      <c r="K20" s="51"/>
      <c r="L20" s="51"/>
      <c r="M20" s="124"/>
      <c r="N20" s="25"/>
      <c r="O20" s="16">
        <f t="shared" si="0"/>
        <v>-2220</v>
      </c>
      <c r="P20" s="25"/>
      <c r="R20" s="51">
        <v>8.5</v>
      </c>
      <c r="S20" s="57">
        <v>-0.8</v>
      </c>
      <c r="T20" s="120"/>
      <c r="U20" s="51"/>
      <c r="V20" s="57"/>
      <c r="W20" s="125"/>
      <c r="X20" s="126"/>
    </row>
    <row r="21" spans="1:25" x14ac:dyDescent="0.25">
      <c r="A21" s="92"/>
      <c r="B21" s="51"/>
      <c r="C21" s="51"/>
      <c r="D21" s="25"/>
      <c r="E21" s="25"/>
      <c r="F21" s="123"/>
      <c r="G21" s="123"/>
      <c r="H21" s="25"/>
      <c r="I21" s="25"/>
      <c r="K21" s="51"/>
      <c r="L21" s="51"/>
      <c r="M21" s="124"/>
      <c r="N21" s="25"/>
      <c r="O21" s="16">
        <f t="shared" si="0"/>
        <v>-2220</v>
      </c>
      <c r="P21" s="25"/>
      <c r="R21" s="51"/>
      <c r="S21" s="57"/>
      <c r="T21" s="120"/>
      <c r="U21" s="51"/>
      <c r="V21" s="57"/>
      <c r="W21" s="125"/>
      <c r="X21" s="126"/>
    </row>
    <row r="22" spans="1:25" x14ac:dyDescent="0.25">
      <c r="A22" s="92"/>
      <c r="B22" s="51"/>
      <c r="C22" s="51"/>
      <c r="D22" s="25"/>
      <c r="E22" s="25"/>
      <c r="F22" s="123"/>
      <c r="G22" s="123"/>
      <c r="H22" s="25"/>
      <c r="I22" s="25"/>
      <c r="K22" s="51"/>
      <c r="L22" s="51"/>
      <c r="M22" s="124"/>
      <c r="N22" s="25"/>
      <c r="O22" s="16">
        <f t="shared" si="0"/>
        <v>-2220</v>
      </c>
      <c r="P22" s="25"/>
      <c r="R22" s="51"/>
      <c r="S22" s="57"/>
      <c r="T22" s="120"/>
      <c r="U22" s="51"/>
      <c r="V22" s="57"/>
      <c r="W22" s="125"/>
      <c r="X22" s="126"/>
    </row>
    <row r="23" spans="1:25" x14ac:dyDescent="0.25">
      <c r="A23" s="92"/>
      <c r="B23" s="51"/>
      <c r="C23" s="51"/>
      <c r="D23" s="25"/>
      <c r="E23" s="25"/>
      <c r="F23" s="123"/>
      <c r="G23" s="123"/>
      <c r="H23" s="25"/>
      <c r="I23" s="25"/>
      <c r="K23" s="51"/>
      <c r="L23" s="51"/>
      <c r="M23" s="124"/>
      <c r="N23" s="25"/>
      <c r="O23" s="16">
        <f t="shared" si="0"/>
        <v>-2220</v>
      </c>
      <c r="P23" s="25"/>
      <c r="R23" s="51"/>
      <c r="S23" s="57"/>
      <c r="T23" s="120"/>
      <c r="U23" s="51"/>
      <c r="V23" s="57"/>
      <c r="W23" s="125"/>
      <c r="X23" s="126"/>
    </row>
    <row r="24" spans="1:25" x14ac:dyDescent="0.25">
      <c r="A24" s="92"/>
      <c r="B24" s="51"/>
      <c r="C24" s="51"/>
      <c r="D24" s="25"/>
      <c r="E24" s="25"/>
      <c r="F24" s="123"/>
      <c r="G24" s="123"/>
      <c r="H24" s="25"/>
      <c r="I24" s="25"/>
      <c r="K24" s="51"/>
      <c r="L24" s="51"/>
      <c r="M24" s="124"/>
      <c r="N24" s="25"/>
      <c r="O24" s="16">
        <f t="shared" si="0"/>
        <v>-2220</v>
      </c>
      <c r="P24" s="25"/>
      <c r="R24" s="51"/>
      <c r="S24" s="57"/>
      <c r="T24" s="120"/>
      <c r="U24" s="51"/>
      <c r="V24" s="57"/>
      <c r="W24" s="125"/>
      <c r="X24" s="126"/>
    </row>
    <row r="25" spans="1:25" x14ac:dyDescent="0.25">
      <c r="A25" s="92"/>
      <c r="B25" s="51"/>
      <c r="C25" s="51"/>
      <c r="D25" s="25"/>
      <c r="E25" s="25"/>
      <c r="F25" s="123"/>
      <c r="G25" s="123"/>
      <c r="H25" s="25"/>
      <c r="I25" s="25"/>
      <c r="K25" s="51"/>
      <c r="L25" s="51"/>
      <c r="M25" s="124"/>
      <c r="N25" s="25"/>
      <c r="O25" s="16">
        <f t="shared" si="0"/>
        <v>-2220</v>
      </c>
      <c r="P25" s="25"/>
      <c r="R25" s="51"/>
      <c r="S25" s="57"/>
      <c r="T25" s="120"/>
      <c r="U25" s="51"/>
      <c r="V25" s="57"/>
      <c r="W25" s="125"/>
      <c r="X25" s="126"/>
    </row>
    <row r="26" spans="1:25" x14ac:dyDescent="0.25">
      <c r="A26" s="92"/>
      <c r="B26" s="51"/>
      <c r="C26" s="51"/>
      <c r="D26" s="25"/>
      <c r="E26" s="25"/>
      <c r="F26" s="123"/>
      <c r="G26" s="123"/>
      <c r="H26" s="25"/>
      <c r="I26" s="25"/>
      <c r="K26" s="51"/>
      <c r="L26" s="51"/>
      <c r="M26" s="124"/>
      <c r="N26" s="25"/>
      <c r="O26" s="16">
        <f t="shared" si="0"/>
        <v>-2220</v>
      </c>
      <c r="P26" s="25"/>
      <c r="R26" s="51"/>
      <c r="S26" s="57"/>
      <c r="T26" s="120"/>
      <c r="U26" s="51"/>
      <c r="V26" s="57"/>
      <c r="W26" s="57"/>
      <c r="X26" s="126"/>
    </row>
    <row r="27" spans="1:25" x14ac:dyDescent="0.25">
      <c r="A27" s="92"/>
      <c r="B27" s="51"/>
      <c r="C27" s="51"/>
      <c r="D27" s="25"/>
      <c r="E27" s="25"/>
      <c r="F27" s="123"/>
      <c r="G27" s="123"/>
      <c r="H27" s="25"/>
      <c r="I27" s="25"/>
      <c r="K27" s="51"/>
      <c r="L27" s="51"/>
      <c r="M27" s="124"/>
      <c r="N27" s="25"/>
      <c r="O27" s="16">
        <f t="shared" si="0"/>
        <v>-2220</v>
      </c>
      <c r="P27" s="25"/>
      <c r="R27" s="51"/>
      <c r="S27" s="57"/>
      <c r="T27" s="120"/>
      <c r="U27" s="51"/>
      <c r="V27" s="57"/>
      <c r="W27" s="57"/>
      <c r="X27" s="126"/>
    </row>
    <row r="28" spans="1:25" x14ac:dyDescent="0.25">
      <c r="A28" s="92"/>
      <c r="B28" s="51"/>
      <c r="C28" s="51"/>
      <c r="D28" s="25"/>
      <c r="E28" s="25"/>
      <c r="F28" s="123"/>
      <c r="G28" s="123"/>
      <c r="H28" s="25"/>
      <c r="I28" s="25"/>
      <c r="K28" s="51"/>
      <c r="L28" s="51"/>
      <c r="M28" s="124"/>
      <c r="N28" s="25"/>
      <c r="O28" s="16">
        <f t="shared" si="0"/>
        <v>-2220</v>
      </c>
      <c r="P28" s="25"/>
      <c r="R28" s="51"/>
      <c r="S28" s="57"/>
      <c r="T28" s="120"/>
      <c r="U28" s="51"/>
      <c r="V28" s="57"/>
      <c r="W28" s="57"/>
      <c r="X28" s="126"/>
    </row>
    <row r="29" spans="1:25" x14ac:dyDescent="0.25">
      <c r="A29" s="92"/>
      <c r="B29" s="51"/>
      <c r="C29" s="51"/>
      <c r="D29" s="25"/>
      <c r="E29" s="25"/>
      <c r="F29" s="123"/>
      <c r="G29" s="123"/>
      <c r="H29" s="25"/>
      <c r="I29" s="25"/>
      <c r="K29" s="51"/>
      <c r="L29" s="51"/>
      <c r="M29" s="124"/>
      <c r="N29" s="25"/>
      <c r="O29" s="16">
        <f t="shared" si="0"/>
        <v>-2220</v>
      </c>
      <c r="P29" s="25"/>
      <c r="R29" s="51"/>
      <c r="S29" s="57"/>
      <c r="T29" s="120"/>
      <c r="U29" s="51"/>
      <c r="V29" s="57"/>
      <c r="W29" s="57"/>
      <c r="X29" s="126"/>
    </row>
    <row r="30" spans="1:25" x14ac:dyDescent="0.25">
      <c r="A30" s="92"/>
      <c r="B30" s="51"/>
      <c r="C30" s="51"/>
      <c r="D30" s="25"/>
      <c r="E30" s="25"/>
      <c r="F30" s="123"/>
      <c r="G30" s="123"/>
      <c r="H30" s="25"/>
      <c r="I30" s="25"/>
      <c r="K30" s="51"/>
      <c r="L30" s="51"/>
      <c r="M30" s="124"/>
      <c r="N30" s="25"/>
      <c r="O30" s="16">
        <f t="shared" si="0"/>
        <v>-2220</v>
      </c>
      <c r="P30" s="25"/>
      <c r="R30" s="51"/>
      <c r="S30" s="57"/>
      <c r="T30" s="120"/>
    </row>
    <row r="31" spans="1:25" x14ac:dyDescent="0.25">
      <c r="A31" s="92"/>
      <c r="B31" s="51"/>
      <c r="C31" s="51"/>
      <c r="D31" s="25"/>
      <c r="E31" s="25"/>
      <c r="F31" s="123"/>
      <c r="G31" s="123"/>
      <c r="H31" s="25"/>
      <c r="I31" s="25"/>
      <c r="K31" s="51"/>
      <c r="L31" s="51"/>
      <c r="M31" s="124"/>
      <c r="N31" s="25"/>
      <c r="O31" s="16">
        <f t="shared" si="0"/>
        <v>-2220</v>
      </c>
      <c r="P31" s="25"/>
      <c r="R31" s="51"/>
      <c r="S31" s="57"/>
      <c r="T31" s="120"/>
    </row>
    <row r="32" spans="1:25" x14ac:dyDescent="0.25">
      <c r="A32" s="92"/>
      <c r="B32" s="51"/>
      <c r="C32" s="51"/>
      <c r="D32" s="25"/>
      <c r="E32" s="25"/>
      <c r="F32" s="123"/>
      <c r="G32" s="123"/>
      <c r="H32" s="25"/>
      <c r="I32" s="25"/>
      <c r="K32" s="51"/>
      <c r="L32" s="51"/>
      <c r="M32" s="124"/>
      <c r="N32" s="25"/>
      <c r="O32" s="16">
        <f t="shared" si="0"/>
        <v>-2220</v>
      </c>
      <c r="P32" s="25"/>
      <c r="R32" s="51"/>
      <c r="S32" s="57"/>
      <c r="T32" s="120"/>
    </row>
    <row r="33" spans="1:20" x14ac:dyDescent="0.25">
      <c r="A33" s="92"/>
      <c r="B33" s="51"/>
      <c r="C33" s="51"/>
      <c r="D33" s="25"/>
      <c r="E33" s="25"/>
      <c r="F33" s="123"/>
      <c r="G33" s="123"/>
      <c r="H33" s="25"/>
      <c r="I33" s="25"/>
      <c r="K33" s="51"/>
      <c r="L33" s="51"/>
      <c r="M33" s="124"/>
      <c r="N33" s="25"/>
      <c r="O33" s="16">
        <f t="shared" si="0"/>
        <v>-2220</v>
      </c>
      <c r="P33" s="25"/>
      <c r="R33" s="51"/>
      <c r="S33" s="57"/>
      <c r="T33" s="120"/>
    </row>
    <row r="34" spans="1:20" x14ac:dyDescent="0.25">
      <c r="A34" s="92"/>
      <c r="B34" s="51"/>
      <c r="C34" s="51"/>
      <c r="D34" s="25"/>
      <c r="E34" s="25"/>
      <c r="F34" s="123"/>
      <c r="G34" s="123"/>
      <c r="H34" s="25"/>
      <c r="I34" s="25"/>
      <c r="K34" s="51"/>
      <c r="L34" s="51"/>
      <c r="M34" s="124"/>
      <c r="N34" s="25"/>
      <c r="O34" s="16">
        <f t="shared" si="0"/>
        <v>-2220</v>
      </c>
      <c r="P34" s="25"/>
      <c r="R34" s="51"/>
      <c r="S34" s="57"/>
      <c r="T34" s="120"/>
    </row>
    <row r="35" spans="1:20" x14ac:dyDescent="0.25">
      <c r="A35" s="92"/>
      <c r="B35" s="51"/>
      <c r="C35" s="51"/>
      <c r="D35" s="25"/>
      <c r="E35" s="25"/>
      <c r="F35" s="123"/>
      <c r="G35" s="123"/>
      <c r="H35" s="25"/>
      <c r="I35" s="25"/>
      <c r="K35" s="51"/>
      <c r="L35" s="51"/>
      <c r="M35" s="124"/>
      <c r="N35" s="25"/>
      <c r="O35" s="16">
        <f t="shared" si="0"/>
        <v>-2220</v>
      </c>
      <c r="P35" s="25"/>
      <c r="R35" s="51"/>
      <c r="S35" s="57"/>
      <c r="T35" s="120"/>
    </row>
    <row r="36" spans="1:20" x14ac:dyDescent="0.25">
      <c r="A36" s="92"/>
      <c r="B36" s="51"/>
      <c r="C36" s="51"/>
      <c r="D36" s="25"/>
      <c r="E36" s="25"/>
      <c r="F36" s="123"/>
      <c r="G36" s="123"/>
      <c r="H36" s="25"/>
      <c r="I36" s="25"/>
      <c r="K36" s="51"/>
      <c r="L36" s="51"/>
      <c r="M36" s="124"/>
      <c r="N36" s="25"/>
      <c r="O36" s="16">
        <f t="shared" si="0"/>
        <v>-2220</v>
      </c>
      <c r="P36" s="25"/>
      <c r="R36" s="51"/>
      <c r="S36" s="57"/>
      <c r="T36" s="120"/>
    </row>
    <row r="37" spans="1:20" x14ac:dyDescent="0.25">
      <c r="A37" s="92"/>
      <c r="B37" s="51"/>
      <c r="C37" s="51"/>
      <c r="D37" s="25"/>
      <c r="E37" s="25"/>
      <c r="F37" s="123"/>
      <c r="G37" s="123"/>
      <c r="H37" s="25"/>
      <c r="I37" s="25"/>
      <c r="K37" s="51"/>
      <c r="L37" s="51"/>
      <c r="M37" s="124"/>
      <c r="N37" s="25"/>
      <c r="O37" s="16">
        <f t="shared" si="0"/>
        <v>-2220</v>
      </c>
      <c r="P37" s="25"/>
      <c r="R37" s="51"/>
      <c r="S37" s="57"/>
      <c r="T37" s="120"/>
    </row>
    <row r="38" spans="1:20" x14ac:dyDescent="0.25">
      <c r="A38" s="92"/>
      <c r="B38" s="51"/>
      <c r="C38" s="51"/>
      <c r="D38" s="25"/>
      <c r="E38" s="25"/>
      <c r="F38" s="123"/>
      <c r="G38" s="123"/>
      <c r="H38" s="25"/>
      <c r="I38" s="25"/>
      <c r="K38" s="51"/>
      <c r="L38" s="51"/>
      <c r="M38" s="124"/>
      <c r="N38" s="25"/>
      <c r="O38" s="16">
        <f t="shared" si="0"/>
        <v>-2220</v>
      </c>
      <c r="P38" s="25"/>
      <c r="R38" s="51"/>
      <c r="S38" s="57"/>
      <c r="T38" s="120"/>
    </row>
    <row r="39" spans="1:20" x14ac:dyDescent="0.25">
      <c r="A39" s="92"/>
      <c r="B39" s="51"/>
      <c r="C39" s="51"/>
      <c r="D39" s="25"/>
      <c r="E39" s="25"/>
      <c r="F39" s="123"/>
      <c r="G39" s="123"/>
      <c r="H39" s="25"/>
      <c r="I39" s="25"/>
      <c r="K39" s="51"/>
      <c r="L39" s="51"/>
      <c r="M39" s="124"/>
      <c r="N39" s="25"/>
      <c r="O39" s="16">
        <f t="shared" si="0"/>
        <v>-2220</v>
      </c>
      <c r="P39" s="25"/>
      <c r="R39" s="51"/>
      <c r="S39" s="57"/>
    </row>
    <row r="40" spans="1:20" x14ac:dyDescent="0.25">
      <c r="A40" s="92"/>
      <c r="B40" s="51"/>
      <c r="C40" s="51"/>
      <c r="D40" s="25"/>
      <c r="E40" s="25"/>
      <c r="F40" s="123"/>
      <c r="G40" s="123"/>
      <c r="H40" s="25"/>
      <c r="I40" s="25"/>
      <c r="K40" s="51"/>
      <c r="L40" s="51"/>
      <c r="M40" s="124"/>
      <c r="N40" s="25"/>
      <c r="O40" s="16">
        <f t="shared" si="0"/>
        <v>-2220</v>
      </c>
      <c r="P40" s="25"/>
      <c r="R40" s="51"/>
      <c r="S40" s="57"/>
    </row>
    <row r="41" spans="1:20" x14ac:dyDescent="0.25">
      <c r="A41" s="92"/>
      <c r="B41" s="51"/>
      <c r="C41" s="51"/>
      <c r="D41" s="25"/>
      <c r="E41" s="25"/>
      <c r="F41" s="123"/>
      <c r="G41" s="123"/>
      <c r="H41" s="25"/>
      <c r="I41" s="25"/>
      <c r="K41" s="51"/>
      <c r="L41" s="51"/>
      <c r="M41" s="124"/>
      <c r="N41" s="25"/>
      <c r="O41" s="16">
        <f t="shared" si="0"/>
        <v>-2220</v>
      </c>
      <c r="P41" s="25"/>
      <c r="R41" s="51"/>
      <c r="S41" s="57"/>
    </row>
    <row r="42" spans="1:20" x14ac:dyDescent="0.25">
      <c r="A42" s="92"/>
      <c r="B42" s="51"/>
      <c r="C42" s="51"/>
      <c r="D42" s="25"/>
      <c r="E42" s="25"/>
      <c r="F42" s="123"/>
      <c r="G42" s="123"/>
      <c r="H42" s="25"/>
      <c r="I42" s="25"/>
      <c r="K42" s="51"/>
      <c r="L42" s="51"/>
      <c r="M42" s="124"/>
      <c r="N42" s="25"/>
      <c r="O42" s="16">
        <f t="shared" si="0"/>
        <v>-2220</v>
      </c>
      <c r="P42" s="25"/>
      <c r="R42" s="51"/>
      <c r="S42" s="57"/>
    </row>
    <row r="43" spans="1:20" x14ac:dyDescent="0.25">
      <c r="A43" s="92"/>
      <c r="B43" s="51"/>
      <c r="C43" s="51"/>
      <c r="D43" s="25"/>
      <c r="E43" s="25"/>
      <c r="F43" s="123"/>
      <c r="G43" s="123"/>
      <c r="H43" s="25"/>
      <c r="I43" s="25"/>
      <c r="K43" s="51"/>
      <c r="L43" s="51"/>
      <c r="M43" s="124"/>
      <c r="N43" s="25"/>
      <c r="O43" s="16">
        <f t="shared" si="0"/>
        <v>-2220</v>
      </c>
      <c r="P43" s="25"/>
      <c r="R43" s="51"/>
      <c r="S43" s="57"/>
    </row>
    <row r="44" spans="1:20" x14ac:dyDescent="0.25">
      <c r="A44" s="92"/>
      <c r="B44" s="51"/>
      <c r="C44" s="51"/>
      <c r="D44" s="25"/>
      <c r="E44" s="25"/>
      <c r="F44" s="123"/>
      <c r="G44" s="123"/>
      <c r="H44" s="25"/>
      <c r="I44" s="25"/>
      <c r="K44" s="51"/>
      <c r="L44" s="51"/>
      <c r="M44" s="124"/>
      <c r="N44" s="25"/>
      <c r="O44" s="16">
        <f t="shared" si="0"/>
        <v>-2220</v>
      </c>
      <c r="P44" s="25"/>
      <c r="R44" s="51"/>
      <c r="S44" s="57"/>
    </row>
    <row r="45" spans="1:20" x14ac:dyDescent="0.25">
      <c r="A45" s="92"/>
      <c r="B45" s="51"/>
      <c r="C45" s="51"/>
      <c r="D45" s="25"/>
      <c r="E45" s="25"/>
      <c r="F45" s="123"/>
      <c r="G45" s="123"/>
      <c r="H45" s="25"/>
      <c r="I45" s="25"/>
      <c r="K45" s="51"/>
      <c r="L45" s="51"/>
      <c r="M45" s="124"/>
      <c r="N45" s="25"/>
      <c r="O45" s="16">
        <f t="shared" si="0"/>
        <v>-2220</v>
      </c>
      <c r="P45" s="25"/>
      <c r="R45" s="51"/>
      <c r="S45" s="57"/>
    </row>
    <row r="46" spans="1:20" x14ac:dyDescent="0.25">
      <c r="A46" s="92"/>
      <c r="B46" s="51"/>
      <c r="C46" s="51"/>
      <c r="D46" s="25"/>
      <c r="E46" s="25"/>
      <c r="F46" s="123"/>
      <c r="G46" s="123"/>
      <c r="H46" s="25"/>
      <c r="I46" s="25"/>
      <c r="K46" s="51"/>
      <c r="L46" s="51"/>
      <c r="M46" s="124"/>
      <c r="N46" s="25"/>
      <c r="O46" s="16">
        <f t="shared" si="0"/>
        <v>-2220</v>
      </c>
      <c r="P46" s="25"/>
      <c r="R46" s="51"/>
      <c r="S46" s="57"/>
    </row>
    <row r="47" spans="1:20" x14ac:dyDescent="0.25">
      <c r="A47" s="92"/>
      <c r="B47" s="51"/>
      <c r="C47" s="51"/>
      <c r="D47" s="25"/>
      <c r="E47" s="25"/>
      <c r="F47" s="123"/>
      <c r="G47" s="123"/>
      <c r="H47" s="25"/>
      <c r="I47" s="25"/>
      <c r="K47" s="51"/>
      <c r="L47" s="51"/>
      <c r="M47" s="124"/>
      <c r="N47" s="25"/>
      <c r="O47" s="16">
        <f t="shared" si="0"/>
        <v>-2220</v>
      </c>
      <c r="P47" s="25"/>
      <c r="R47" s="51"/>
      <c r="S47" s="57"/>
    </row>
    <row r="48" spans="1:20" x14ac:dyDescent="0.25">
      <c r="A48" s="92"/>
      <c r="B48" s="51"/>
      <c r="C48" s="51"/>
      <c r="D48" s="25"/>
      <c r="E48" s="25"/>
      <c r="F48" s="123"/>
      <c r="G48" s="123"/>
      <c r="H48" s="25"/>
      <c r="I48" s="25"/>
      <c r="K48" s="51"/>
      <c r="L48" s="51"/>
      <c r="M48" s="124"/>
      <c r="N48" s="25"/>
      <c r="O48" s="16">
        <f t="shared" si="0"/>
        <v>-2220</v>
      </c>
      <c r="P48" s="25"/>
      <c r="R48" s="51"/>
      <c r="S48" s="57"/>
    </row>
    <row r="49" spans="1:19" x14ac:dyDescent="0.25">
      <c r="A49" s="92"/>
      <c r="B49" s="51"/>
      <c r="C49" s="51"/>
      <c r="D49" s="25"/>
      <c r="E49" s="25"/>
      <c r="F49" s="123"/>
      <c r="G49" s="123"/>
      <c r="H49" s="25"/>
      <c r="I49" s="25"/>
      <c r="K49" s="51"/>
      <c r="L49" s="51"/>
      <c r="M49" s="124"/>
      <c r="N49" s="25"/>
      <c r="O49" s="16">
        <f t="shared" si="0"/>
        <v>-2220</v>
      </c>
      <c r="P49" s="25"/>
      <c r="R49" s="51"/>
      <c r="S49" s="57"/>
    </row>
    <row r="50" spans="1:19" x14ac:dyDescent="0.25">
      <c r="A50" s="92"/>
      <c r="B50" s="51"/>
      <c r="C50" s="51"/>
      <c r="D50" s="25"/>
      <c r="E50" s="25"/>
      <c r="F50" s="123"/>
      <c r="G50" s="123"/>
      <c r="H50" s="25"/>
      <c r="I50" s="25"/>
      <c r="K50" s="51"/>
      <c r="L50" s="51"/>
      <c r="M50" s="124"/>
      <c r="N50" s="25"/>
      <c r="O50" s="16">
        <f t="shared" si="0"/>
        <v>-2220</v>
      </c>
      <c r="P50" s="25"/>
      <c r="R50" s="51"/>
      <c r="S50" s="57"/>
    </row>
    <row r="51" spans="1:19" x14ac:dyDescent="0.25">
      <c r="A51" s="92"/>
      <c r="B51" s="51"/>
      <c r="C51" s="51"/>
      <c r="D51" s="25"/>
      <c r="E51" s="25"/>
      <c r="F51" s="123"/>
      <c r="G51" s="123"/>
      <c r="H51" s="25"/>
      <c r="I51" s="25"/>
      <c r="K51" s="51"/>
      <c r="L51" s="51"/>
      <c r="M51" s="124"/>
      <c r="N51" s="25"/>
      <c r="O51" s="16">
        <f t="shared" si="0"/>
        <v>-2220</v>
      </c>
      <c r="P51" s="25"/>
      <c r="R51" s="51"/>
      <c r="S51" s="57"/>
    </row>
    <row r="52" spans="1:19" x14ac:dyDescent="0.25">
      <c r="A52" s="92"/>
      <c r="B52" s="51"/>
      <c r="C52" s="51"/>
      <c r="D52" s="25"/>
      <c r="E52" s="25"/>
      <c r="F52" s="123"/>
      <c r="G52" s="123"/>
      <c r="H52" s="25"/>
      <c r="I52" s="25"/>
      <c r="K52" s="51"/>
      <c r="L52" s="51"/>
      <c r="M52" s="124"/>
      <c r="N52" s="25"/>
      <c r="O52" s="16">
        <f t="shared" si="0"/>
        <v>-2220</v>
      </c>
      <c r="P52" s="25"/>
      <c r="R52" s="51"/>
      <c r="S52" s="57"/>
    </row>
    <row r="53" spans="1:19" x14ac:dyDescent="0.25">
      <c r="A53" s="92"/>
      <c r="B53" s="51"/>
      <c r="C53" s="51"/>
      <c r="D53" s="25"/>
      <c r="E53" s="25"/>
      <c r="F53" s="123"/>
      <c r="G53" s="123"/>
      <c r="H53" s="25"/>
      <c r="I53" s="25"/>
      <c r="K53" s="51"/>
      <c r="L53" s="51"/>
      <c r="M53" s="124"/>
      <c r="N53" s="25"/>
      <c r="O53" s="16">
        <f t="shared" si="0"/>
        <v>-2220</v>
      </c>
      <c r="P53" s="25"/>
      <c r="R53" s="51"/>
      <c r="S53" s="57"/>
    </row>
    <row r="54" spans="1:19" x14ac:dyDescent="0.25">
      <c r="A54" s="92"/>
      <c r="B54" s="51"/>
      <c r="C54" s="51"/>
      <c r="D54" s="25"/>
      <c r="E54" s="25"/>
      <c r="F54" s="123"/>
      <c r="G54" s="123"/>
      <c r="H54" s="25"/>
      <c r="I54" s="25"/>
      <c r="K54" s="51"/>
      <c r="L54" s="51"/>
      <c r="M54" s="124"/>
      <c r="N54" s="25"/>
      <c r="O54" s="16">
        <f t="shared" si="0"/>
        <v>-2220</v>
      </c>
      <c r="P54" s="25"/>
      <c r="R54" s="51"/>
      <c r="S54" s="57"/>
    </row>
    <row r="55" spans="1:19" x14ac:dyDescent="0.25">
      <c r="A55" s="92"/>
      <c r="B55" s="51"/>
      <c r="C55" s="51"/>
      <c r="D55" s="25"/>
      <c r="E55" s="25"/>
      <c r="F55" s="123"/>
      <c r="G55" s="123"/>
      <c r="H55" s="25"/>
      <c r="I55" s="25"/>
      <c r="K55" s="51"/>
      <c r="L55" s="51"/>
      <c r="M55" s="124"/>
      <c r="N55" s="25"/>
      <c r="O55" s="16">
        <f t="shared" si="0"/>
        <v>-2220</v>
      </c>
      <c r="P55" s="25"/>
      <c r="R55" s="51"/>
      <c r="S55" s="57"/>
    </row>
    <row r="56" spans="1:19" x14ac:dyDescent="0.25">
      <c r="A56" s="92"/>
      <c r="B56" s="51"/>
      <c r="C56" s="51"/>
      <c r="D56" s="25"/>
      <c r="E56" s="25"/>
      <c r="F56" s="123"/>
      <c r="G56" s="123"/>
      <c r="H56" s="25"/>
      <c r="I56" s="25"/>
      <c r="K56" s="51"/>
      <c r="L56" s="51"/>
      <c r="M56" s="124"/>
      <c r="N56" s="25"/>
      <c r="O56" s="16">
        <f t="shared" si="0"/>
        <v>-2220</v>
      </c>
      <c r="P56" s="25"/>
      <c r="R56" s="51"/>
      <c r="S56" s="57"/>
    </row>
  </sheetData>
  <mergeCells count="7">
    <mergeCell ref="B6:C6"/>
    <mergeCell ref="B7:D7"/>
    <mergeCell ref="A1:D1"/>
    <mergeCell ref="B2:C2"/>
    <mergeCell ref="B3:C3"/>
    <mergeCell ref="B4:C4"/>
    <mergeCell ref="B5:C5"/>
  </mergeCells>
  <dataValidations count="2">
    <dataValidation type="list" allowBlank="1" showInputMessage="1" showErrorMessage="1" sqref="D17:E56" xr:uid="{00000000-0002-0000-0700-000000000000}">
      <formula1>SnowType</formula1>
      <formula2>0</formula2>
    </dataValidation>
    <dataValidation type="list" allowBlank="1" showInputMessage="1" showErrorMessage="1" sqref="H17:H56" xr:uid="{00000000-0002-0000-0700-000001000000}">
      <formula1>SnowHardness</formula1>
      <formula2>0</formula2>
    </dataValidation>
  </dataValidations>
  <pageMargins left="0.7" right="0.7" top="0.75" bottom="0.75" header="0.51180555555555496" footer="0.51180555555555496"/>
  <pageSetup paperSize="9" firstPageNumber="0" fitToHeight="0" orientation="landscape" horizontalDpi="300" verticalDpi="300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C00-000000000000}">
  <sheetPr>
    <tabColor rgb="FF7030A0"/>
    <pageSetUpPr fitToPage="1"/>
  </sheetPr>
  <dimension ref="A1:O27"/>
  <sheetViews>
    <sheetView zoomScaleNormal="100" workbookViewId="0">
      <selection activeCell="F22" sqref="F22"/>
    </sheetView>
  </sheetViews>
  <sheetFormatPr defaultColWidth="8.5703125" defaultRowHeight="15" x14ac:dyDescent="0.25"/>
  <cols>
    <col min="1" max="1" width="22.5703125" customWidth="1"/>
    <col min="2" max="2" width="24.5703125" customWidth="1"/>
    <col min="3" max="3" width="62.42578125" customWidth="1"/>
    <col min="4" max="4" width="14.42578125" customWidth="1"/>
    <col min="5" max="5" width="12.42578125" customWidth="1"/>
    <col min="7" max="15" width="9.140625" style="127" customWidth="1"/>
  </cols>
  <sheetData>
    <row r="1" spans="1:15" s="130" customFormat="1" x14ac:dyDescent="0.25">
      <c r="A1" s="128" t="s">
        <v>154</v>
      </c>
      <c r="B1" s="128" t="s">
        <v>155</v>
      </c>
      <c r="C1" s="128" t="s">
        <v>11</v>
      </c>
      <c r="D1" s="128" t="s">
        <v>156</v>
      </c>
      <c r="E1" s="128" t="s">
        <v>157</v>
      </c>
      <c r="F1" s="128" t="s">
        <v>158</v>
      </c>
      <c r="G1" s="129"/>
      <c r="H1" s="129"/>
      <c r="I1" s="129"/>
      <c r="J1" s="129"/>
      <c r="K1" s="127"/>
      <c r="L1" s="127"/>
      <c r="M1" s="127"/>
      <c r="N1" s="127"/>
      <c r="O1" s="127"/>
    </row>
    <row r="2" spans="1:15" x14ac:dyDescent="0.25">
      <c r="A2" t="s">
        <v>159</v>
      </c>
      <c r="B2" t="s">
        <v>160</v>
      </c>
      <c r="C2" t="s">
        <v>12</v>
      </c>
      <c r="D2" t="s">
        <v>161</v>
      </c>
      <c r="E2" t="s">
        <v>162</v>
      </c>
      <c r="F2" t="s">
        <v>114</v>
      </c>
    </row>
    <row r="3" spans="1:15" x14ac:dyDescent="0.25">
      <c r="A3" t="s">
        <v>163</v>
      </c>
      <c r="B3" t="s">
        <v>164</v>
      </c>
      <c r="C3" t="s">
        <v>165</v>
      </c>
      <c r="D3" t="s">
        <v>151</v>
      </c>
      <c r="E3" t="s">
        <v>152</v>
      </c>
      <c r="F3" t="s">
        <v>90</v>
      </c>
    </row>
    <row r="4" spans="1:15" x14ac:dyDescent="0.25">
      <c r="A4" t="s">
        <v>166</v>
      </c>
      <c r="B4" t="s">
        <v>167</v>
      </c>
      <c r="C4" t="s">
        <v>168</v>
      </c>
      <c r="D4" t="s">
        <v>169</v>
      </c>
      <c r="E4" t="s">
        <v>170</v>
      </c>
    </row>
    <row r="5" spans="1:15" x14ac:dyDescent="0.25">
      <c r="A5" t="s">
        <v>171</v>
      </c>
      <c r="B5" t="s">
        <v>10</v>
      </c>
      <c r="C5" t="s">
        <v>172</v>
      </c>
      <c r="D5" t="s">
        <v>173</v>
      </c>
      <c r="E5" t="s">
        <v>174</v>
      </c>
    </row>
    <row r="6" spans="1:15" x14ac:dyDescent="0.25">
      <c r="A6" t="s">
        <v>175</v>
      </c>
      <c r="C6" t="s">
        <v>176</v>
      </c>
      <c r="D6" t="s">
        <v>153</v>
      </c>
      <c r="E6" t="s">
        <v>177</v>
      </c>
    </row>
    <row r="7" spans="1:15" x14ac:dyDescent="0.25">
      <c r="A7" t="s">
        <v>178</v>
      </c>
      <c r="C7" t="s">
        <v>179</v>
      </c>
      <c r="D7" t="s">
        <v>180</v>
      </c>
      <c r="E7" t="s">
        <v>181</v>
      </c>
    </row>
    <row r="8" spans="1:15" x14ac:dyDescent="0.25">
      <c r="A8" t="s">
        <v>182</v>
      </c>
      <c r="C8" t="s">
        <v>183</v>
      </c>
      <c r="D8" t="s">
        <v>150</v>
      </c>
      <c r="E8" t="s">
        <v>184</v>
      </c>
    </row>
    <row r="9" spans="1:15" x14ac:dyDescent="0.25">
      <c r="A9" t="s">
        <v>185</v>
      </c>
      <c r="C9" t="s">
        <v>186</v>
      </c>
      <c r="D9" t="s">
        <v>187</v>
      </c>
      <c r="E9" t="s">
        <v>188</v>
      </c>
    </row>
    <row r="10" spans="1:15" x14ac:dyDescent="0.25">
      <c r="A10" t="s">
        <v>189</v>
      </c>
      <c r="C10" t="s">
        <v>190</v>
      </c>
      <c r="E10" t="s">
        <v>191</v>
      </c>
    </row>
    <row r="11" spans="1:15" x14ac:dyDescent="0.25">
      <c r="A11" t="s">
        <v>192</v>
      </c>
      <c r="C11" t="s">
        <v>193</v>
      </c>
      <c r="E11" t="s">
        <v>149</v>
      </c>
    </row>
    <row r="12" spans="1:15" x14ac:dyDescent="0.25">
      <c r="A12" t="s">
        <v>194</v>
      </c>
      <c r="C12" t="s">
        <v>195</v>
      </c>
      <c r="E12" t="s">
        <v>196</v>
      </c>
    </row>
    <row r="13" spans="1:15" x14ac:dyDescent="0.25">
      <c r="A13" t="s">
        <v>197</v>
      </c>
      <c r="C13" t="s">
        <v>198</v>
      </c>
      <c r="E13" t="s">
        <v>199</v>
      </c>
    </row>
    <row r="14" spans="1:15" x14ac:dyDescent="0.25">
      <c r="A14" s="130" t="s">
        <v>32</v>
      </c>
      <c r="C14" t="s">
        <v>200</v>
      </c>
    </row>
    <row r="15" spans="1:15" x14ac:dyDescent="0.25">
      <c r="A15" s="130" t="s">
        <v>201</v>
      </c>
      <c r="C15" t="s">
        <v>202</v>
      </c>
    </row>
    <row r="16" spans="1:15" x14ac:dyDescent="0.25">
      <c r="A16" s="130" t="s">
        <v>203</v>
      </c>
      <c r="C16" t="s">
        <v>204</v>
      </c>
    </row>
    <row r="17" spans="1:6" x14ac:dyDescent="0.25">
      <c r="A17" t="s">
        <v>205</v>
      </c>
    </row>
    <row r="18" spans="1:6" x14ac:dyDescent="0.25">
      <c r="A18" t="s">
        <v>206</v>
      </c>
    </row>
    <row r="19" spans="1:6" x14ac:dyDescent="0.25">
      <c r="A19" t="s">
        <v>207</v>
      </c>
    </row>
    <row r="20" spans="1:6" x14ac:dyDescent="0.25">
      <c r="A20" t="s">
        <v>208</v>
      </c>
    </row>
    <row r="21" spans="1:6" x14ac:dyDescent="0.25">
      <c r="A21" t="s">
        <v>209</v>
      </c>
    </row>
    <row r="22" spans="1:6" x14ac:dyDescent="0.25">
      <c r="A22" t="s">
        <v>210</v>
      </c>
    </row>
    <row r="23" spans="1:6" x14ac:dyDescent="0.25">
      <c r="A23" t="s">
        <v>211</v>
      </c>
    </row>
    <row r="24" spans="1:6" x14ac:dyDescent="0.25">
      <c r="A24" t="s">
        <v>212</v>
      </c>
    </row>
    <row r="25" spans="1:6" x14ac:dyDescent="0.25">
      <c r="A25" t="s">
        <v>213</v>
      </c>
    </row>
    <row r="26" spans="1:6" x14ac:dyDescent="0.25">
      <c r="A26" t="s">
        <v>214</v>
      </c>
    </row>
    <row r="27" spans="1:6" x14ac:dyDescent="0.25">
      <c r="F27" s="127"/>
    </row>
  </sheetData>
  <pageMargins left="0.7" right="0.7" top="0.75" bottom="0.75" header="0.51180555555555496" footer="0.51180555555555496"/>
  <pageSetup paperSize="9" firstPageNumber="0" orientation="landscape" horizontalDpi="300" verticalDpi="300"/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9</vt:i4>
      </vt:variant>
      <vt:variant>
        <vt:lpstr>Named Ranges</vt:lpstr>
      </vt:variant>
      <vt:variant>
        <vt:i4>19</vt:i4>
      </vt:variant>
    </vt:vector>
  </HeadingPairs>
  <TitlesOfParts>
    <vt:vector size="28" baseType="lpstr">
      <vt:lpstr>Station Overview</vt:lpstr>
      <vt:lpstr>Salinity Core</vt:lpstr>
      <vt:lpstr>Temperature Core</vt:lpstr>
      <vt:lpstr>Density Core</vt:lpstr>
      <vt:lpstr>Chemistry core</vt:lpstr>
      <vt:lpstr>Archive Core</vt:lpstr>
      <vt:lpstr>Backup core</vt:lpstr>
      <vt:lpstr>Snow Pit</vt:lpstr>
      <vt:lpstr>Lists</vt:lpstr>
      <vt:lpstr>asdfasdf</vt:lpstr>
      <vt:lpstr>ExpID</vt:lpstr>
      <vt:lpstr>GeneralConditions</vt:lpstr>
      <vt:lpstr>ObsDate</vt:lpstr>
      <vt:lpstr>'Archive Core'!Print_Area</vt:lpstr>
      <vt:lpstr>'Backup core'!Print_Area</vt:lpstr>
      <vt:lpstr>'Chemistry core'!Print_Area</vt:lpstr>
      <vt:lpstr>'Density Core'!Print_Area</vt:lpstr>
      <vt:lpstr>'Salinity Core'!Print_Area</vt:lpstr>
      <vt:lpstr>'Snow Pit'!Print_Area</vt:lpstr>
      <vt:lpstr>'Station Overview'!Print_Area</vt:lpstr>
      <vt:lpstr>'Temperature Core'!Print_Area</vt:lpstr>
      <vt:lpstr>SnowHardness</vt:lpstr>
      <vt:lpstr>SnowType</vt:lpstr>
      <vt:lpstr>StationTypes</vt:lpstr>
      <vt:lpstr>StnDay</vt:lpstr>
      <vt:lpstr>StnNum</vt:lpstr>
      <vt:lpstr>TimeZones</vt:lpstr>
      <vt:lpstr>Yes_No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Are Bjørdal</dc:creator>
  <dc:description/>
  <cp:lastModifiedBy>Evgenii Salganik</cp:lastModifiedBy>
  <cp:revision>1</cp:revision>
  <cp:lastPrinted>2011-02-07T12:20:41Z</cp:lastPrinted>
  <dcterms:created xsi:type="dcterms:W3CDTF">2011-01-27T20:27:49Z</dcterms:created>
  <dcterms:modified xsi:type="dcterms:W3CDTF">2026-05-24T12:33:26Z</dcterms:modified>
  <dc:language>fr-FR</dc:language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AppVersion">
    <vt:lpwstr>16.0300</vt:lpwstr>
  </property>
  <property fmtid="{D5CDD505-2E9C-101B-9397-08002B2CF9AE}" pid="3" name="DocSecurity">
    <vt:i4>0</vt:i4>
  </property>
  <property fmtid="{D5CDD505-2E9C-101B-9397-08002B2CF9AE}" pid="4" name="HyperlinksChanged">
    <vt:bool>false</vt:bool>
  </property>
  <property fmtid="{D5CDD505-2E9C-101B-9397-08002B2CF9AE}" pid="5" name="LinksUpToDate">
    <vt:bool>false</vt:bool>
  </property>
  <property fmtid="{D5CDD505-2E9C-101B-9397-08002B2CF9AE}" pid="6" name="ScaleCrop">
    <vt:bool>false</vt:bool>
  </property>
  <property fmtid="{D5CDD505-2E9C-101B-9397-08002B2CF9AE}" pid="7" name="ShareDoc">
    <vt:bool>false</vt:bool>
  </property>
  <property fmtid="{D5CDD505-2E9C-101B-9397-08002B2CF9AE}" pid="8" name="_NewReviewCycle">
    <vt:lpwstr/>
  </property>
  <property fmtid="{D5CDD505-2E9C-101B-9397-08002B2CF9AE}" pid="9" name="contentStatus">
    <vt:lpwstr>Rev. September 2011</vt:lpwstr>
  </property>
</Properties>
</file>