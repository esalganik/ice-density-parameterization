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evsalg001\Documents\MATLAB\Density parametrization\SUDARCO\Data\"/>
    </mc:Choice>
  </mc:AlternateContent>
  <xr:revisionPtr revIDLastSave="0" documentId="13_ncr:1_{EDD54667-A198-4D13-B451-7F072514C746}" xr6:coauthVersionLast="47" xr6:coauthVersionMax="47" xr10:uidLastSave="{00000000-0000-0000-0000-000000000000}"/>
  <bookViews>
    <workbookView xWindow="25695" yWindow="0" windowWidth="26010" windowHeight="20985" tabRatio="766" activeTab="5" xr2:uid="{00000000-000D-0000-FFFF-FFFF00000000}"/>
  </bookViews>
  <sheets>
    <sheet name="Station Overview" sheetId="1" r:id="rId1"/>
    <sheet name="Thickness Drilling" sheetId="3" r:id="rId2"/>
    <sheet name="Salinity Core" sheetId="4" r:id="rId3"/>
    <sheet name="Temperature Core" sheetId="15" r:id="rId4"/>
    <sheet name="Archive Core" sheetId="16" r:id="rId5"/>
    <sheet name="Density Core" sheetId="14" r:id="rId6"/>
    <sheet name="Chemistry core" sheetId="18" r:id="rId7"/>
    <sheet name="Texture Core" sheetId="17" r:id="rId8"/>
    <sheet name="Snow Pit" sheetId="5" r:id="rId9"/>
    <sheet name="Meltpond" sheetId="20" r:id="rId10"/>
    <sheet name="Under Ice Water" sheetId="21" r:id="rId11"/>
    <sheet name="Floe GPS survey" sheetId="19" r:id="rId12"/>
    <sheet name="CTD" sheetId="12" r:id="rId13"/>
    <sheet name="Lists" sheetId="13" r:id="rId14"/>
  </sheets>
  <externalReferences>
    <externalReference r:id="rId15"/>
  </externalReferences>
  <definedNames>
    <definedName name="asdfasdf">'Station Overview'!$B$16</definedName>
    <definedName name="EM_IDs">OFFSET(Lists!$A$14:$A$26,0,0,[1]StationOverview!$J$8)</definedName>
    <definedName name="ExpID">'Station Overview'!$B$4</definedName>
    <definedName name="GeneralConditions">Lists!$C$2:$C$16</definedName>
    <definedName name="ObsDate">'Station Overview'!$B$17</definedName>
    <definedName name="_xlnm.Print_Area" localSheetId="4">'Archive Core'!$A$1:$H$46</definedName>
    <definedName name="_xlnm.Print_Area" localSheetId="6">'Chemistry core'!$A$1:$H$46</definedName>
    <definedName name="_xlnm.Print_Area" localSheetId="12">CTD!$A$1:$M$32</definedName>
    <definedName name="_xlnm.Print_Area" localSheetId="5">'Density Core'!$A$1:$I$36</definedName>
    <definedName name="_xlnm.Print_Area" localSheetId="11">'Floe GPS survey'!$A$1:$M$32</definedName>
    <definedName name="_xlnm.Print_Area" localSheetId="2">'Salinity Core'!$A$1:$N$41</definedName>
    <definedName name="_xlnm.Print_Area" localSheetId="8">'Snow Pit'!$A$1:$S$48</definedName>
    <definedName name="_xlnm.Print_Area" localSheetId="0">'Station Overview'!$A$1:$F$37</definedName>
    <definedName name="_xlnm.Print_Area" localSheetId="3">'Temperature Core'!$A$1:$H$46</definedName>
    <definedName name="_xlnm.Print_Area" localSheetId="7">'Texture Core'!$A$1:$H$46</definedName>
    <definedName name="_xlnm.Print_Area" localSheetId="1">'Thickness Drilling'!$A$1:$H$26</definedName>
    <definedName name="SnowHardness">Lists!$D$2:$D$9</definedName>
    <definedName name="SnowType">Lists!$E$2:$E$13</definedName>
    <definedName name="StationTypes">Lists!$B$2:$B$5</definedName>
    <definedName name="StnDay">'Station Overview'!$B$6</definedName>
    <definedName name="StnNum">'Station Overview'!$B$5</definedName>
    <definedName name="TimeZones">Lists!$A$2:$A$26</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4" i="14" l="1"/>
  <c r="G45" i="14"/>
  <c r="G46" i="14"/>
  <c r="G47" i="14"/>
  <c r="G48" i="14"/>
  <c r="G49" i="14"/>
  <c r="G50" i="14"/>
  <c r="G51" i="14"/>
  <c r="G52" i="14"/>
  <c r="G53" i="14"/>
  <c r="G54" i="14"/>
  <c r="G55" i="14"/>
  <c r="G56" i="14"/>
  <c r="G57" i="14"/>
  <c r="G58" i="14"/>
  <c r="G59" i="14"/>
  <c r="G60" i="14"/>
  <c r="H60" i="14"/>
  <c r="H59" i="14"/>
  <c r="H58" i="14"/>
  <c r="H57" i="14"/>
  <c r="H56" i="14"/>
  <c r="H55" i="14"/>
  <c r="H54" i="14"/>
  <c r="H53" i="14"/>
  <c r="H52" i="14"/>
  <c r="H51" i="14"/>
  <c r="H50" i="14"/>
  <c r="H49" i="14"/>
  <c r="H48" i="14"/>
  <c r="H47" i="14"/>
  <c r="H46" i="14"/>
  <c r="H45" i="14"/>
  <c r="H44" i="14"/>
  <c r="H43" i="14"/>
  <c r="H42" i="14"/>
  <c r="G43" i="14"/>
  <c r="G42" i="14"/>
  <c r="G37" i="14"/>
  <c r="G38" i="14"/>
  <c r="G39" i="14"/>
  <c r="G40" i="14"/>
  <c r="G41" i="14"/>
  <c r="H41" i="14"/>
  <c r="H40" i="14"/>
  <c r="H39" i="14"/>
  <c r="H38" i="14"/>
  <c r="H37" i="14"/>
  <c r="H36" i="14"/>
  <c r="G36" i="14"/>
  <c r="H35" i="14"/>
  <c r="G35" i="14"/>
  <c r="H34" i="14"/>
  <c r="G34" i="14"/>
  <c r="H33" i="14"/>
  <c r="G33" i="14"/>
  <c r="H32" i="14"/>
  <c r="G32" i="14"/>
  <c r="H31" i="14"/>
  <c r="G31" i="14"/>
  <c r="H30" i="14"/>
  <c r="G30" i="14"/>
  <c r="H29" i="14"/>
  <c r="G29" i="14"/>
  <c r="H28" i="14"/>
  <c r="G28" i="14"/>
  <c r="H27" i="14"/>
  <c r="G27" i="14"/>
  <c r="H26" i="14"/>
  <c r="G26" i="14"/>
  <c r="H25" i="14"/>
  <c r="G25" i="14"/>
  <c r="H24" i="14"/>
  <c r="G24" i="14"/>
  <c r="H23" i="14"/>
  <c r="G23" i="14"/>
  <c r="O17" i="5" l="1"/>
  <c r="B4" i="19" l="1"/>
  <c r="B2" i="19"/>
  <c r="D20" i="18"/>
  <c r="B4" i="18"/>
  <c r="B2" i="18"/>
  <c r="B4" i="17"/>
  <c r="B2" i="17"/>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B4" i="16"/>
  <c r="B2" i="16"/>
  <c r="B4" i="3" l="1"/>
  <c r="B2" i="3"/>
  <c r="B2" i="15"/>
  <c r="B4" i="15"/>
  <c r="M12" i="4"/>
  <c r="B4" i="14" l="1"/>
  <c r="B2" i="14"/>
  <c r="B4" i="12" l="1"/>
  <c r="B2" i="12"/>
  <c r="B2" i="5"/>
  <c r="B4" i="4"/>
  <c r="B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0F0268-E997-47FF-B388-3C34179CE737}" keepAlive="1" name="Query - 2022-08-05" description="Connection to the '2022-08-05' query in the workbook." type="5" refreshedVersion="0" background="1">
    <dbPr connection="Provider=Microsoft.Mashup.OleDb.1;Data Source=$Workbook$;Location=2022-08-05;Extended Properties=&quot;&quot;" command="SELECT * FROM [2022-08-05]"/>
  </connection>
</connections>
</file>

<file path=xl/sharedStrings.xml><?xml version="1.0" encoding="utf-8"?>
<sst xmlns="http://schemas.openxmlformats.org/spreadsheetml/2006/main" count="695" uniqueCount="466">
  <si>
    <t>Ice Station Daily Report</t>
  </si>
  <si>
    <t>Expedition ID</t>
  </si>
  <si>
    <t>Station number</t>
  </si>
  <si>
    <t>Day at station</t>
  </si>
  <si>
    <t>Date</t>
  </si>
  <si>
    <t>UTC</t>
  </si>
  <si>
    <t>Degrees</t>
  </si>
  <si>
    <t>Minutes</t>
  </si>
  <si>
    <t>Seconds</t>
  </si>
  <si>
    <t>Station type</t>
  </si>
  <si>
    <t>Ice floe, single-day station</t>
  </si>
  <si>
    <t>General conditions</t>
  </si>
  <si>
    <t>Cold, snow (winter/spring conditions)</t>
  </si>
  <si>
    <t>Comments</t>
  </si>
  <si>
    <t>Explanation</t>
  </si>
  <si>
    <t>General comments</t>
  </si>
  <si>
    <t>Station</t>
  </si>
  <si>
    <t>Distance [m]</t>
  </si>
  <si>
    <t>Time zones</t>
  </si>
  <si>
    <t>Station types</t>
  </si>
  <si>
    <t>Snow Pits</t>
  </si>
  <si>
    <t>Fast ice visit</t>
  </si>
  <si>
    <t>Fast ice repeated location</t>
  </si>
  <si>
    <t>Melting snow</t>
  </si>
  <si>
    <t>Flooded</t>
  </si>
  <si>
    <t>Ice floe, multi-day station</t>
  </si>
  <si>
    <t>Bare ice, warm, few or no melt ponds</t>
  </si>
  <si>
    <t>Bare ice, warm, with melt ponds</t>
  </si>
  <si>
    <t>Bare ice, warm, partially refrozen melt ponds</t>
  </si>
  <si>
    <t>Bare ice, frozen, few or no melt ponds</t>
  </si>
  <si>
    <t>Bare ice, frozen, with melt ponds</t>
  </si>
  <si>
    <t>Bare ice, frozen, partially refrozen melt ponds</t>
  </si>
  <si>
    <t>New (summer/autumn) snow, warm, few or no melt ponds</t>
  </si>
  <si>
    <t>New (summer/autumn) snow, warm, with melt ponds</t>
  </si>
  <si>
    <t>New (summer/autumn) snow, warm, partially refrozen melt ponds</t>
  </si>
  <si>
    <t>New (summer/autumn) snow, frozen, few or no melt ponds</t>
  </si>
  <si>
    <t>New (summer/autumn) snow, frozen, with melt ponds</t>
  </si>
  <si>
    <t>New (summer/autumn) snow, frozen, partially refrozen melt ponds</t>
  </si>
  <si>
    <t>Starting Latitude</t>
  </si>
  <si>
    <t>Starting Longitude</t>
  </si>
  <si>
    <t>Ending Latitude</t>
  </si>
  <si>
    <t>Ending Longitude</t>
  </si>
  <si>
    <t>Ending Date</t>
  </si>
  <si>
    <t>Ending Time</t>
  </si>
  <si>
    <t>UTC-12</t>
  </si>
  <si>
    <t>UTC-11</t>
  </si>
  <si>
    <t>UTC-10</t>
  </si>
  <si>
    <t>UTC-9</t>
  </si>
  <si>
    <t>UTC-8</t>
  </si>
  <si>
    <t>UTC-7</t>
  </si>
  <si>
    <t>UTC-6</t>
  </si>
  <si>
    <t>UTC-5</t>
  </si>
  <si>
    <t>UTC-4</t>
  </si>
  <si>
    <t>UTC-3</t>
  </si>
  <si>
    <t>UTC-2</t>
  </si>
  <si>
    <t>UTC-1</t>
  </si>
  <si>
    <t>UTC+3</t>
  </si>
  <si>
    <t>UTC+4</t>
  </si>
  <si>
    <t>UTC+5</t>
  </si>
  <si>
    <t>UTC+6</t>
  </si>
  <si>
    <t>UTC+7</t>
  </si>
  <si>
    <t>UTC+8</t>
  </si>
  <si>
    <t>UTC+9</t>
  </si>
  <si>
    <t>UTC+10</t>
  </si>
  <si>
    <t>UTC+11</t>
  </si>
  <si>
    <t>UTC+12</t>
  </si>
  <si>
    <t>UTC+2 (Norwegian DST)</t>
  </si>
  <si>
    <t>UTC+1 (Norwegian SDT)</t>
  </si>
  <si>
    <t>Ice Station Name</t>
  </si>
  <si>
    <t>Starting Position</t>
  </si>
  <si>
    <t>Ending Position</t>
  </si>
  <si>
    <t>Station Description</t>
  </si>
  <si>
    <t>Thickness Drillings</t>
  </si>
  <si>
    <t>CTD</t>
  </si>
  <si>
    <t>Air temp 1m [°C]</t>
  </si>
  <si>
    <t>Air/snow temp [°C]</t>
  </si>
  <si>
    <t>Snow/ice temp [°C]</t>
  </si>
  <si>
    <t>Water surface temp [°C]</t>
  </si>
  <si>
    <t>Temperatures:</t>
  </si>
  <si>
    <t>Snow Thickness:</t>
  </si>
  <si>
    <t>Layer</t>
  </si>
  <si>
    <t>Diameter min [mm]</t>
  </si>
  <si>
    <t>Diameter max [mm]</t>
  </si>
  <si>
    <t>Hardness</t>
  </si>
  <si>
    <t>Density:</t>
  </si>
  <si>
    <t>Snow hardness</t>
  </si>
  <si>
    <t>Fist</t>
  </si>
  <si>
    <t>4 fingers</t>
  </si>
  <si>
    <t>3 fingers</t>
  </si>
  <si>
    <t>2 fingers</t>
  </si>
  <si>
    <t>1 finger</t>
  </si>
  <si>
    <t>Pencil</t>
  </si>
  <si>
    <t>Knife</t>
  </si>
  <si>
    <t>Snow type</t>
  </si>
  <si>
    <t>I-A</t>
  </si>
  <si>
    <t>I-B</t>
  </si>
  <si>
    <t>II-A-1</t>
  </si>
  <si>
    <t>II-A-2</t>
  </si>
  <si>
    <t>II-B-1</t>
  </si>
  <si>
    <t>II-B-2</t>
  </si>
  <si>
    <t>III-A-1</t>
  </si>
  <si>
    <t>III-A-2</t>
  </si>
  <si>
    <t>III-A-3</t>
  </si>
  <si>
    <t>IV-A</t>
  </si>
  <si>
    <t>IV-B</t>
  </si>
  <si>
    <t>Glacier Ice</t>
  </si>
  <si>
    <t>Ice</t>
  </si>
  <si>
    <t>Time</t>
  </si>
  <si>
    <t>Temperature Core</t>
  </si>
  <si>
    <t>Thickness:</t>
  </si>
  <si>
    <t>Temperature [°C]</t>
  </si>
  <si>
    <t>Salinity Core</t>
  </si>
  <si>
    <t>Sampling box:</t>
  </si>
  <si>
    <t>Box Number</t>
  </si>
  <si>
    <t>Salinity</t>
  </si>
  <si>
    <t>Conductivity [mS/cm]</t>
  </si>
  <si>
    <r>
      <t>Sample Temperature [</t>
    </r>
    <r>
      <rPr>
        <b/>
        <sz val="11"/>
        <color theme="1"/>
        <rFont val="Calibri"/>
        <family val="2"/>
      </rPr>
      <t>°</t>
    </r>
    <r>
      <rPr>
        <b/>
        <sz val="11"/>
        <color theme="1"/>
        <rFont val="Calibri"/>
        <family val="2"/>
        <scheme val="minor"/>
      </rPr>
      <t>C]</t>
    </r>
  </si>
  <si>
    <r>
      <t>Density [kg/m</t>
    </r>
    <r>
      <rPr>
        <b/>
        <sz val="11"/>
        <color theme="1"/>
        <rFont val="Calibri"/>
        <family val="2"/>
      </rPr>
      <t>³]</t>
    </r>
  </si>
  <si>
    <t>Core piece section #</t>
  </si>
  <si>
    <t>Box #</t>
  </si>
  <si>
    <t>Density Core</t>
  </si>
  <si>
    <t>Observer</t>
  </si>
  <si>
    <r>
      <t>Air temp 1m [</t>
    </r>
    <r>
      <rPr>
        <sz val="11"/>
        <color theme="1"/>
        <rFont val="Calibri"/>
        <family val="2"/>
      </rPr>
      <t>°</t>
    </r>
    <r>
      <rPr>
        <sz val="11"/>
        <color theme="1"/>
        <rFont val="Calibri"/>
        <family val="2"/>
        <scheme val="minor"/>
      </rPr>
      <t>C]</t>
    </r>
  </si>
  <si>
    <t>Surface temp [°C]</t>
  </si>
  <si>
    <t>Snow-Ice temp [°C]</t>
  </si>
  <si>
    <t>Water temp [°C]</t>
  </si>
  <si>
    <t>Sum length of pieces</t>
  </si>
  <si>
    <t># of pieces</t>
  </si>
  <si>
    <t>Type 1</t>
  </si>
  <si>
    <t>Type 2</t>
  </si>
  <si>
    <t>Moisture</t>
  </si>
  <si>
    <t>Temperature:</t>
  </si>
  <si>
    <t>Site</t>
  </si>
  <si>
    <t>Thickness bottom to water [cm]</t>
  </si>
  <si>
    <t>Thickness bottom to ice surface [cm]</t>
  </si>
  <si>
    <t>Thickness bottom to snow surface [cm]</t>
  </si>
  <si>
    <t>Freeboard [cm]</t>
  </si>
  <si>
    <t>Ice Thickness [cm]</t>
  </si>
  <si>
    <t>Bottom to Snow surface [cm]</t>
  </si>
  <si>
    <t>Bottom to Ice surface [cm]</t>
  </si>
  <si>
    <t>Bottom to Water [cm]</t>
  </si>
  <si>
    <t>Depth at top [cm]</t>
  </si>
  <si>
    <t>Depth at bottom [cm]</t>
  </si>
  <si>
    <t>Lenght of piece [cm]</t>
  </si>
  <si>
    <t>Top [cm]</t>
  </si>
  <si>
    <t>Bottom [cm]</t>
  </si>
  <si>
    <t>Section Length [cm]</t>
  </si>
  <si>
    <t>At depth [cm]</t>
  </si>
  <si>
    <t>Lenght og piece [cm]</t>
  </si>
  <si>
    <t>Snow Thickness [cm]</t>
  </si>
  <si>
    <t>Under Water [cm]</t>
  </si>
  <si>
    <t>Total Thickness [cm]</t>
  </si>
  <si>
    <t>Core ø [cm]</t>
  </si>
  <si>
    <r>
      <t>Cross section [cm</t>
    </r>
    <r>
      <rPr>
        <sz val="11"/>
        <color theme="1"/>
        <rFont val="Arial"/>
        <family val="2"/>
      </rPr>
      <t>²</t>
    </r>
    <r>
      <rPr>
        <sz val="11"/>
        <color theme="1"/>
        <rFont val="Calibri"/>
        <family val="2"/>
        <scheme val="minor"/>
      </rPr>
      <t>]</t>
    </r>
  </si>
  <si>
    <t>Cylinder weight [g]</t>
  </si>
  <si>
    <t>Stn. Number</t>
  </si>
  <si>
    <t>Exp. ID</t>
  </si>
  <si>
    <t>Time zone used</t>
  </si>
  <si>
    <t>Starting Date</t>
  </si>
  <si>
    <t>Starting Time</t>
  </si>
  <si>
    <t>Associate with station</t>
  </si>
  <si>
    <t>Link to other data</t>
  </si>
  <si>
    <t>Yes_No</t>
  </si>
  <si>
    <t>Yes</t>
  </si>
  <si>
    <t>No</t>
  </si>
  <si>
    <t>Core Kept for Texture Analasis?</t>
  </si>
  <si>
    <r>
      <t>Tube volume  [cm</t>
    </r>
    <r>
      <rPr>
        <sz val="11"/>
        <color theme="1"/>
        <rFont val="Calibri"/>
        <family val="2"/>
      </rPr>
      <t>³</t>
    </r>
    <r>
      <rPr>
        <sz val="11"/>
        <color theme="1"/>
        <rFont val="Calibri"/>
        <family val="2"/>
        <scheme val="minor"/>
      </rPr>
      <t>]</t>
    </r>
  </si>
  <si>
    <t>[All distances measured from snow/ice interface]</t>
  </si>
  <si>
    <t>Total core length [cm]</t>
  </si>
  <si>
    <t>Depth Top [cm]</t>
  </si>
  <si>
    <t>Depth Bottom [cm]</t>
  </si>
  <si>
    <t>Depth [cm]</t>
  </si>
  <si>
    <r>
      <t>Temp [</t>
    </r>
    <r>
      <rPr>
        <sz val="11"/>
        <color theme="1"/>
        <rFont val="Calibri"/>
        <family val="2"/>
      </rPr>
      <t>°</t>
    </r>
    <r>
      <rPr>
        <sz val="11"/>
        <color theme="1"/>
        <rFont val="Calibri"/>
        <family val="2"/>
        <scheme val="minor"/>
      </rPr>
      <t>C]</t>
    </r>
  </si>
  <si>
    <t>Ice depth (from top) [cm]</t>
  </si>
  <si>
    <t>Epsilon value</t>
  </si>
  <si>
    <t>Archive Core</t>
  </si>
  <si>
    <t>Original weight [g]</t>
  </si>
  <si>
    <t>Snow Density [g/cm³]</t>
  </si>
  <si>
    <t>Polhavet2022</t>
  </si>
  <si>
    <t>DD</t>
  </si>
  <si>
    <t>DD, BR</t>
  </si>
  <si>
    <t>B01</t>
  </si>
  <si>
    <t>B02</t>
  </si>
  <si>
    <t>B03</t>
  </si>
  <si>
    <t>B04</t>
  </si>
  <si>
    <t>B05</t>
  </si>
  <si>
    <t>B06</t>
  </si>
  <si>
    <t>B07</t>
  </si>
  <si>
    <t>B08</t>
  </si>
  <si>
    <t>B09</t>
  </si>
  <si>
    <t>B10</t>
  </si>
  <si>
    <t>B11</t>
  </si>
  <si>
    <t>B12</t>
  </si>
  <si>
    <t>B13</t>
  </si>
  <si>
    <t>B14</t>
  </si>
  <si>
    <t>B15</t>
  </si>
  <si>
    <t>B16</t>
  </si>
  <si>
    <t>B19</t>
  </si>
  <si>
    <t>B20</t>
  </si>
  <si>
    <t>B21</t>
  </si>
  <si>
    <t>B22</t>
  </si>
  <si>
    <t>B23</t>
  </si>
  <si>
    <t>B24</t>
  </si>
  <si>
    <t>B25</t>
  </si>
  <si>
    <t>B26</t>
  </si>
  <si>
    <t>B27</t>
  </si>
  <si>
    <t>B28</t>
  </si>
  <si>
    <t>B29</t>
  </si>
  <si>
    <t>B30</t>
  </si>
  <si>
    <t>B31</t>
  </si>
  <si>
    <t>B32</t>
  </si>
  <si>
    <t>B33</t>
  </si>
  <si>
    <t>main coring site</t>
  </si>
  <si>
    <t>cutter weight</t>
  </si>
  <si>
    <t>Texture Core</t>
  </si>
  <si>
    <t>Chemistry Core</t>
  </si>
  <si>
    <t>Floe GPS survey</t>
  </si>
  <si>
    <t>location</t>
  </si>
  <si>
    <t>gangway</t>
  </si>
  <si>
    <t>MSS hole</t>
  </si>
  <si>
    <t>coring site</t>
  </si>
  <si>
    <t>optics site</t>
  </si>
  <si>
    <t>Monster (AFZP) and meteomast</t>
  </si>
  <si>
    <t>SIMBA UIT0204 and light buoy LTITO1</t>
  </si>
  <si>
    <t>SIMBA UIT0202 and light buoy LTITO2</t>
  </si>
  <si>
    <t>eddy covariance</t>
  </si>
  <si>
    <t>Opus sensor nitrate</t>
  </si>
  <si>
    <t>Suna sensor nitrate</t>
  </si>
  <si>
    <t>Nortek ADCP 500</t>
  </si>
  <si>
    <t>ROV floe edge</t>
  </si>
  <si>
    <t>DD, BR, Shelby</t>
  </si>
  <si>
    <t>sec2 starts</t>
  </si>
  <si>
    <t>not conducted</t>
  </si>
  <si>
    <t>d18O vial number</t>
  </si>
  <si>
    <t>Meltpond Number</t>
  </si>
  <si>
    <r>
      <rPr>
        <b/>
        <sz val="11"/>
        <color theme="1"/>
        <rFont val="Calibri"/>
        <family val="2"/>
        <scheme val="minor"/>
      </rPr>
      <t>Observer</t>
    </r>
    <r>
      <rPr>
        <sz val="11"/>
        <color theme="1"/>
        <rFont val="Calibri"/>
        <family val="2"/>
        <scheme val="minor"/>
      </rPr>
      <t>: BR</t>
    </r>
  </si>
  <si>
    <t>Temperature [degC]</t>
  </si>
  <si>
    <t>LAT</t>
  </si>
  <si>
    <t>LON</t>
  </si>
  <si>
    <t>ID (AT,d18O, Nutrients)</t>
  </si>
  <si>
    <r>
      <rPr>
        <b/>
        <sz val="11"/>
        <color theme="1"/>
        <rFont val="Calibri"/>
        <family val="2"/>
        <scheme val="minor"/>
      </rPr>
      <t>Observer</t>
    </r>
    <r>
      <rPr>
        <sz val="11"/>
        <color theme="1"/>
        <rFont val="Calibri"/>
        <family val="2"/>
        <scheme val="minor"/>
      </rPr>
      <t>: Karley Campbell</t>
    </r>
  </si>
  <si>
    <t>Under Ice Water Depth</t>
  </si>
  <si>
    <t>ice-water interface</t>
  </si>
  <si>
    <r>
      <rPr>
        <b/>
        <sz val="11"/>
        <color theme="1"/>
        <rFont val="Calibri"/>
        <family val="2"/>
        <scheme val="minor"/>
      </rPr>
      <t>Location</t>
    </r>
    <r>
      <rPr>
        <sz val="11"/>
        <color theme="1"/>
        <rFont val="Calibri"/>
        <family val="2"/>
        <scheme val="minor"/>
      </rPr>
      <t>: next to coring site</t>
    </r>
  </si>
  <si>
    <t>castaway ctd</t>
  </si>
  <si>
    <t>interface</t>
  </si>
  <si>
    <t>1 m</t>
  </si>
  <si>
    <t>5 m</t>
  </si>
  <si>
    <t>10 m</t>
  </si>
  <si>
    <t>T</t>
  </si>
  <si>
    <t>S</t>
  </si>
  <si>
    <t>Cond</t>
  </si>
  <si>
    <t>can be used for GEM-2 callibration settings</t>
  </si>
  <si>
    <t>gps mark 96</t>
  </si>
  <si>
    <t>gps mark 97</t>
  </si>
  <si>
    <t>T water ship -1.5</t>
  </si>
  <si>
    <t>ex T-core bagged as Archive core; Gauge with +3.5 offset used, offset added when logging the data</t>
  </si>
  <si>
    <t>Gauge with +3.5 offset used. Added when logging the data; Core packed for analysis</t>
  </si>
  <si>
    <t>bagged for analysis; gauge with +3.5 cm offset used; added when logging</t>
  </si>
  <si>
    <t>17.08.2022</t>
  </si>
  <si>
    <t>next to the coring site</t>
  </si>
  <si>
    <t>mark 98</t>
  </si>
  <si>
    <t>core 1 for salinity; gauge offset +3.5 cm used during coring. Added when logging the data</t>
  </si>
  <si>
    <t>B17</t>
  </si>
  <si>
    <t>B18</t>
  </si>
  <si>
    <t>A04</t>
  </si>
  <si>
    <t>A05</t>
  </si>
  <si>
    <t>A06</t>
  </si>
  <si>
    <t>A07</t>
  </si>
  <si>
    <t>A08</t>
  </si>
  <si>
    <t>White cup</t>
  </si>
  <si>
    <t>bulk snow</t>
  </si>
  <si>
    <t>break at 72 cm; bubbles (white lower density layer) 0-50 cm; voids/channels between 67-85.5 cm</t>
  </si>
  <si>
    <t>break at 53 cm</t>
  </si>
  <si>
    <t>break at 20 and 79 cm; white (low density) layer 0-52 cm;</t>
  </si>
  <si>
    <t>bubbles between 35-77 cm</t>
  </si>
  <si>
    <t>or 0.5</t>
  </si>
  <si>
    <t>sec 1 ends</t>
  </si>
  <si>
    <t xml:space="preserve">probably biased measurement (too warm) </t>
  </si>
  <si>
    <t>Core 2, T-core; packed as an archive core. Gauge offset 3.5 added when logging. Borehole water temperature measured right after core recovery.</t>
  </si>
  <si>
    <t>Core 4; bagged for analysis; to be processed onboard during the cruise. Gauge offset +3.5 cm added when logging the data. Photos of the core taken</t>
  </si>
  <si>
    <t>break at 35</t>
  </si>
  <si>
    <t>break at 51; white layer (bubbles, low density) 0-12 cm. Voids 50-84 cm</t>
  </si>
  <si>
    <t>see GPS data in the respective station folder.</t>
  </si>
  <si>
    <t>PH22-ST10-DO18-1</t>
  </si>
  <si>
    <t>PH22-ST10-DO18-2</t>
  </si>
  <si>
    <t>PH22-ST10-DO18-3</t>
  </si>
  <si>
    <t>PH22-ST10-DO18-4</t>
  </si>
  <si>
    <t>PH22-ST10-DO18-5</t>
  </si>
  <si>
    <t>PH22-ST10-DO18-6</t>
  </si>
  <si>
    <t>PH22-ST10-DO18-7</t>
  </si>
  <si>
    <t>PH22-ST10-DO18-8</t>
  </si>
  <si>
    <t>PH22-ST10-DO18-9</t>
  </si>
  <si>
    <t>PH22-ST10-DO18-10</t>
  </si>
  <si>
    <t>PH22-ST10-DO18-11</t>
  </si>
  <si>
    <t>PH22-ST10-DO18-12</t>
  </si>
  <si>
    <t>PH22-ST10-DO18-13</t>
  </si>
  <si>
    <t>PH22-ST10-DO18-14</t>
  </si>
  <si>
    <t>PH22-ST10-DO18-15</t>
  </si>
  <si>
    <t>PH22-ST10-DO18-16</t>
  </si>
  <si>
    <t>PH22-ST10-DO18-17</t>
  </si>
  <si>
    <t>PH22-ST10-DO18-18</t>
  </si>
  <si>
    <t>PH22-ST10-DO18-19</t>
  </si>
  <si>
    <t>PH22-ST10-DO18-20</t>
  </si>
  <si>
    <t>PH22-ST10-DO18-21</t>
  </si>
  <si>
    <t>PH22-ST10-DO18-22</t>
  </si>
  <si>
    <t>PH22-ST10-DO18-23</t>
  </si>
  <si>
    <t>PH22-ST10-DO18-24</t>
  </si>
  <si>
    <t>PH22-ST10-DO18-25</t>
  </si>
  <si>
    <t>PH22-ST10-DO18-26</t>
  </si>
  <si>
    <t>PH22-ST10-DO18-27</t>
  </si>
  <si>
    <t>PH22-ST10-DO18-28</t>
  </si>
  <si>
    <t>PH22-ST10-DO18-29</t>
  </si>
  <si>
    <t>PH22-ST10-DO18-30</t>
  </si>
  <si>
    <t>PH22-ST10-DO18-31</t>
  </si>
  <si>
    <t>PH22-ST10-DO18-32</t>
  </si>
  <si>
    <t>PH22-ST10-DO18-33</t>
  </si>
  <si>
    <t>PH22-ST10-DO18-34</t>
  </si>
  <si>
    <t>PH22-ST10-DO18-35</t>
  </si>
  <si>
    <t>PH22-ST10-DO18-36</t>
  </si>
  <si>
    <t>PH22-ST10-DO18-37</t>
  </si>
  <si>
    <t>PH22-ST10-DO18-38</t>
  </si>
  <si>
    <t>PH22-ST10-DO18-39</t>
  </si>
  <si>
    <t>Ice station on drift ice in the vast (&gt; few kms) area of mainly level FIY some 100 cm thick, heavily ponded (pond coverage some 40% sometimes up to 60%). Due to safety/logistics reasons the chosen floe featuring a less ponded surface appeared to be rather thick some 190 cm. Can be a piece of older ice or thicker FYI intergrated into the area of level FYI. Salinity profile (average 1.4 with a thick 0.0 salinity slab on the top 0.5 m) suggest it can be a SYI.</t>
  </si>
  <si>
    <r>
      <rPr>
        <b/>
        <sz val="11"/>
        <color theme="1"/>
        <rFont val="Calibri"/>
        <family val="2"/>
        <scheme val="minor"/>
      </rPr>
      <t>Date</t>
    </r>
    <r>
      <rPr>
        <sz val="11"/>
        <color theme="1"/>
        <rFont val="Calibri"/>
        <family val="2"/>
        <scheme val="minor"/>
      </rPr>
      <t>: 17.08.2022</t>
    </r>
  </si>
  <si>
    <r>
      <rPr>
        <b/>
        <sz val="11"/>
        <color theme="1"/>
        <rFont val="Calibri"/>
        <family val="2"/>
        <scheme val="minor"/>
      </rPr>
      <t>Start time (UTC)</t>
    </r>
    <r>
      <rPr>
        <sz val="11"/>
        <color theme="1"/>
        <rFont val="Calibri"/>
        <family val="2"/>
        <scheme val="minor"/>
      </rPr>
      <t>: 10:40</t>
    </r>
  </si>
  <si>
    <t>24.1</t>
  </si>
  <si>
    <t>-0.3</t>
  </si>
  <si>
    <t xml:space="preserve">next to coring site </t>
  </si>
  <si>
    <t>no time for more water because of polar bear</t>
  </si>
  <si>
    <r>
      <rPr>
        <b/>
        <sz val="11"/>
        <color theme="1"/>
        <rFont val="Calibri"/>
        <family val="2"/>
        <scheme val="minor"/>
      </rPr>
      <t>Start time (UTC)</t>
    </r>
    <r>
      <rPr>
        <sz val="11"/>
        <color theme="1"/>
        <rFont val="Calibri"/>
        <family val="2"/>
        <scheme val="minor"/>
      </rPr>
      <t>: 10:42</t>
    </r>
  </si>
  <si>
    <t>1.3</t>
  </si>
  <si>
    <t>1.1</t>
  </si>
  <si>
    <t>0</t>
  </si>
  <si>
    <t>82.70127'</t>
  </si>
  <si>
    <t>027.46027'</t>
  </si>
  <si>
    <t>82.70170'</t>
  </si>
  <si>
    <t>027.45924'</t>
  </si>
  <si>
    <t xml:space="preserve">snow pit next to the coring site; hard and melting snow layer with large grains. One snow sample (0-3cm) was also collected for chemistry (AT, pH, Nutrients, d18O) with ID 1084 also next to the coring site </t>
  </si>
  <si>
    <t>20 cm</t>
  </si>
  <si>
    <t>30 cm</t>
  </si>
  <si>
    <t>40 cm</t>
  </si>
  <si>
    <t>50 cm</t>
  </si>
  <si>
    <t>60 cm</t>
  </si>
  <si>
    <t>70 cm</t>
  </si>
  <si>
    <t>81.5 cm</t>
  </si>
  <si>
    <t>91.5 cm</t>
  </si>
  <si>
    <t>81.5</t>
  </si>
  <si>
    <t>101.5 cm</t>
  </si>
  <si>
    <t>91.5</t>
  </si>
  <si>
    <t>111.5 cm</t>
  </si>
  <si>
    <t>101.5</t>
  </si>
  <si>
    <t>121.5 cm</t>
  </si>
  <si>
    <t xml:space="preserve"> 111.5</t>
  </si>
  <si>
    <t>131.5 cm</t>
  </si>
  <si>
    <t>121.5</t>
  </si>
  <si>
    <t>141.5 cm</t>
  </si>
  <si>
    <t>131.5</t>
  </si>
  <si>
    <t>151.5 cm</t>
  </si>
  <si>
    <t xml:space="preserve"> 141.5</t>
  </si>
  <si>
    <t>161.5 cm</t>
  </si>
  <si>
    <t xml:space="preserve"> 151.5</t>
  </si>
  <si>
    <t>171.5 cm</t>
  </si>
  <si>
    <t xml:space="preserve"> 161.5</t>
  </si>
  <si>
    <t>181.5 cm</t>
  </si>
  <si>
    <t xml:space="preserve"> 171.5</t>
  </si>
  <si>
    <t>189.5 cm</t>
  </si>
  <si>
    <t xml:space="preserve"> 181.5</t>
  </si>
  <si>
    <t>0.8</t>
  </si>
  <si>
    <t>0.3</t>
  </si>
  <si>
    <t>0.4</t>
  </si>
  <si>
    <t>0.6</t>
  </si>
  <si>
    <t>2.1</t>
  </si>
  <si>
    <t>2.4</t>
  </si>
  <si>
    <t>1.6</t>
  </si>
  <si>
    <t>2.0</t>
  </si>
  <si>
    <t>2.9</t>
  </si>
  <si>
    <t>3.1</t>
  </si>
  <si>
    <t>2.8</t>
  </si>
  <si>
    <t>1.583</t>
  </si>
  <si>
    <t>0.744</t>
  </si>
  <si>
    <t>0.741</t>
  </si>
  <si>
    <t>0.847</t>
  </si>
  <si>
    <t>0.906</t>
  </si>
  <si>
    <t>1.390</t>
  </si>
  <si>
    <t>1.285</t>
  </si>
  <si>
    <t>1.358</t>
  </si>
  <si>
    <t>0.875</t>
  </si>
  <si>
    <t>0.779</t>
  </si>
  <si>
    <t>1.642</t>
  </si>
  <si>
    <t>3.93</t>
  </si>
  <si>
    <t>4.51</t>
  </si>
  <si>
    <t>3.16</t>
  </si>
  <si>
    <t>3.81</t>
  </si>
  <si>
    <t>5.43</t>
  </si>
  <si>
    <t>5.72</t>
  </si>
  <si>
    <t>5.31</t>
  </si>
  <si>
    <t>5.36</t>
  </si>
  <si>
    <t>17.1</t>
  </si>
  <si>
    <t>17.2</t>
  </si>
  <si>
    <t>17.5</t>
  </si>
  <si>
    <t>17.6</t>
  </si>
  <si>
    <t>17.7</t>
  </si>
  <si>
    <t>17.8</t>
  </si>
  <si>
    <t>17.9</t>
  </si>
  <si>
    <t>16.8</t>
  </si>
  <si>
    <t>18.1</t>
  </si>
  <si>
    <t>18.0</t>
  </si>
  <si>
    <t xml:space="preserve">Weight in the air [g] </t>
  </si>
  <si>
    <t xml:space="preserve">Weight in the parafine [g] </t>
  </si>
  <si>
    <t>salinity bag</t>
  </si>
  <si>
    <t>Mean depth [cm]</t>
  </si>
  <si>
    <r>
      <t>Density [g/cm</t>
    </r>
    <r>
      <rPr>
        <b/>
        <sz val="11"/>
        <color theme="1"/>
        <rFont val="Calibri"/>
        <family val="2"/>
      </rPr>
      <t>³]</t>
    </r>
  </si>
  <si>
    <t>C17</t>
  </si>
  <si>
    <t>C18</t>
  </si>
  <si>
    <t>bubbles</t>
  </si>
  <si>
    <t>C1</t>
  </si>
  <si>
    <t>C2</t>
  </si>
  <si>
    <t>C3</t>
  </si>
  <si>
    <t>C4</t>
  </si>
  <si>
    <t>C5</t>
  </si>
  <si>
    <t>C6</t>
  </si>
  <si>
    <t>C7</t>
  </si>
  <si>
    <t>C8</t>
  </si>
  <si>
    <t>C9</t>
  </si>
  <si>
    <t>C10</t>
  </si>
  <si>
    <t>C11</t>
  </si>
  <si>
    <t>C12</t>
  </si>
  <si>
    <t>C13</t>
  </si>
  <si>
    <t>C14</t>
  </si>
  <si>
    <t>C15</t>
  </si>
  <si>
    <t>C16</t>
  </si>
  <si>
    <t>J1</t>
  </si>
  <si>
    <t>sunk slowly</t>
  </si>
  <si>
    <t>sunk slowly, bublles</t>
  </si>
  <si>
    <t>Rho parafin=</t>
  </si>
  <si>
    <t>T lab=</t>
  </si>
  <si>
    <t>sunk slowly, floats partly</t>
  </si>
  <si>
    <t>break; floats, density less or equal to that of parafin</t>
  </si>
  <si>
    <t>partly floats</t>
  </si>
  <si>
    <t>sunk slowly, bubbles</t>
  </si>
  <si>
    <t>break; sunk slowly, bubbles</t>
  </si>
  <si>
    <t>break, two pieces</t>
  </si>
  <si>
    <t>break at 30 cm. Some brine leaked during transport to the freezer, initial freezing and storing. Formed the strip of ice along the core.</t>
  </si>
  <si>
    <t>J2</t>
  </si>
  <si>
    <t>J3</t>
  </si>
  <si>
    <t>J4</t>
  </si>
  <si>
    <t>J5</t>
  </si>
  <si>
    <t>J6</t>
  </si>
  <si>
    <t>J7</t>
  </si>
  <si>
    <t>J8</t>
  </si>
  <si>
    <t>J9</t>
  </si>
  <si>
    <t>J10</t>
  </si>
  <si>
    <t>J11</t>
  </si>
  <si>
    <t>J12</t>
  </si>
  <si>
    <t>J13</t>
  </si>
  <si>
    <t>J14</t>
  </si>
  <si>
    <t>J15</t>
  </si>
  <si>
    <t>J16</t>
  </si>
  <si>
    <t>J17</t>
  </si>
  <si>
    <t>J18</t>
  </si>
  <si>
    <t>X1</t>
  </si>
  <si>
    <t>X2</t>
  </si>
  <si>
    <t>breask at 28, two pieces</t>
  </si>
  <si>
    <t>break at 42; first 15 cm cut to be packed with section  1 to fit the core box. Some brine leaked during transport to the freezer, initial freezing and storing. Formed the strip of ice along the core. Well elaborated vertical melt channels along the ice slab, sometimes a few mm in diameter.</t>
  </si>
  <si>
    <t>conductivity and sample temperatures avaiable in the lab density logbook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</si>
</sst>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 #,##0.00_ ;_ * \-#,##0.00_ ;_ * &quot;-&quot;??_ ;_ @_ "/>
    <numFmt numFmtId="165" formatCode="0#"/>
    <numFmt numFmtId="166" formatCode="dd/mm/yyyy;@"/>
    <numFmt numFmtId="167" formatCode="0.0000"/>
    <numFmt numFmtId="168" formatCode="hh:mm;@"/>
    <numFmt numFmtId="169" formatCode="0.0&quot; g&quot;"/>
    <numFmt numFmtId="170" formatCode="0.0&quot; °C&quot;"/>
    <numFmt numFmtId="171" formatCode="0.0&quot; cm³&quot;"/>
    <numFmt numFmtId="172" formatCode="&quot;Yes&quot;;&quot;Yes&quot;;&quot;No&quot;"/>
    <numFmt numFmtId="173" formatCode="0.00&quot; m&quot;"/>
    <numFmt numFmtId="174" formatCode="0&quot; cm&quot;"/>
    <numFmt numFmtId="175" formatCode="0&quot; cm²&quot;"/>
    <numFmt numFmtId="176" formatCode="0.0&quot; mm&quot;"/>
    <numFmt numFmtId="177" formatCode="0.0&quot; cm&quot;"/>
    <numFmt numFmtId="178" formatCode="[$-406]d\.\ mmmm\ yyyy;@"/>
    <numFmt numFmtId="179" formatCode="dd/mm/yy;@"/>
  </numFmts>
  <fonts count="17" x14ac:knownFonts="1">
    <font>
      <sz val="11"/>
      <color theme="1"/>
      <name val="Calibri"/>
      <family val="2"/>
      <scheme val="minor"/>
    </font>
    <font>
      <sz val="11"/>
      <color rgb="FF9C6500"/>
      <name val="Calibri"/>
      <family val="2"/>
      <scheme val="minor"/>
    </font>
    <font>
      <sz val="10"/>
      <color theme="1"/>
      <name val="Calibri"/>
      <family val="2"/>
      <scheme val="minor"/>
    </font>
    <font>
      <b/>
      <sz val="11"/>
      <color theme="1"/>
      <name val="Calibri"/>
      <family val="2"/>
      <scheme val="minor"/>
    </font>
    <font>
      <b/>
      <sz val="16"/>
      <color rgb="FF9C6500"/>
      <name val="Calibri"/>
      <family val="2"/>
      <scheme val="minor"/>
    </font>
    <font>
      <sz val="11"/>
      <name val="Calibri"/>
      <family val="2"/>
      <scheme val="minor"/>
    </font>
    <font>
      <b/>
      <sz val="10"/>
      <name val="Arial"/>
      <family val="2"/>
    </font>
    <font>
      <b/>
      <sz val="11"/>
      <name val="Calibri"/>
      <family val="2"/>
      <scheme val="minor"/>
    </font>
    <font>
      <b/>
      <sz val="11"/>
      <color rgb="FFFA7D00"/>
      <name val="Calibri"/>
      <family val="2"/>
      <scheme val="minor"/>
    </font>
    <font>
      <sz val="11"/>
      <color theme="1"/>
      <name val="Calibri"/>
      <family val="2"/>
    </font>
    <font>
      <sz val="11"/>
      <color theme="1"/>
      <name val="Arial"/>
      <family val="2"/>
    </font>
    <font>
      <b/>
      <sz val="11"/>
      <color theme="1"/>
      <name val="Calibri"/>
      <family val="2"/>
    </font>
    <font>
      <b/>
      <sz val="24"/>
      <color rgb="FF9C6500"/>
      <name val="Calibri"/>
      <family val="2"/>
      <scheme val="minor"/>
    </font>
    <font>
      <b/>
      <sz val="26"/>
      <color rgb="FF9C6500"/>
      <name val="Calibri"/>
      <family val="2"/>
      <scheme val="minor"/>
    </font>
    <font>
      <sz val="11"/>
      <color theme="1"/>
      <name val="Calibri"/>
      <family val="2"/>
      <scheme val="minor"/>
    </font>
    <font>
      <sz val="12"/>
      <color theme="1"/>
      <name val="Calibri"/>
      <family val="2"/>
      <scheme val="minor"/>
    </font>
    <font>
      <sz val="8"/>
      <name val="Calibri"/>
      <family val="2"/>
      <scheme val="minor"/>
    </font>
  </fonts>
  <fills count="9">
    <fill>
      <patternFill patternType="none"/>
    </fill>
    <fill>
      <patternFill patternType="gray125"/>
    </fill>
    <fill>
      <patternFill patternType="solid">
        <fgColor rgb="FFFFEB9C"/>
      </patternFill>
    </fill>
    <fill>
      <patternFill patternType="solid">
        <fgColor theme="0" tint="-4.9989318521683403E-2"/>
        <bgColor indexed="64"/>
      </patternFill>
    </fill>
    <fill>
      <patternFill patternType="solid">
        <fgColor rgb="FFF2F2F2"/>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9" tint="0.59999389629810485"/>
        <bgColor indexed="64"/>
      </patternFill>
    </fill>
  </fills>
  <borders count="41">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1" fillId="2" borderId="0" applyNumberFormat="0" applyBorder="0" applyAlignment="0" applyProtection="0"/>
    <xf numFmtId="0" fontId="8" fillId="4" borderId="8" applyNumberFormat="0" applyAlignment="0" applyProtection="0"/>
    <xf numFmtId="164" fontId="14" fillId="0" borderId="0" applyFont="0" applyFill="0" applyBorder="0" applyAlignment="0" applyProtection="0"/>
  </cellStyleXfs>
  <cellXfs count="225">
    <xf numFmtId="0" fontId="0" fillId="0" borderId="0" xfId="0"/>
    <xf numFmtId="0" fontId="3" fillId="0" borderId="0" xfId="0" applyFont="1"/>
    <xf numFmtId="49" fontId="0" fillId="0" borderId="0" xfId="0" applyNumberFormat="1"/>
    <xf numFmtId="0" fontId="8" fillId="4" borderId="8" xfId="2"/>
    <xf numFmtId="0" fontId="5" fillId="3" borderId="9" xfId="0" applyFont="1" applyFill="1" applyBorder="1"/>
    <xf numFmtId="0" fontId="5" fillId="3" borderId="10" xfId="0" applyFont="1" applyFill="1" applyBorder="1"/>
    <xf numFmtId="0" fontId="5" fillId="3" borderId="9" xfId="0" applyFont="1" applyFill="1" applyBorder="1" applyAlignment="1">
      <alignment vertical="top"/>
    </xf>
    <xf numFmtId="0" fontId="0" fillId="3" borderId="9" xfId="0" applyFill="1" applyBorder="1"/>
    <xf numFmtId="167" fontId="0" fillId="3" borderId="9" xfId="0" applyNumberFormat="1" applyFill="1" applyBorder="1"/>
    <xf numFmtId="0" fontId="0" fillId="3" borderId="11" xfId="0" applyFill="1" applyBorder="1"/>
    <xf numFmtId="0" fontId="3" fillId="3" borderId="9" xfId="0" applyFont="1" applyFill="1" applyBorder="1" applyAlignment="1">
      <alignment horizontal="center" wrapText="1"/>
    </xf>
    <xf numFmtId="49" fontId="0" fillId="3" borderId="15" xfId="0" applyNumberFormat="1" applyFill="1" applyBorder="1" applyAlignment="1">
      <alignment wrapText="1"/>
    </xf>
    <xf numFmtId="49" fontId="0" fillId="3" borderId="17" xfId="0" applyNumberFormat="1" applyFill="1" applyBorder="1" applyAlignment="1">
      <alignment wrapText="1"/>
    </xf>
    <xf numFmtId="49" fontId="0" fillId="3" borderId="20" xfId="0" applyNumberFormat="1" applyFill="1" applyBorder="1" applyAlignment="1">
      <alignment wrapText="1"/>
    </xf>
    <xf numFmtId="0" fontId="3" fillId="3" borderId="24" xfId="0" applyFont="1" applyFill="1" applyBorder="1" applyAlignment="1">
      <alignment vertical="top" wrapText="1"/>
    </xf>
    <xf numFmtId="0" fontId="0" fillId="3" borderId="12" xfId="0" applyFill="1" applyBorder="1"/>
    <xf numFmtId="0" fontId="0" fillId="3" borderId="15" xfId="0" applyFill="1" applyBorder="1"/>
    <xf numFmtId="0" fontId="0" fillId="3" borderId="21" xfId="0" applyFill="1" applyBorder="1"/>
    <xf numFmtId="0" fontId="0" fillId="3" borderId="17" xfId="0" applyFill="1" applyBorder="1"/>
    <xf numFmtId="167" fontId="0" fillId="3" borderId="18" xfId="0" applyNumberFormat="1" applyFill="1" applyBorder="1"/>
    <xf numFmtId="0" fontId="0" fillId="3" borderId="15" xfId="0" applyFill="1" applyBorder="1" applyAlignment="1">
      <alignment vertical="top"/>
    </xf>
    <xf numFmtId="0" fontId="0" fillId="3" borderId="17" xfId="0" applyFill="1" applyBorder="1" applyAlignment="1">
      <alignment vertical="top"/>
    </xf>
    <xf numFmtId="49" fontId="8" fillId="4" borderId="8" xfId="2" applyNumberFormat="1"/>
    <xf numFmtId="0" fontId="0" fillId="3" borderId="9" xfId="0" applyFill="1" applyBorder="1" applyAlignment="1">
      <alignment horizontal="center" wrapText="1"/>
    </xf>
    <xf numFmtId="0" fontId="7" fillId="3" borderId="12" xfId="0" applyFont="1" applyFill="1" applyBorder="1"/>
    <xf numFmtId="0" fontId="7" fillId="3" borderId="15" xfId="0" applyFont="1" applyFill="1" applyBorder="1"/>
    <xf numFmtId="0" fontId="7" fillId="3" borderId="30" xfId="0" applyFont="1" applyFill="1" applyBorder="1"/>
    <xf numFmtId="0" fontId="7" fillId="3" borderId="17" xfId="0" applyFont="1" applyFill="1" applyBorder="1" applyAlignment="1">
      <alignment vertical="top"/>
    </xf>
    <xf numFmtId="0" fontId="6" fillId="3" borderId="23" xfId="0" applyFont="1" applyFill="1" applyBorder="1" applyAlignment="1">
      <alignment horizontal="center" wrapText="1"/>
    </xf>
    <xf numFmtId="0" fontId="3" fillId="3" borderId="22" xfId="0" applyFont="1" applyFill="1" applyBorder="1" applyAlignment="1">
      <alignment horizontal="center" wrapText="1"/>
    </xf>
    <xf numFmtId="0" fontId="3" fillId="3" borderId="23" xfId="0" applyFont="1" applyFill="1" applyBorder="1" applyAlignment="1">
      <alignment horizontal="center" wrapText="1"/>
    </xf>
    <xf numFmtId="0" fontId="3" fillId="3" borderId="24" xfId="0" applyFont="1" applyFill="1" applyBorder="1" applyAlignment="1">
      <alignment horizontal="center" wrapText="1"/>
    </xf>
    <xf numFmtId="0" fontId="5" fillId="3" borderId="12" xfId="0" applyFont="1" applyFill="1" applyBorder="1"/>
    <xf numFmtId="0" fontId="5" fillId="3" borderId="15" xfId="0" applyFont="1" applyFill="1" applyBorder="1"/>
    <xf numFmtId="0" fontId="5" fillId="3" borderId="30" xfId="0" applyFont="1" applyFill="1" applyBorder="1"/>
    <xf numFmtId="0" fontId="5" fillId="3" borderId="17" xfId="0" applyFont="1" applyFill="1" applyBorder="1" applyAlignment="1">
      <alignment vertical="top"/>
    </xf>
    <xf numFmtId="174" fontId="0" fillId="3" borderId="19" xfId="0" applyNumberFormat="1" applyFill="1" applyBorder="1"/>
    <xf numFmtId="0" fontId="3" fillId="3" borderId="22" xfId="0" applyFont="1" applyFill="1" applyBorder="1"/>
    <xf numFmtId="0" fontId="3" fillId="3" borderId="24" xfId="0" applyFont="1" applyFill="1" applyBorder="1"/>
    <xf numFmtId="0" fontId="3" fillId="3" borderId="23" xfId="0" applyFont="1" applyFill="1" applyBorder="1"/>
    <xf numFmtId="49" fontId="5" fillId="5" borderId="4" xfId="0" applyNumberFormat="1" applyFont="1" applyFill="1" applyBorder="1" applyAlignment="1" applyProtection="1">
      <alignment horizontal="right"/>
      <protection locked="0"/>
    </xf>
    <xf numFmtId="0" fontId="0" fillId="5" borderId="9" xfId="0" applyFill="1" applyBorder="1"/>
    <xf numFmtId="174" fontId="0" fillId="5" borderId="9" xfId="0" applyNumberFormat="1" applyFill="1" applyBorder="1" applyAlignment="1">
      <alignment horizontal="right"/>
    </xf>
    <xf numFmtId="174" fontId="0" fillId="3" borderId="9" xfId="0" applyNumberFormat="1" applyFill="1" applyBorder="1"/>
    <xf numFmtId="0" fontId="0" fillId="5" borderId="9" xfId="0" applyFill="1" applyBorder="1" applyProtection="1">
      <protection locked="0"/>
    </xf>
    <xf numFmtId="174" fontId="0" fillId="5" borderId="9" xfId="0" applyNumberFormat="1" applyFill="1" applyBorder="1" applyProtection="1">
      <protection locked="0"/>
    </xf>
    <xf numFmtId="0" fontId="0" fillId="6" borderId="22" xfId="0" applyFill="1" applyBorder="1"/>
    <xf numFmtId="0" fontId="2" fillId="7" borderId="0" xfId="0" applyFont="1" applyFill="1"/>
    <xf numFmtId="0" fontId="0" fillId="7" borderId="0" xfId="0" applyFill="1"/>
    <xf numFmtId="0" fontId="4" fillId="7" borderId="0" xfId="1" applyFont="1" applyFill="1" applyBorder="1"/>
    <xf numFmtId="0" fontId="3" fillId="7" borderId="0" xfId="0" applyFont="1" applyFill="1"/>
    <xf numFmtId="0" fontId="2" fillId="7" borderId="0" xfId="0" applyFont="1" applyFill="1" applyAlignment="1">
      <alignment wrapText="1"/>
    </xf>
    <xf numFmtId="0" fontId="0" fillId="7" borderId="15" xfId="0" applyFill="1" applyBorder="1"/>
    <xf numFmtId="0" fontId="0" fillId="7" borderId="0" xfId="0" applyFill="1" applyAlignment="1">
      <alignment vertical="top"/>
    </xf>
    <xf numFmtId="0" fontId="0" fillId="7" borderId="0" xfId="0" applyFill="1" applyAlignment="1">
      <alignment vertical="top" wrapText="1"/>
    </xf>
    <xf numFmtId="0" fontId="0" fillId="7" borderId="28" xfId="0" applyFill="1" applyBorder="1"/>
    <xf numFmtId="0" fontId="0" fillId="7" borderId="26" xfId="0" applyFill="1" applyBorder="1"/>
    <xf numFmtId="0" fontId="0" fillId="7" borderId="27" xfId="0" applyFill="1" applyBorder="1"/>
    <xf numFmtId="20" fontId="0" fillId="7" borderId="27" xfId="0" applyNumberFormat="1" applyFill="1" applyBorder="1"/>
    <xf numFmtId="0" fontId="0" fillId="7" borderId="9" xfId="0" applyFill="1" applyBorder="1"/>
    <xf numFmtId="168" fontId="0" fillId="7" borderId="0" xfId="0" applyNumberFormat="1" applyFill="1"/>
    <xf numFmtId="20" fontId="0" fillId="7" borderId="0" xfId="0" applyNumberFormat="1" applyFill="1"/>
    <xf numFmtId="165" fontId="0" fillId="7" borderId="0" xfId="0" applyNumberFormat="1" applyFill="1"/>
    <xf numFmtId="49" fontId="0" fillId="7" borderId="0" xfId="0" quotePrefix="1" applyNumberFormat="1" applyFill="1"/>
    <xf numFmtId="0" fontId="0" fillId="7" borderId="22" xfId="0" applyFill="1" applyBorder="1" applyAlignment="1">
      <alignment vertical="top"/>
    </xf>
    <xf numFmtId="0" fontId="0" fillId="7" borderId="0" xfId="0" applyFill="1" applyProtection="1">
      <protection locked="0"/>
    </xf>
    <xf numFmtId="168" fontId="0" fillId="5" borderId="2" xfId="0" applyNumberFormat="1" applyFill="1" applyBorder="1" applyProtection="1">
      <protection locked="0"/>
    </xf>
    <xf numFmtId="0" fontId="0" fillId="5" borderId="16" xfId="0" applyFill="1" applyBorder="1" applyProtection="1">
      <protection locked="0"/>
    </xf>
    <xf numFmtId="0" fontId="0" fillId="5" borderId="18" xfId="0" applyFill="1" applyBorder="1" applyProtection="1">
      <protection locked="0"/>
    </xf>
    <xf numFmtId="0" fontId="0" fillId="5" borderId="19" xfId="0" applyFill="1" applyBorder="1" applyProtection="1">
      <protection locked="0"/>
    </xf>
    <xf numFmtId="0" fontId="0" fillId="5" borderId="21" xfId="0" applyFill="1" applyBorder="1" applyAlignment="1" applyProtection="1">
      <alignment horizontal="left" wrapText="1"/>
      <protection locked="0"/>
    </xf>
    <xf numFmtId="0" fontId="0" fillId="5" borderId="16" xfId="0" applyFill="1" applyBorder="1" applyAlignment="1" applyProtection="1">
      <alignment horizontal="left"/>
      <protection locked="0"/>
    </xf>
    <xf numFmtId="0" fontId="0" fillId="5" borderId="19" xfId="0" applyFill="1" applyBorder="1" applyAlignment="1" applyProtection="1">
      <alignment horizontal="left"/>
      <protection locked="0"/>
    </xf>
    <xf numFmtId="0" fontId="5" fillId="7" borderId="25" xfId="0" applyFont="1" applyFill="1" applyBorder="1" applyAlignment="1">
      <alignment vertical="top"/>
    </xf>
    <xf numFmtId="0" fontId="5" fillId="7" borderId="0" xfId="0" applyFont="1" applyFill="1" applyAlignment="1">
      <alignment vertical="top" wrapText="1"/>
    </xf>
    <xf numFmtId="0" fontId="5" fillId="7" borderId="0" xfId="0" applyFont="1" applyFill="1" applyAlignment="1">
      <alignment horizontal="right"/>
    </xf>
    <xf numFmtId="0" fontId="5" fillId="7" borderId="0" xfId="0" applyFont="1" applyFill="1"/>
    <xf numFmtId="0" fontId="5" fillId="7" borderId="29" xfId="0" applyFont="1" applyFill="1" applyBorder="1" applyAlignment="1">
      <alignment vertical="top"/>
    </xf>
    <xf numFmtId="0" fontId="3" fillId="7" borderId="0" xfId="0" applyFont="1" applyFill="1" applyAlignment="1">
      <alignment horizontal="center" wrapText="1"/>
    </xf>
    <xf numFmtId="173" fontId="0" fillId="5" borderId="11" xfId="0" applyNumberFormat="1" applyFill="1" applyBorder="1" applyProtection="1">
      <protection locked="0"/>
    </xf>
    <xf numFmtId="174" fontId="0" fillId="5" borderId="11" xfId="0" applyNumberFormat="1" applyFill="1" applyBorder="1" applyProtection="1">
      <protection locked="0"/>
    </xf>
    <xf numFmtId="0" fontId="0" fillId="5" borderId="11" xfId="0" applyFill="1" applyBorder="1" applyProtection="1">
      <protection locked="0"/>
    </xf>
    <xf numFmtId="173" fontId="0" fillId="5" borderId="9" xfId="0" applyNumberFormat="1" applyFill="1" applyBorder="1" applyProtection="1">
      <protection locked="0"/>
    </xf>
    <xf numFmtId="172" fontId="5" fillId="7" borderId="0" xfId="0" applyNumberFormat="1" applyFont="1" applyFill="1" applyAlignment="1">
      <alignment vertical="top" wrapText="1"/>
    </xf>
    <xf numFmtId="0" fontId="0" fillId="7" borderId="13" xfId="0" applyFill="1" applyBorder="1"/>
    <xf numFmtId="0" fontId="0" fillId="7" borderId="14" xfId="0" applyFill="1" applyBorder="1"/>
    <xf numFmtId="0" fontId="0" fillId="7" borderId="16" xfId="0" applyFill="1" applyBorder="1"/>
    <xf numFmtId="0" fontId="0" fillId="7" borderId="18" xfId="0" applyFill="1" applyBorder="1"/>
    <xf numFmtId="170" fontId="0" fillId="5" borderId="14" xfId="0" applyNumberFormat="1" applyFill="1" applyBorder="1" applyAlignment="1" applyProtection="1">
      <alignment horizontal="right"/>
      <protection locked="0"/>
    </xf>
    <xf numFmtId="170" fontId="0" fillId="5" borderId="16" xfId="0" applyNumberFormat="1" applyFill="1" applyBorder="1" applyAlignment="1" applyProtection="1">
      <alignment horizontal="right"/>
      <protection locked="0"/>
    </xf>
    <xf numFmtId="170" fontId="0" fillId="5" borderId="19" xfId="0" applyNumberFormat="1" applyFill="1" applyBorder="1" applyAlignment="1" applyProtection="1">
      <alignment horizontal="right"/>
      <protection locked="0"/>
    </xf>
    <xf numFmtId="174" fontId="0" fillId="5" borderId="14" xfId="0" applyNumberFormat="1" applyFill="1" applyBorder="1" applyAlignment="1" applyProtection="1">
      <alignment horizontal="right"/>
      <protection locked="0"/>
    </xf>
    <xf numFmtId="174" fontId="0" fillId="5" borderId="16" xfId="0" applyNumberFormat="1" applyFill="1" applyBorder="1" applyAlignment="1" applyProtection="1">
      <alignment horizontal="right"/>
      <protection locked="0"/>
    </xf>
    <xf numFmtId="174" fontId="0" fillId="5" borderId="19" xfId="0" applyNumberFormat="1" applyFill="1" applyBorder="1" applyAlignment="1" applyProtection="1">
      <alignment horizontal="right"/>
      <protection locked="0"/>
    </xf>
    <xf numFmtId="174" fontId="0" fillId="5" borderId="13"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0" fontId="0" fillId="5" borderId="11" xfId="0" applyFill="1" applyBorder="1" applyAlignment="1" applyProtection="1">
      <alignment horizontal="center"/>
      <protection locked="0"/>
    </xf>
    <xf numFmtId="174" fontId="0" fillId="5" borderId="11" xfId="0" applyNumberFormat="1" applyFill="1" applyBorder="1" applyAlignment="1" applyProtection="1">
      <alignment horizontal="right"/>
      <protection locked="0"/>
    </xf>
    <xf numFmtId="0" fontId="0" fillId="5" borderId="9" xfId="0" applyFill="1" applyBorder="1" applyAlignment="1" applyProtection="1">
      <alignment horizontal="center"/>
      <protection locked="0"/>
    </xf>
    <xf numFmtId="174" fontId="0" fillId="5" borderId="9" xfId="0" applyNumberFormat="1" applyFill="1" applyBorder="1" applyAlignment="1" applyProtection="1">
      <alignment horizontal="right"/>
      <protection locked="0"/>
    </xf>
    <xf numFmtId="174" fontId="0" fillId="5" borderId="9" xfId="3" applyNumberFormat="1" applyFont="1" applyFill="1" applyBorder="1" applyAlignment="1" applyProtection="1">
      <alignment horizontal="right"/>
      <protection locked="0"/>
    </xf>
    <xf numFmtId="2" fontId="0" fillId="5" borderId="9" xfId="0" applyNumberFormat="1" applyFill="1" applyBorder="1" applyAlignment="1" applyProtection="1">
      <alignment horizontal="center"/>
      <protection locked="0"/>
    </xf>
    <xf numFmtId="2" fontId="0" fillId="5" borderId="9" xfId="0" applyNumberFormat="1" applyFill="1" applyBorder="1" applyProtection="1">
      <protection locked="0"/>
    </xf>
    <xf numFmtId="170" fontId="0" fillId="5" borderId="9" xfId="0" applyNumberFormat="1" applyFill="1" applyBorder="1" applyProtection="1">
      <protection locked="0"/>
    </xf>
    <xf numFmtId="49" fontId="0" fillId="5" borderId="9" xfId="0" applyNumberFormat="1" applyFill="1" applyBorder="1" applyAlignment="1" applyProtection="1">
      <alignment horizontal="left"/>
      <protection locked="0"/>
    </xf>
    <xf numFmtId="0" fontId="5" fillId="7" borderId="6" xfId="0" applyFont="1" applyFill="1" applyBorder="1" applyAlignment="1">
      <alignment vertical="top"/>
    </xf>
    <xf numFmtId="0" fontId="5" fillId="7" borderId="7" xfId="0" applyFont="1" applyFill="1" applyBorder="1" applyAlignment="1">
      <alignment vertical="top"/>
    </xf>
    <xf numFmtId="0" fontId="0" fillId="7" borderId="0" xfId="0" applyFill="1" applyAlignment="1">
      <alignment wrapText="1"/>
    </xf>
    <xf numFmtId="0" fontId="15" fillId="7" borderId="0" xfId="0" applyFont="1" applyFill="1"/>
    <xf numFmtId="0" fontId="0" fillId="7" borderId="0" xfId="0" applyFill="1" applyAlignment="1">
      <alignment horizontal="center" wrapText="1"/>
    </xf>
    <xf numFmtId="170" fontId="0" fillId="5" borderId="9" xfId="0" applyNumberFormat="1" applyFill="1" applyBorder="1" applyAlignment="1" applyProtection="1">
      <alignment horizontal="right"/>
      <protection locked="0"/>
    </xf>
    <xf numFmtId="171" fontId="0" fillId="5" borderId="9" xfId="0" applyNumberFormat="1" applyFill="1" applyBorder="1" applyAlignment="1" applyProtection="1">
      <alignment horizontal="right"/>
      <protection locked="0"/>
    </xf>
    <xf numFmtId="169" fontId="0" fillId="5" borderId="9" xfId="0" applyNumberFormat="1" applyFill="1" applyBorder="1" applyAlignment="1" applyProtection="1">
      <alignment horizontal="right"/>
      <protection locked="0"/>
    </xf>
    <xf numFmtId="0" fontId="1" fillId="7" borderId="0" xfId="1" applyFill="1" applyBorder="1"/>
    <xf numFmtId="0" fontId="0" fillId="5" borderId="11" xfId="0" applyFill="1" applyBorder="1"/>
    <xf numFmtId="0" fontId="0" fillId="7" borderId="0" xfId="0" applyFill="1" applyAlignment="1">
      <alignment horizontal="left"/>
    </xf>
    <xf numFmtId="167" fontId="0" fillId="7" borderId="0" xfId="0" applyNumberFormat="1" applyFill="1" applyAlignment="1">
      <alignment horizontal="right"/>
    </xf>
    <xf numFmtId="0" fontId="3" fillId="7" borderId="0" xfId="0" applyFont="1" applyFill="1" applyAlignment="1">
      <alignment horizontal="center"/>
    </xf>
    <xf numFmtId="174" fontId="0" fillId="5" borderId="2" xfId="0" applyNumberFormat="1" applyFill="1" applyBorder="1" applyAlignment="1">
      <alignment horizontal="right"/>
    </xf>
    <xf numFmtId="174" fontId="0" fillId="5" borderId="11" xfId="0" applyNumberFormat="1" applyFill="1" applyBorder="1" applyAlignment="1">
      <alignment horizontal="right"/>
    </xf>
    <xf numFmtId="0" fontId="0" fillId="5" borderId="9" xfId="0" applyFill="1" applyBorder="1" applyAlignment="1">
      <alignment horizontal="left"/>
    </xf>
    <xf numFmtId="174" fontId="0" fillId="5" borderId="11" xfId="0" applyNumberFormat="1" applyFill="1" applyBorder="1"/>
    <xf numFmtId="0" fontId="0" fillId="3" borderId="37" xfId="0" applyFill="1" applyBorder="1"/>
    <xf numFmtId="174" fontId="0" fillId="5" borderId="14" xfId="0" applyNumberFormat="1" applyFill="1" applyBorder="1" applyAlignment="1">
      <alignment horizontal="right"/>
    </xf>
    <xf numFmtId="0" fontId="0" fillId="3" borderId="34" xfId="0" applyFill="1" applyBorder="1"/>
    <xf numFmtId="174" fontId="0" fillId="5" borderId="16" xfId="0" applyNumberFormat="1" applyFill="1" applyBorder="1" applyAlignment="1">
      <alignment horizontal="right"/>
    </xf>
    <xf numFmtId="0" fontId="0" fillId="3" borderId="38" xfId="0" applyFill="1" applyBorder="1"/>
    <xf numFmtId="174" fontId="0" fillId="5" borderId="19" xfId="0" applyNumberFormat="1" applyFill="1" applyBorder="1" applyAlignment="1">
      <alignment horizontal="right"/>
    </xf>
    <xf numFmtId="175" fontId="9" fillId="5" borderId="39" xfId="0" applyNumberFormat="1" applyFont="1" applyFill="1" applyBorder="1" applyAlignment="1">
      <alignment horizontal="right"/>
    </xf>
    <xf numFmtId="0" fontId="3" fillId="3" borderId="12" xfId="0" applyFont="1" applyFill="1" applyBorder="1" applyAlignment="1">
      <alignment horizontal="center"/>
    </xf>
    <xf numFmtId="0" fontId="3" fillId="3" borderId="13" xfId="0" applyFont="1" applyFill="1" applyBorder="1" applyAlignment="1">
      <alignment horizontal="center"/>
    </xf>
    <xf numFmtId="0" fontId="3" fillId="3" borderId="14" xfId="0" applyFont="1" applyFill="1" applyBorder="1" applyAlignment="1">
      <alignment horizontal="center"/>
    </xf>
    <xf numFmtId="0" fontId="0" fillId="5" borderId="15" xfId="0" applyFill="1" applyBorder="1" applyAlignment="1">
      <alignment horizontal="center"/>
    </xf>
    <xf numFmtId="0" fontId="0" fillId="5" borderId="36" xfId="0" applyFill="1" applyBorder="1" applyAlignment="1">
      <alignment horizontal="left"/>
    </xf>
    <xf numFmtId="0" fontId="0" fillId="5" borderId="16" xfId="0" applyFill="1" applyBorder="1" applyAlignment="1">
      <alignment horizontal="left"/>
    </xf>
    <xf numFmtId="0" fontId="0" fillId="5" borderId="17" xfId="0" applyFill="1" applyBorder="1" applyAlignment="1">
      <alignment horizontal="center"/>
    </xf>
    <xf numFmtId="174" fontId="0" fillId="5" borderId="18" xfId="0" applyNumberFormat="1" applyFill="1" applyBorder="1" applyAlignment="1">
      <alignment horizontal="right"/>
    </xf>
    <xf numFmtId="0" fontId="0" fillId="5" borderId="19" xfId="0" applyFill="1" applyBorder="1" applyAlignment="1">
      <alignment horizontal="left"/>
    </xf>
    <xf numFmtId="0" fontId="0" fillId="5" borderId="11" xfId="0" applyFill="1" applyBorder="1" applyAlignment="1">
      <alignment horizontal="left"/>
    </xf>
    <xf numFmtId="0" fontId="3" fillId="3" borderId="22" xfId="0" applyFont="1" applyFill="1" applyBorder="1" applyAlignment="1">
      <alignment horizontal="center"/>
    </xf>
    <xf numFmtId="0" fontId="3" fillId="3" borderId="23" xfId="0" applyFont="1" applyFill="1" applyBorder="1" applyAlignment="1">
      <alignment horizontal="center"/>
    </xf>
    <xf numFmtId="0" fontId="3" fillId="3" borderId="24" xfId="0" applyFont="1" applyFill="1" applyBorder="1" applyAlignment="1">
      <alignment horizontal="center"/>
    </xf>
    <xf numFmtId="170" fontId="0" fillId="5" borderId="13" xfId="0" applyNumberFormat="1" applyFill="1" applyBorder="1" applyAlignment="1" applyProtection="1">
      <alignment horizontal="right"/>
      <protection locked="0"/>
    </xf>
    <xf numFmtId="176" fontId="0" fillId="5" borderId="9" xfId="0" applyNumberFormat="1" applyFill="1" applyBorder="1" applyProtection="1">
      <protection locked="0"/>
    </xf>
    <xf numFmtId="169" fontId="0" fillId="5" borderId="9" xfId="0" applyNumberFormat="1" applyFill="1" applyBorder="1" applyProtection="1">
      <protection locked="0"/>
    </xf>
    <xf numFmtId="177" fontId="0" fillId="5" borderId="5" xfId="0" applyNumberFormat="1" applyFill="1" applyBorder="1" applyAlignment="1" applyProtection="1">
      <alignment horizontal="right"/>
      <protection locked="0"/>
    </xf>
    <xf numFmtId="177" fontId="0" fillId="5" borderId="2" xfId="0" applyNumberFormat="1" applyFill="1" applyBorder="1" applyAlignment="1" applyProtection="1">
      <alignment horizontal="right"/>
      <protection locked="0"/>
    </xf>
    <xf numFmtId="0" fontId="3" fillId="5" borderId="9" xfId="0" applyFont="1" applyFill="1" applyBorder="1" applyProtection="1">
      <protection locked="0"/>
    </xf>
    <xf numFmtId="49" fontId="0" fillId="0" borderId="0" xfId="0" applyNumberFormat="1" applyAlignment="1">
      <alignment horizontal="right"/>
    </xf>
    <xf numFmtId="0" fontId="0" fillId="0" borderId="0" xfId="0" applyAlignment="1">
      <alignment horizontal="right"/>
    </xf>
    <xf numFmtId="0" fontId="0" fillId="0" borderId="1" xfId="0" applyBorder="1" applyAlignment="1">
      <alignment horizontal="center"/>
    </xf>
    <xf numFmtId="49" fontId="0" fillId="0" borderId="1" xfId="0" applyNumberFormat="1" applyBorder="1" applyAlignment="1">
      <alignment horizontal="center"/>
    </xf>
    <xf numFmtId="49" fontId="3" fillId="3" borderId="9" xfId="0" applyNumberFormat="1" applyFont="1" applyFill="1" applyBorder="1" applyAlignment="1">
      <alignment horizontal="center" wrapText="1"/>
    </xf>
    <xf numFmtId="0" fontId="0" fillId="0" borderId="9" xfId="0" applyBorder="1"/>
    <xf numFmtId="49" fontId="0" fillId="0" borderId="9" xfId="0" applyNumberFormat="1" applyBorder="1" applyAlignment="1">
      <alignment horizontal="right"/>
    </xf>
    <xf numFmtId="49" fontId="0" fillId="5" borderId="9" xfId="0" applyNumberFormat="1" applyFill="1" applyBorder="1" applyProtection="1">
      <protection locked="0"/>
    </xf>
    <xf numFmtId="0" fontId="0" fillId="0" borderId="9" xfId="0" applyBorder="1" applyAlignment="1">
      <alignment horizontal="right"/>
    </xf>
    <xf numFmtId="0" fontId="0" fillId="7" borderId="0" xfId="0" applyFill="1" applyAlignment="1">
      <alignment horizontal="center"/>
    </xf>
    <xf numFmtId="49" fontId="0" fillId="5" borderId="9" xfId="0" applyNumberFormat="1" applyFill="1" applyBorder="1" applyAlignment="1" applyProtection="1">
      <alignment horizontal="right"/>
      <protection locked="0"/>
    </xf>
    <xf numFmtId="2" fontId="0" fillId="5" borderId="11" xfId="0" applyNumberFormat="1" applyFill="1" applyBorder="1"/>
    <xf numFmtId="0" fontId="0" fillId="0" borderId="9" xfId="0" applyBorder="1" applyAlignment="1">
      <alignment horizontal="left"/>
    </xf>
    <xf numFmtId="174" fontId="0" fillId="0" borderId="9" xfId="0" applyNumberFormat="1" applyBorder="1"/>
    <xf numFmtId="178" fontId="0" fillId="7" borderId="28" xfId="0" applyNumberFormat="1" applyFill="1" applyBorder="1"/>
    <xf numFmtId="179" fontId="0" fillId="7" borderId="28" xfId="0" applyNumberFormat="1" applyFill="1" applyBorder="1"/>
    <xf numFmtId="0" fontId="3" fillId="3" borderId="23" xfId="0" applyFont="1" applyFill="1" applyBorder="1" applyAlignment="1">
      <alignment horizontal="center" vertical="top" wrapText="1"/>
    </xf>
    <xf numFmtId="0" fontId="0" fillId="5" borderId="11" xfId="0" applyFill="1" applyBorder="1" applyAlignment="1" applyProtection="1">
      <alignment horizontal="right" wrapText="1"/>
      <protection locked="0"/>
    </xf>
    <xf numFmtId="0" fontId="0" fillId="5" borderId="9" xfId="0" applyFill="1" applyBorder="1" applyAlignment="1" applyProtection="1">
      <alignment horizontal="right"/>
      <protection locked="0"/>
    </xf>
    <xf numFmtId="0" fontId="0" fillId="5" borderId="18" xfId="0" applyFill="1" applyBorder="1" applyAlignment="1" applyProtection="1">
      <alignment horizontal="right"/>
      <protection locked="0"/>
    </xf>
    <xf numFmtId="0" fontId="0" fillId="5" borderId="9" xfId="0" applyFill="1" applyBorder="1" applyAlignment="1" applyProtection="1">
      <alignment horizontal="left"/>
      <protection locked="0"/>
    </xf>
    <xf numFmtId="0" fontId="0" fillId="5" borderId="16" xfId="0" applyFill="1" applyBorder="1" applyAlignment="1" applyProtection="1">
      <alignment horizontal="left"/>
      <protection locked="0"/>
    </xf>
    <xf numFmtId="49" fontId="0" fillId="5" borderId="23" xfId="0" applyNumberFormat="1" applyFill="1" applyBorder="1" applyProtection="1">
      <protection locked="0"/>
    </xf>
    <xf numFmtId="49" fontId="0" fillId="5" borderId="24" xfId="0" applyNumberFormat="1" applyFill="1" applyBorder="1" applyProtection="1">
      <protection locked="0"/>
    </xf>
    <xf numFmtId="0" fontId="0" fillId="5" borderId="9" xfId="0" applyFill="1" applyBorder="1" applyAlignment="1" applyProtection="1">
      <alignment horizontal="center" vertical="top" wrapText="1"/>
      <protection locked="0"/>
    </xf>
    <xf numFmtId="0" fontId="0" fillId="5" borderId="16" xfId="0" applyFill="1" applyBorder="1" applyAlignment="1" applyProtection="1">
      <alignment horizontal="center" vertical="top" wrapText="1"/>
      <protection locked="0"/>
    </xf>
    <xf numFmtId="0" fontId="0" fillId="5" borderId="18" xfId="0" applyFill="1" applyBorder="1" applyAlignment="1" applyProtection="1">
      <alignment horizontal="center" vertical="top" wrapText="1"/>
      <protection locked="0"/>
    </xf>
    <xf numFmtId="0" fontId="0" fillId="5" borderId="19" xfId="0" applyFill="1" applyBorder="1" applyAlignment="1" applyProtection="1">
      <alignment horizontal="center" vertical="top" wrapText="1"/>
      <protection locked="0"/>
    </xf>
    <xf numFmtId="0" fontId="12" fillId="8" borderId="0" xfId="1" applyFont="1" applyFill="1" applyBorder="1" applyAlignment="1">
      <alignment horizontal="left"/>
    </xf>
    <xf numFmtId="0" fontId="0" fillId="5" borderId="13" xfId="0" applyFill="1" applyBorder="1" applyAlignment="1" applyProtection="1">
      <alignment horizontal="left"/>
      <protection locked="0"/>
    </xf>
    <xf numFmtId="0" fontId="0" fillId="5" borderId="14" xfId="0" applyFill="1" applyBorder="1" applyAlignment="1" applyProtection="1">
      <alignment horizontal="left"/>
      <protection locked="0"/>
    </xf>
    <xf numFmtId="49" fontId="0" fillId="5" borderId="13" xfId="0" applyNumberFormat="1" applyFill="1" applyBorder="1" applyAlignment="1" applyProtection="1">
      <alignment horizontal="right"/>
      <protection locked="0"/>
    </xf>
    <xf numFmtId="49" fontId="0" fillId="5" borderId="14" xfId="0" applyNumberFormat="1" applyFill="1" applyBorder="1" applyAlignment="1" applyProtection="1">
      <alignment horizontal="right"/>
      <protection locked="0"/>
    </xf>
    <xf numFmtId="1" fontId="0" fillId="5" borderId="9" xfId="0" applyNumberFormat="1" applyFill="1" applyBorder="1" applyAlignment="1" applyProtection="1">
      <alignment horizontal="right"/>
      <protection locked="0"/>
    </xf>
    <xf numFmtId="1" fontId="0" fillId="5" borderId="16" xfId="0" applyNumberFormat="1" applyFill="1" applyBorder="1" applyAlignment="1" applyProtection="1">
      <alignment horizontal="right"/>
      <protection locked="0"/>
    </xf>
    <xf numFmtId="49" fontId="0" fillId="5" borderId="18" xfId="0" applyNumberFormat="1" applyFill="1" applyBorder="1" applyAlignment="1" applyProtection="1">
      <alignment horizontal="right"/>
      <protection locked="0"/>
    </xf>
    <xf numFmtId="49" fontId="0" fillId="5" borderId="19" xfId="0" applyNumberFormat="1" applyFill="1" applyBorder="1" applyAlignment="1" applyProtection="1">
      <alignment horizontal="right"/>
      <protection locked="0"/>
    </xf>
    <xf numFmtId="49" fontId="5" fillId="5" borderId="2" xfId="0" applyNumberFormat="1" applyFont="1" applyFill="1" applyBorder="1" applyAlignment="1" applyProtection="1">
      <alignment horizontal="right"/>
      <protection locked="0"/>
    </xf>
    <xf numFmtId="49" fontId="5" fillId="5" borderId="4" xfId="0" applyNumberFormat="1" applyFont="1" applyFill="1" applyBorder="1" applyAlignment="1" applyProtection="1">
      <alignment horizontal="right"/>
      <protection locked="0"/>
    </xf>
    <xf numFmtId="0" fontId="5" fillId="5" borderId="2" xfId="0" applyFont="1" applyFill="1" applyBorder="1" applyAlignment="1" applyProtection="1">
      <alignment horizontal="right"/>
      <protection locked="0"/>
    </xf>
    <xf numFmtId="0" fontId="5" fillId="5" borderId="4" xfId="0" applyFont="1" applyFill="1" applyBorder="1" applyAlignment="1" applyProtection="1">
      <alignment horizontal="right"/>
      <protection locked="0"/>
    </xf>
    <xf numFmtId="0" fontId="5" fillId="5" borderId="31" xfId="0" applyFont="1" applyFill="1" applyBorder="1" applyAlignment="1" applyProtection="1">
      <alignment horizontal="left" vertical="top"/>
      <protection locked="0"/>
    </xf>
    <xf numFmtId="0" fontId="5" fillId="5" borderId="32" xfId="0" applyFont="1" applyFill="1" applyBorder="1" applyAlignment="1" applyProtection="1">
      <alignment horizontal="left" vertical="top"/>
      <protection locked="0"/>
    </xf>
    <xf numFmtId="0" fontId="5" fillId="5" borderId="33" xfId="0" applyFont="1" applyFill="1" applyBorder="1" applyAlignment="1" applyProtection="1">
      <alignment horizontal="left" vertical="top"/>
      <protection locked="0"/>
    </xf>
    <xf numFmtId="49" fontId="5" fillId="3" borderId="13" xfId="0" applyNumberFormat="1" applyFont="1" applyFill="1" applyBorder="1" applyAlignment="1">
      <alignment horizontal="right"/>
    </xf>
    <xf numFmtId="0" fontId="5" fillId="5" borderId="9" xfId="0" applyFont="1" applyFill="1" applyBorder="1" applyAlignment="1" applyProtection="1">
      <alignment horizontal="right"/>
      <protection locked="0"/>
    </xf>
    <xf numFmtId="166" fontId="5" fillId="3" borderId="9" xfId="0" applyNumberFormat="1" applyFont="1" applyFill="1" applyBorder="1" applyAlignment="1">
      <alignment horizontal="right"/>
    </xf>
    <xf numFmtId="168" fontId="5" fillId="5" borderId="2" xfId="0" applyNumberFormat="1" applyFont="1" applyFill="1" applyBorder="1" applyAlignment="1" applyProtection="1">
      <alignment horizontal="right"/>
      <protection locked="0"/>
    </xf>
    <xf numFmtId="168" fontId="5" fillId="5" borderId="4" xfId="0" applyNumberFormat="1" applyFont="1" applyFill="1" applyBorder="1" applyAlignment="1" applyProtection="1">
      <alignment horizontal="right"/>
      <protection locked="0"/>
    </xf>
    <xf numFmtId="0" fontId="0" fillId="3" borderId="2" xfId="0" applyFill="1" applyBorder="1" applyAlignment="1">
      <alignment horizontal="left"/>
    </xf>
    <xf numFmtId="0" fontId="0" fillId="3" borderId="4" xfId="0" applyFill="1" applyBorder="1" applyAlignment="1">
      <alignment horizontal="left"/>
    </xf>
    <xf numFmtId="0" fontId="12" fillId="8" borderId="1" xfId="1" applyFont="1" applyFill="1" applyBorder="1" applyAlignment="1">
      <alignment horizontal="left"/>
    </xf>
    <xf numFmtId="49" fontId="5" fillId="5" borderId="2" xfId="0" applyNumberFormat="1" applyFont="1" applyFill="1" applyBorder="1" applyAlignment="1" applyProtection="1">
      <alignment horizontal="left" wrapText="1"/>
      <protection locked="0"/>
    </xf>
    <xf numFmtId="49" fontId="5" fillId="5" borderId="3" xfId="0" applyNumberFormat="1" applyFont="1" applyFill="1" applyBorder="1" applyAlignment="1" applyProtection="1">
      <alignment horizontal="left" wrapText="1"/>
      <protection locked="0"/>
    </xf>
    <xf numFmtId="49" fontId="5" fillId="5" borderId="4" xfId="0" applyNumberFormat="1" applyFont="1" applyFill="1" applyBorder="1" applyAlignment="1" applyProtection="1">
      <alignment horizontal="left" wrapText="1"/>
      <protection locked="0"/>
    </xf>
    <xf numFmtId="0" fontId="5" fillId="3" borderId="9" xfId="0" applyFont="1" applyFill="1" applyBorder="1" applyAlignment="1">
      <alignment horizontal="right"/>
    </xf>
    <xf numFmtId="168" fontId="5" fillId="5" borderId="9" xfId="0" applyNumberFormat="1" applyFont="1" applyFill="1" applyBorder="1" applyAlignment="1" applyProtection="1">
      <alignment horizontal="right"/>
      <protection locked="0"/>
    </xf>
    <xf numFmtId="49" fontId="5" fillId="5" borderId="9" xfId="0" applyNumberFormat="1" applyFont="1" applyFill="1" applyBorder="1" applyAlignment="1" applyProtection="1">
      <alignment horizontal="right"/>
      <protection locked="0"/>
    </xf>
    <xf numFmtId="49" fontId="5" fillId="5" borderId="31" xfId="0" applyNumberFormat="1" applyFont="1" applyFill="1" applyBorder="1" applyAlignment="1" applyProtection="1">
      <alignment horizontal="left" wrapText="1"/>
      <protection locked="0"/>
    </xf>
    <xf numFmtId="49" fontId="5" fillId="5" borderId="32" xfId="0" applyNumberFormat="1" applyFont="1" applyFill="1" applyBorder="1" applyAlignment="1" applyProtection="1">
      <alignment horizontal="left" wrapText="1"/>
      <protection locked="0"/>
    </xf>
    <xf numFmtId="49" fontId="5" fillId="5" borderId="33" xfId="0" applyNumberFormat="1" applyFont="1" applyFill="1" applyBorder="1" applyAlignment="1" applyProtection="1">
      <alignment horizontal="left" wrapText="1"/>
      <protection locked="0"/>
    </xf>
    <xf numFmtId="0" fontId="13" fillId="8" borderId="0" xfId="1" applyFont="1" applyFill="1" applyBorder="1" applyAlignment="1">
      <alignment horizontal="left"/>
    </xf>
    <xf numFmtId="0" fontId="5" fillId="3" borderId="34" xfId="0" applyFont="1" applyFill="1" applyBorder="1" applyAlignment="1">
      <alignment horizontal="left"/>
    </xf>
    <xf numFmtId="0" fontId="5" fillId="3" borderId="4" xfId="0" applyFont="1" applyFill="1" applyBorder="1" applyAlignment="1">
      <alignment horizontal="left"/>
    </xf>
    <xf numFmtId="49" fontId="0" fillId="5" borderId="9" xfId="0" applyNumberFormat="1" applyFill="1" applyBorder="1" applyAlignment="1" applyProtection="1">
      <alignment wrapText="1"/>
      <protection locked="0"/>
    </xf>
    <xf numFmtId="0" fontId="3" fillId="3" borderId="35" xfId="0" applyFont="1" applyFill="1" applyBorder="1"/>
    <xf numFmtId="0" fontId="3" fillId="3" borderId="40" xfId="0" applyFont="1" applyFill="1" applyBorder="1"/>
    <xf numFmtId="0" fontId="5" fillId="5" borderId="31" xfId="0" applyFont="1" applyFill="1" applyBorder="1" applyAlignment="1">
      <alignment wrapText="1"/>
    </xf>
    <xf numFmtId="0" fontId="5" fillId="5" borderId="32" xfId="0" applyFont="1" applyFill="1" applyBorder="1" applyAlignment="1">
      <alignment wrapText="1"/>
    </xf>
    <xf numFmtId="0" fontId="5" fillId="5" borderId="33" xfId="0" applyFont="1" applyFill="1" applyBorder="1" applyAlignment="1">
      <alignment wrapText="1"/>
    </xf>
    <xf numFmtId="0" fontId="5" fillId="3" borderId="13" xfId="0" applyFont="1" applyFill="1" applyBorder="1" applyAlignment="1">
      <alignment horizontal="right"/>
    </xf>
    <xf numFmtId="0" fontId="5" fillId="5" borderId="9" xfId="0" applyFont="1" applyFill="1" applyBorder="1" applyAlignment="1">
      <alignment horizontal="right"/>
    </xf>
    <xf numFmtId="168" fontId="5" fillId="5" borderId="9" xfId="0" applyNumberFormat="1" applyFont="1" applyFill="1" applyBorder="1" applyAlignment="1">
      <alignment horizontal="right"/>
    </xf>
    <xf numFmtId="168" fontId="5" fillId="5" borderId="2" xfId="0" applyNumberFormat="1" applyFont="1" applyFill="1" applyBorder="1" applyAlignment="1">
      <alignment horizontal="right"/>
    </xf>
    <xf numFmtId="168" fontId="5" fillId="5" borderId="4" xfId="0" applyNumberFormat="1" applyFont="1" applyFill="1" applyBorder="1" applyAlignment="1">
      <alignment horizontal="right"/>
    </xf>
    <xf numFmtId="49" fontId="0" fillId="5" borderId="11" xfId="0" applyNumberFormat="1" applyFill="1" applyBorder="1" applyAlignment="1" applyProtection="1">
      <alignment wrapText="1"/>
      <protection locked="0"/>
    </xf>
    <xf numFmtId="49" fontId="5" fillId="5" borderId="9" xfId="0" applyNumberFormat="1" applyFont="1" applyFill="1" applyBorder="1" applyAlignment="1">
      <alignment horizontal="right"/>
    </xf>
  </cellXfs>
  <cellStyles count="4">
    <cellStyle name="Calculation" xfId="2" builtinId="22"/>
    <cellStyle name="Comma" xfId="3" builtinId="3"/>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ice density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Core'!$G$27:$G$64</c:f>
              <c:numCache>
                <c:formatCode>0" cm"</c:formatCode>
                <c:ptCount val="38"/>
                <c:pt idx="0">
                  <c:v>22.5</c:v>
                </c:pt>
                <c:pt idx="1">
                  <c:v>26.5</c:v>
                </c:pt>
                <c:pt idx="2">
                  <c:v>31.5</c:v>
                </c:pt>
                <c:pt idx="3">
                  <c:v>37.5</c:v>
                </c:pt>
                <c:pt idx="4">
                  <c:v>42.5</c:v>
                </c:pt>
                <c:pt idx="5">
                  <c:v>47.5</c:v>
                </c:pt>
                <c:pt idx="6">
                  <c:v>52.5</c:v>
                </c:pt>
                <c:pt idx="7">
                  <c:v>57.5</c:v>
                </c:pt>
                <c:pt idx="8">
                  <c:v>62.5</c:v>
                </c:pt>
                <c:pt idx="9">
                  <c:v>67.5</c:v>
                </c:pt>
                <c:pt idx="10">
                  <c:v>72.5</c:v>
                </c:pt>
                <c:pt idx="11">
                  <c:v>77.5</c:v>
                </c:pt>
                <c:pt idx="12">
                  <c:v>82.5</c:v>
                </c:pt>
                <c:pt idx="13">
                  <c:v>87.5</c:v>
                </c:pt>
                <c:pt idx="14">
                  <c:v>93.5</c:v>
                </c:pt>
                <c:pt idx="15" formatCode="General">
                  <c:v>99.5</c:v>
                </c:pt>
                <c:pt idx="16" formatCode="General">
                  <c:v>104.5</c:v>
                </c:pt>
                <c:pt idx="17">
                  <c:v>109.5</c:v>
                </c:pt>
                <c:pt idx="18" formatCode="General">
                  <c:v>114.5</c:v>
                </c:pt>
                <c:pt idx="19" formatCode="General">
                  <c:v>119.5</c:v>
                </c:pt>
                <c:pt idx="20">
                  <c:v>124.5</c:v>
                </c:pt>
                <c:pt idx="21" formatCode="General">
                  <c:v>129.5</c:v>
                </c:pt>
                <c:pt idx="22" formatCode="General">
                  <c:v>134.5</c:v>
                </c:pt>
                <c:pt idx="23">
                  <c:v>139.5</c:v>
                </c:pt>
                <c:pt idx="24" formatCode="General">
                  <c:v>144.5</c:v>
                </c:pt>
                <c:pt idx="25" formatCode="General">
                  <c:v>149.5</c:v>
                </c:pt>
                <c:pt idx="26">
                  <c:v>154.5</c:v>
                </c:pt>
                <c:pt idx="27" formatCode="General">
                  <c:v>159.5</c:v>
                </c:pt>
                <c:pt idx="28" formatCode="General">
                  <c:v>164.5</c:v>
                </c:pt>
                <c:pt idx="29">
                  <c:v>169.5</c:v>
                </c:pt>
                <c:pt idx="30" formatCode="General">
                  <c:v>174.5</c:v>
                </c:pt>
                <c:pt idx="31" formatCode="General">
                  <c:v>179.5</c:v>
                </c:pt>
                <c:pt idx="32">
                  <c:v>184.5</c:v>
                </c:pt>
                <c:pt idx="33" formatCode="General">
                  <c:v>189</c:v>
                </c:pt>
              </c:numCache>
            </c:numRef>
          </c:xVal>
          <c:yVal>
            <c:numRef>
              <c:f>'Density Core'!$H$27:$H$64</c:f>
              <c:numCache>
                <c:formatCode>General</c:formatCode>
                <c:ptCount val="38"/>
                <c:pt idx="0">
                  <c:v>0.83682572159298507</c:v>
                </c:pt>
                <c:pt idx="1">
                  <c:v>0.83199999999999996</c:v>
                </c:pt>
                <c:pt idx="2">
                  <c:v>0.83659381957431656</c:v>
                </c:pt>
                <c:pt idx="3">
                  <c:v>0.84761957220233175</c:v>
                </c:pt>
                <c:pt idx="4">
                  <c:v>0.83826295118758176</c:v>
                </c:pt>
                <c:pt idx="5">
                  <c:v>0.84462032085561489</c:v>
                </c:pt>
                <c:pt idx="6">
                  <c:v>0.86359550805620355</c:v>
                </c:pt>
                <c:pt idx="7">
                  <c:v>0.86435400603419388</c:v>
                </c:pt>
                <c:pt idx="8">
                  <c:v>0.87194745073506408</c:v>
                </c:pt>
                <c:pt idx="9">
                  <c:v>0.89186066625481153</c:v>
                </c:pt>
                <c:pt idx="10">
                  <c:v>0.90043035627566104</c:v>
                </c:pt>
                <c:pt idx="11">
                  <c:v>0.87267828655834567</c:v>
                </c:pt>
                <c:pt idx="12">
                  <c:v>0.8827217706395063</c:v>
                </c:pt>
                <c:pt idx="13">
                  <c:v>0.8824977104321039</c:v>
                </c:pt>
                <c:pt idx="14">
                  <c:v>0.90980545608058916</c:v>
                </c:pt>
                <c:pt idx="15">
                  <c:v>0.91035322818086217</c:v>
                </c:pt>
                <c:pt idx="16">
                  <c:v>0.91227252353204835</c:v>
                </c:pt>
                <c:pt idx="17">
                  <c:v>0.9110112145072774</c:v>
                </c:pt>
                <c:pt idx="18">
                  <c:v>0.90422245506568866</c:v>
                </c:pt>
                <c:pt idx="19">
                  <c:v>0.90234192712084105</c:v>
                </c:pt>
                <c:pt idx="20">
                  <c:v>0.89640276903713023</c:v>
                </c:pt>
                <c:pt idx="21">
                  <c:v>0.89603395225464189</c:v>
                </c:pt>
                <c:pt idx="22">
                  <c:v>0.9128813998703823</c:v>
                </c:pt>
                <c:pt idx="23">
                  <c:v>0.91380547686496694</c:v>
                </c:pt>
                <c:pt idx="24">
                  <c:v>0.91215211053365441</c:v>
                </c:pt>
                <c:pt idx="25">
                  <c:v>0.9095653447223917</c:v>
                </c:pt>
                <c:pt idx="26">
                  <c:v>0.88968902543096084</c:v>
                </c:pt>
                <c:pt idx="27">
                  <c:v>0.90035527690700101</c:v>
                </c:pt>
                <c:pt idx="28">
                  <c:v>0.90370333540501346</c:v>
                </c:pt>
                <c:pt idx="29">
                  <c:v>0.90841533006922159</c:v>
                </c:pt>
                <c:pt idx="30">
                  <c:v>0.90585372965092736</c:v>
                </c:pt>
                <c:pt idx="31">
                  <c:v>0.91245959402527754</c:v>
                </c:pt>
                <c:pt idx="32">
                  <c:v>0.90358894278165536</c:v>
                </c:pt>
                <c:pt idx="33">
                  <c:v>0.90199726402188773</c:v>
                </c:pt>
              </c:numCache>
            </c:numRef>
          </c:yVal>
          <c:smooth val="1"/>
          <c:extLst>
            <c:ext xmlns:c16="http://schemas.microsoft.com/office/drawing/2014/chart" uri="{C3380CC4-5D6E-409C-BE32-E72D297353CC}">
              <c16:uniqueId val="{00000000-C971-43E0-B961-B9A415DD2577}"/>
            </c:ext>
          </c:extLst>
        </c:ser>
        <c:dLbls>
          <c:showLegendKey val="0"/>
          <c:showVal val="0"/>
          <c:showCatName val="0"/>
          <c:showSerName val="0"/>
          <c:showPercent val="0"/>
          <c:showBubbleSize val="0"/>
        </c:dLbls>
        <c:axId val="808751455"/>
        <c:axId val="656068911"/>
      </c:scatterChart>
      <c:valAx>
        <c:axId val="808751455"/>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068911"/>
        <c:crosses val="autoZero"/>
        <c:crossBetween val="midCat"/>
      </c:valAx>
      <c:valAx>
        <c:axId val="65606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514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salinity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Core'!$G$23:$G$60</c:f>
              <c:numCache>
                <c:formatCode>0" cm"</c:formatCode>
                <c:ptCount val="38"/>
                <c:pt idx="0">
                  <c:v>2.5</c:v>
                </c:pt>
                <c:pt idx="1">
                  <c:v>7.5</c:v>
                </c:pt>
                <c:pt idx="2">
                  <c:v>12.5</c:v>
                </c:pt>
                <c:pt idx="3">
                  <c:v>17.5</c:v>
                </c:pt>
                <c:pt idx="4">
                  <c:v>22.5</c:v>
                </c:pt>
                <c:pt idx="5">
                  <c:v>26.5</c:v>
                </c:pt>
                <c:pt idx="6">
                  <c:v>31.5</c:v>
                </c:pt>
                <c:pt idx="7">
                  <c:v>37.5</c:v>
                </c:pt>
                <c:pt idx="8">
                  <c:v>42.5</c:v>
                </c:pt>
                <c:pt idx="9">
                  <c:v>47.5</c:v>
                </c:pt>
                <c:pt idx="10">
                  <c:v>52.5</c:v>
                </c:pt>
                <c:pt idx="11">
                  <c:v>57.5</c:v>
                </c:pt>
                <c:pt idx="12">
                  <c:v>62.5</c:v>
                </c:pt>
                <c:pt idx="13">
                  <c:v>67.5</c:v>
                </c:pt>
                <c:pt idx="14">
                  <c:v>72.5</c:v>
                </c:pt>
                <c:pt idx="15">
                  <c:v>77.5</c:v>
                </c:pt>
                <c:pt idx="16">
                  <c:v>82.5</c:v>
                </c:pt>
                <c:pt idx="17">
                  <c:v>87.5</c:v>
                </c:pt>
                <c:pt idx="18">
                  <c:v>93.5</c:v>
                </c:pt>
                <c:pt idx="19" formatCode="General">
                  <c:v>99.5</c:v>
                </c:pt>
                <c:pt idx="20" formatCode="General">
                  <c:v>104.5</c:v>
                </c:pt>
                <c:pt idx="21">
                  <c:v>109.5</c:v>
                </c:pt>
                <c:pt idx="22" formatCode="General">
                  <c:v>114.5</c:v>
                </c:pt>
                <c:pt idx="23" formatCode="General">
                  <c:v>119.5</c:v>
                </c:pt>
                <c:pt idx="24">
                  <c:v>124.5</c:v>
                </c:pt>
                <c:pt idx="25" formatCode="General">
                  <c:v>129.5</c:v>
                </c:pt>
                <c:pt idx="26" formatCode="General">
                  <c:v>134.5</c:v>
                </c:pt>
                <c:pt idx="27">
                  <c:v>139.5</c:v>
                </c:pt>
                <c:pt idx="28" formatCode="General">
                  <c:v>144.5</c:v>
                </c:pt>
                <c:pt idx="29" formatCode="General">
                  <c:v>149.5</c:v>
                </c:pt>
                <c:pt idx="30">
                  <c:v>154.5</c:v>
                </c:pt>
                <c:pt idx="31" formatCode="General">
                  <c:v>159.5</c:v>
                </c:pt>
                <c:pt idx="32" formatCode="General">
                  <c:v>164.5</c:v>
                </c:pt>
                <c:pt idx="33">
                  <c:v>169.5</c:v>
                </c:pt>
                <c:pt idx="34" formatCode="General">
                  <c:v>174.5</c:v>
                </c:pt>
                <c:pt idx="35" formatCode="General">
                  <c:v>179.5</c:v>
                </c:pt>
                <c:pt idx="36">
                  <c:v>184.5</c:v>
                </c:pt>
                <c:pt idx="37" formatCode="General">
                  <c:v>189</c:v>
                </c:pt>
              </c:numCache>
            </c:numRef>
          </c:xVal>
          <c:yVal>
            <c:numRef>
              <c:f>'Density Core'!$J$23:$J$60</c:f>
              <c:numCache>
                <c:formatCode>General</c:formatCode>
                <c:ptCount val="38"/>
                <c:pt idx="0">
                  <c:v>1.2</c:v>
                </c:pt>
                <c:pt idx="1">
                  <c:v>1.1000000000000001</c:v>
                </c:pt>
                <c:pt idx="2">
                  <c:v>0.6</c:v>
                </c:pt>
                <c:pt idx="3">
                  <c:v>0.8</c:v>
                </c:pt>
                <c:pt idx="4">
                  <c:v>0.8</c:v>
                </c:pt>
                <c:pt idx="5">
                  <c:v>0.7</c:v>
                </c:pt>
                <c:pt idx="6">
                  <c:v>0.6</c:v>
                </c:pt>
                <c:pt idx="7">
                  <c:v>0.4</c:v>
                </c:pt>
                <c:pt idx="8">
                  <c:v>0.4</c:v>
                </c:pt>
                <c:pt idx="9">
                  <c:v>0.5</c:v>
                </c:pt>
                <c:pt idx="10">
                  <c:v>0.6</c:v>
                </c:pt>
                <c:pt idx="11">
                  <c:v>0.6</c:v>
                </c:pt>
                <c:pt idx="12">
                  <c:v>0.7</c:v>
                </c:pt>
                <c:pt idx="13">
                  <c:v>0.5</c:v>
                </c:pt>
                <c:pt idx="14">
                  <c:v>0.4</c:v>
                </c:pt>
                <c:pt idx="15">
                  <c:v>0.5</c:v>
                </c:pt>
                <c:pt idx="16">
                  <c:v>0.8</c:v>
                </c:pt>
                <c:pt idx="17">
                  <c:v>0.5</c:v>
                </c:pt>
                <c:pt idx="18">
                  <c:v>0.4</c:v>
                </c:pt>
                <c:pt idx="19">
                  <c:v>0.8</c:v>
                </c:pt>
                <c:pt idx="20">
                  <c:v>1.1000000000000001</c:v>
                </c:pt>
                <c:pt idx="21">
                  <c:v>2</c:v>
                </c:pt>
                <c:pt idx="22">
                  <c:v>2.5</c:v>
                </c:pt>
                <c:pt idx="23">
                  <c:v>2.5</c:v>
                </c:pt>
                <c:pt idx="24">
                  <c:v>2.5</c:v>
                </c:pt>
                <c:pt idx="25">
                  <c:v>2.6</c:v>
                </c:pt>
                <c:pt idx="26">
                  <c:v>2.2000000000000002</c:v>
                </c:pt>
                <c:pt idx="27">
                  <c:v>1.9</c:v>
                </c:pt>
                <c:pt idx="28">
                  <c:v>2</c:v>
                </c:pt>
                <c:pt idx="29">
                  <c:v>2</c:v>
                </c:pt>
                <c:pt idx="30">
                  <c:v>3.1</c:v>
                </c:pt>
                <c:pt idx="31">
                  <c:v>2.8</c:v>
                </c:pt>
                <c:pt idx="32">
                  <c:v>2.7</c:v>
                </c:pt>
                <c:pt idx="33">
                  <c:v>2.7</c:v>
                </c:pt>
                <c:pt idx="34">
                  <c:v>3.1</c:v>
                </c:pt>
                <c:pt idx="35">
                  <c:v>3.3</c:v>
                </c:pt>
                <c:pt idx="36">
                  <c:v>3.4</c:v>
                </c:pt>
                <c:pt idx="37">
                  <c:v>3</c:v>
                </c:pt>
              </c:numCache>
            </c:numRef>
          </c:yVal>
          <c:smooth val="1"/>
          <c:extLst>
            <c:ext xmlns:c16="http://schemas.microsoft.com/office/drawing/2014/chart" uri="{C3380CC4-5D6E-409C-BE32-E72D297353CC}">
              <c16:uniqueId val="{00000000-9239-41C3-A608-F0DCE95F44E0}"/>
            </c:ext>
          </c:extLst>
        </c:ser>
        <c:dLbls>
          <c:showLegendKey val="0"/>
          <c:showVal val="0"/>
          <c:showCatName val="0"/>
          <c:showSerName val="0"/>
          <c:showPercent val="0"/>
          <c:showBubbleSize val="0"/>
        </c:dLbls>
        <c:axId val="586672976"/>
        <c:axId val="718768800"/>
      </c:scatterChart>
      <c:valAx>
        <c:axId val="586672976"/>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768800"/>
        <c:crosses val="autoZero"/>
        <c:crossBetween val="midCat"/>
      </c:valAx>
      <c:valAx>
        <c:axId val="71876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6729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456405</xdr:colOff>
      <xdr:row>49</xdr:row>
      <xdr:rowOff>69057</xdr:rowOff>
    </xdr:from>
    <xdr:to>
      <xdr:col>19</xdr:col>
      <xdr:colOff>603248</xdr:colOff>
      <xdr:row>64</xdr:row>
      <xdr:rowOff>73819</xdr:rowOff>
    </xdr:to>
    <xdr:graphicFrame macro="">
      <xdr:nvGraphicFramePr>
        <xdr:cNvPr id="2" name="Chart 1">
          <a:extLst>
            <a:ext uri="{FF2B5EF4-FFF2-40B4-BE49-F238E27FC236}">
              <a16:creationId xmlns:a16="http://schemas.microsoft.com/office/drawing/2014/main" id="{B34F1880-6E0B-AF26-6BB3-2D72DFAC1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353219</xdr:colOff>
      <xdr:row>50</xdr:row>
      <xdr:rowOff>33337</xdr:rowOff>
    </xdr:from>
    <xdr:to>
      <xdr:col>28</xdr:col>
      <xdr:colOff>436563</xdr:colOff>
      <xdr:row>65</xdr:row>
      <xdr:rowOff>38099</xdr:rowOff>
    </xdr:to>
    <xdr:graphicFrame macro="">
      <xdr:nvGraphicFramePr>
        <xdr:cNvPr id="3" name="Chart 2">
          <a:extLst>
            <a:ext uri="{FF2B5EF4-FFF2-40B4-BE49-F238E27FC236}">
              <a16:creationId xmlns:a16="http://schemas.microsoft.com/office/drawing/2014/main" id="{CFAC59E0-7289-E457-1338-B880FE316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46"/>
  <sheetViews>
    <sheetView zoomScale="80" zoomScaleNormal="80" workbookViewId="0">
      <selection activeCell="I14" sqref="I14"/>
    </sheetView>
  </sheetViews>
  <sheetFormatPr defaultColWidth="9.140625" defaultRowHeight="15" x14ac:dyDescent="0.25"/>
  <cols>
    <col min="1" max="1" width="22.7109375" style="48" customWidth="1"/>
    <col min="2" max="2" width="12.7109375" style="48" customWidth="1"/>
    <col min="3" max="5" width="10.7109375" style="48" customWidth="1"/>
    <col min="6" max="6" width="32.7109375" style="48" customWidth="1"/>
    <col min="7" max="7" width="9.140625" style="48"/>
    <col min="8" max="9" width="9.140625" style="48" customWidth="1"/>
    <col min="10" max="16384" width="9.140625" style="48"/>
  </cols>
  <sheetData>
    <row r="1" spans="1:9" ht="31.5" x14ac:dyDescent="0.5">
      <c r="A1" s="176" t="s">
        <v>0</v>
      </c>
      <c r="B1" s="176"/>
      <c r="C1" s="176"/>
      <c r="D1" s="176"/>
      <c r="E1" s="176"/>
      <c r="F1" s="47"/>
      <c r="G1" s="47"/>
      <c r="H1" s="47"/>
    </row>
    <row r="2" spans="1:9" ht="15.75" customHeight="1" x14ac:dyDescent="0.35">
      <c r="A2" s="49"/>
      <c r="D2" s="47"/>
      <c r="E2" s="47"/>
      <c r="F2" s="47"/>
      <c r="G2" s="47"/>
      <c r="H2" s="47"/>
    </row>
    <row r="3" spans="1:9" ht="15.75" thickBot="1" x14ac:dyDescent="0.3">
      <c r="A3" s="50" t="s">
        <v>68</v>
      </c>
      <c r="D3" s="47"/>
      <c r="E3" s="47"/>
    </row>
    <row r="4" spans="1:9" x14ac:dyDescent="0.25">
      <c r="A4" s="15" t="s">
        <v>1</v>
      </c>
      <c r="B4" s="179" t="s">
        <v>178</v>
      </c>
      <c r="C4" s="180"/>
      <c r="H4" s="51"/>
      <c r="I4" s="51"/>
    </row>
    <row r="5" spans="1:9" x14ac:dyDescent="0.25">
      <c r="A5" s="16" t="s">
        <v>2</v>
      </c>
      <c r="B5" s="181">
        <v>10</v>
      </c>
      <c r="C5" s="182"/>
      <c r="H5" s="51"/>
      <c r="I5" s="51"/>
    </row>
    <row r="6" spans="1:9" x14ac:dyDescent="0.25">
      <c r="A6" s="16" t="s">
        <v>3</v>
      </c>
      <c r="B6" s="181">
        <v>1</v>
      </c>
      <c r="C6" s="182"/>
    </row>
    <row r="7" spans="1:9" ht="15.75" thickBot="1" x14ac:dyDescent="0.3">
      <c r="A7" s="18" t="s">
        <v>121</v>
      </c>
      <c r="B7" s="183" t="s">
        <v>179</v>
      </c>
      <c r="C7" s="184"/>
    </row>
    <row r="9" spans="1:9" ht="15.75" thickBot="1" x14ac:dyDescent="0.3">
      <c r="A9" s="50" t="s">
        <v>71</v>
      </c>
    </row>
    <row r="10" spans="1:9" x14ac:dyDescent="0.25">
      <c r="A10" s="15" t="s">
        <v>9</v>
      </c>
      <c r="B10" s="177" t="s">
        <v>10</v>
      </c>
      <c r="C10" s="177"/>
      <c r="D10" s="177"/>
      <c r="E10" s="178"/>
    </row>
    <row r="11" spans="1:9" x14ac:dyDescent="0.25">
      <c r="A11" s="16" t="s">
        <v>11</v>
      </c>
      <c r="B11" s="168" t="s">
        <v>23</v>
      </c>
      <c r="C11" s="168"/>
      <c r="D11" s="168"/>
      <c r="E11" s="169"/>
    </row>
    <row r="12" spans="1:9" x14ac:dyDescent="0.25">
      <c r="A12" s="20" t="s">
        <v>13</v>
      </c>
      <c r="B12" s="172" t="s">
        <v>323</v>
      </c>
      <c r="C12" s="172"/>
      <c r="D12" s="172"/>
      <c r="E12" s="173"/>
    </row>
    <row r="13" spans="1:9" x14ac:dyDescent="0.25">
      <c r="A13" s="20"/>
      <c r="B13" s="172"/>
      <c r="C13" s="172"/>
      <c r="D13" s="172"/>
      <c r="E13" s="173"/>
    </row>
    <row r="14" spans="1:9" ht="52.5" customHeight="1" thickBot="1" x14ac:dyDescent="0.3">
      <c r="A14" s="21"/>
      <c r="B14" s="174"/>
      <c r="C14" s="174"/>
      <c r="D14" s="174"/>
      <c r="E14" s="175"/>
      <c r="F14" s="48" t="s">
        <v>283</v>
      </c>
    </row>
    <row r="15" spans="1:9" x14ac:dyDescent="0.25">
      <c r="A15" s="53"/>
      <c r="B15" s="54"/>
      <c r="C15" s="54"/>
      <c r="D15" s="54"/>
      <c r="E15" s="54"/>
    </row>
    <row r="16" spans="1:9" ht="15.75" thickBot="1" x14ac:dyDescent="0.3">
      <c r="A16" s="50" t="s">
        <v>69</v>
      </c>
    </row>
    <row r="17" spans="1:6" x14ac:dyDescent="0.25">
      <c r="A17" s="15" t="s">
        <v>158</v>
      </c>
      <c r="B17" s="162" t="s">
        <v>259</v>
      </c>
      <c r="C17" s="55"/>
    </row>
    <row r="18" spans="1:6" ht="15.75" thickBot="1" x14ac:dyDescent="0.3">
      <c r="A18" s="16" t="s">
        <v>159</v>
      </c>
      <c r="B18" s="66">
        <v>0.35972222222222222</v>
      </c>
      <c r="C18" s="56"/>
      <c r="D18" s="57"/>
      <c r="E18" s="58"/>
    </row>
    <row r="19" spans="1:6" x14ac:dyDescent="0.25">
      <c r="A19" s="52"/>
      <c r="B19" s="59"/>
      <c r="C19" s="9" t="s">
        <v>6</v>
      </c>
      <c r="D19" s="9" t="s">
        <v>7</v>
      </c>
      <c r="E19" s="17" t="s">
        <v>8</v>
      </c>
    </row>
    <row r="20" spans="1:6" x14ac:dyDescent="0.25">
      <c r="A20" s="16" t="s">
        <v>38</v>
      </c>
      <c r="B20" s="8"/>
      <c r="C20" s="44">
        <v>82</v>
      </c>
      <c r="D20">
        <v>41.516399999999997</v>
      </c>
      <c r="E20" s="67"/>
      <c r="F20" s="48" t="s">
        <v>253</v>
      </c>
    </row>
    <row r="21" spans="1:6" ht="15.75" thickBot="1" x14ac:dyDescent="0.3">
      <c r="A21" s="18" t="s">
        <v>39</v>
      </c>
      <c r="B21" s="19"/>
      <c r="C21" s="68">
        <v>27</v>
      </c>
      <c r="D21">
        <v>30.768000000000001</v>
      </c>
      <c r="E21" s="69"/>
    </row>
    <row r="23" spans="1:6" ht="15.75" thickBot="1" x14ac:dyDescent="0.3">
      <c r="A23" s="50" t="s">
        <v>70</v>
      </c>
      <c r="B23" s="60"/>
      <c r="E23" s="61"/>
    </row>
    <row r="24" spans="1:6" x14ac:dyDescent="0.25">
      <c r="A24" s="15" t="s">
        <v>42</v>
      </c>
      <c r="B24" s="163" t="s">
        <v>259</v>
      </c>
    </row>
    <row r="25" spans="1:6" ht="15.75" thickBot="1" x14ac:dyDescent="0.3">
      <c r="A25" s="16" t="s">
        <v>43</v>
      </c>
      <c r="B25" s="66">
        <v>0.4375</v>
      </c>
      <c r="C25" s="56"/>
      <c r="D25" s="57"/>
      <c r="E25" s="58"/>
    </row>
    <row r="26" spans="1:6" x14ac:dyDescent="0.25">
      <c r="A26" s="52"/>
      <c r="B26" s="59"/>
      <c r="C26" s="9" t="s">
        <v>6</v>
      </c>
      <c r="D26" s="9" t="s">
        <v>7</v>
      </c>
      <c r="E26" s="17" t="s">
        <v>8</v>
      </c>
    </row>
    <row r="27" spans="1:6" x14ac:dyDescent="0.25">
      <c r="A27" s="16" t="s">
        <v>40</v>
      </c>
      <c r="B27" s="8"/>
      <c r="C27" s="44">
        <v>82.700506000000004</v>
      </c>
      <c r="D27" s="44"/>
      <c r="E27" s="67"/>
      <c r="F27" s="48" t="s">
        <v>254</v>
      </c>
    </row>
    <row r="28" spans="1:6" ht="15.75" thickBot="1" x14ac:dyDescent="0.3">
      <c r="A28" s="18" t="s">
        <v>41</v>
      </c>
      <c r="B28" s="19"/>
      <c r="C28" s="68">
        <v>27.464835999999998</v>
      </c>
      <c r="D28" s="68"/>
      <c r="E28" s="69"/>
    </row>
    <row r="29" spans="1:6" ht="15.75" thickBot="1" x14ac:dyDescent="0.3">
      <c r="B29" s="62"/>
      <c r="C29" s="63"/>
    </row>
    <row r="30" spans="1:6" ht="15.75" thickBot="1" x14ac:dyDescent="0.3">
      <c r="A30" s="46" t="s">
        <v>157</v>
      </c>
      <c r="B30" s="170" t="s">
        <v>5</v>
      </c>
      <c r="C30" s="170"/>
      <c r="D30" s="170"/>
      <c r="E30" s="171"/>
    </row>
    <row r="31" spans="1:6" ht="15.75" thickBot="1" x14ac:dyDescent="0.3"/>
    <row r="32" spans="1:6" ht="30" customHeight="1" thickBot="1" x14ac:dyDescent="0.3">
      <c r="A32" s="64"/>
      <c r="B32" s="164" t="s">
        <v>156</v>
      </c>
      <c r="C32" s="164"/>
      <c r="D32" s="164" t="s">
        <v>155</v>
      </c>
      <c r="E32" s="164"/>
      <c r="F32" s="14" t="s">
        <v>14</v>
      </c>
    </row>
    <row r="33" spans="1:6" ht="30" customHeight="1" x14ac:dyDescent="0.25">
      <c r="A33" s="13" t="s">
        <v>160</v>
      </c>
      <c r="B33" s="165"/>
      <c r="C33" s="165"/>
      <c r="D33" s="165"/>
      <c r="E33" s="165"/>
      <c r="F33" s="70"/>
    </row>
    <row r="34" spans="1:6" ht="30" customHeight="1" x14ac:dyDescent="0.25">
      <c r="A34" s="11" t="s">
        <v>160</v>
      </c>
      <c r="B34" s="166"/>
      <c r="C34" s="166"/>
      <c r="D34" s="166"/>
      <c r="E34" s="166"/>
      <c r="F34" s="71"/>
    </row>
    <row r="35" spans="1:6" ht="30" customHeight="1" x14ac:dyDescent="0.25">
      <c r="A35" s="11" t="s">
        <v>160</v>
      </c>
      <c r="B35" s="166"/>
      <c r="C35" s="166"/>
      <c r="D35" s="166"/>
      <c r="E35" s="166"/>
      <c r="F35" s="71"/>
    </row>
    <row r="36" spans="1:6" ht="30" customHeight="1" x14ac:dyDescent="0.25">
      <c r="A36" s="11" t="s">
        <v>160</v>
      </c>
      <c r="B36" s="166"/>
      <c r="C36" s="166"/>
      <c r="D36" s="166"/>
      <c r="E36" s="166"/>
      <c r="F36" s="71"/>
    </row>
    <row r="37" spans="1:6" ht="30" customHeight="1" thickBot="1" x14ac:dyDescent="0.3">
      <c r="A37" s="12" t="s">
        <v>160</v>
      </c>
      <c r="B37" s="167"/>
      <c r="C37" s="167"/>
      <c r="D37" s="167"/>
      <c r="E37" s="167"/>
      <c r="F37" s="72"/>
    </row>
    <row r="38" spans="1:6" x14ac:dyDescent="0.25">
      <c r="B38" s="65"/>
      <c r="C38" s="65"/>
      <c r="D38" s="65"/>
      <c r="E38" s="65"/>
      <c r="F38" s="65"/>
    </row>
    <row r="39" spans="1:6" x14ac:dyDescent="0.25">
      <c r="B39" s="65"/>
      <c r="C39" s="65"/>
      <c r="D39" s="65"/>
      <c r="E39" s="65"/>
      <c r="F39" s="65"/>
    </row>
    <row r="40" spans="1:6" x14ac:dyDescent="0.25">
      <c r="B40" s="65"/>
      <c r="C40" s="65"/>
      <c r="D40" s="65"/>
      <c r="E40" s="65"/>
      <c r="F40" s="65"/>
    </row>
    <row r="41" spans="1:6" x14ac:dyDescent="0.25">
      <c r="B41" s="65"/>
      <c r="C41" s="65"/>
      <c r="D41" s="65"/>
      <c r="E41" s="65"/>
      <c r="F41" s="65"/>
    </row>
    <row r="42" spans="1:6" x14ac:dyDescent="0.25">
      <c r="B42" s="65"/>
      <c r="C42" s="65"/>
      <c r="D42" s="65"/>
      <c r="E42" s="65"/>
      <c r="F42" s="65"/>
    </row>
    <row r="43" spans="1:6" x14ac:dyDescent="0.25">
      <c r="B43" s="65"/>
      <c r="C43" s="65"/>
      <c r="D43" s="65"/>
      <c r="E43" s="65"/>
      <c r="F43" s="65"/>
    </row>
    <row r="44" spans="1:6" x14ac:dyDescent="0.25">
      <c r="B44" s="65"/>
      <c r="C44" s="65"/>
      <c r="D44" s="65"/>
      <c r="E44" s="65"/>
      <c r="F44" s="65"/>
    </row>
    <row r="45" spans="1:6" x14ac:dyDescent="0.25">
      <c r="B45" s="65"/>
      <c r="C45" s="65"/>
      <c r="D45" s="65"/>
      <c r="E45" s="65"/>
      <c r="F45" s="65"/>
    </row>
    <row r="46" spans="1:6" x14ac:dyDescent="0.25">
      <c r="B46" s="65"/>
      <c r="C46" s="65"/>
      <c r="D46" s="65"/>
      <c r="E46" s="65"/>
      <c r="F46" s="65"/>
    </row>
  </sheetData>
  <mergeCells count="21">
    <mergeCell ref="B11:E11"/>
    <mergeCell ref="B30:E30"/>
    <mergeCell ref="B12:E14"/>
    <mergeCell ref="A1:E1"/>
    <mergeCell ref="B10:E10"/>
    <mergeCell ref="B4:C4"/>
    <mergeCell ref="B5:C5"/>
    <mergeCell ref="B6:C6"/>
    <mergeCell ref="B7:C7"/>
    <mergeCell ref="B35:C35"/>
    <mergeCell ref="B36:C36"/>
    <mergeCell ref="B37:C37"/>
    <mergeCell ref="D34:E34"/>
    <mergeCell ref="D35:E35"/>
    <mergeCell ref="D36:E36"/>
    <mergeCell ref="D37:E37"/>
    <mergeCell ref="D32:E32"/>
    <mergeCell ref="D33:E33"/>
    <mergeCell ref="B32:C32"/>
    <mergeCell ref="B33:C33"/>
    <mergeCell ref="B34:C34"/>
  </mergeCells>
  <dataValidations xWindow="316" yWindow="263" count="24">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01000000}">
      <formula1>IF(C27=INT(C27),AND(E27&gt;=0,E27&lt;60),ISBLANK(E27))</formula1>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2000000}">
      <formula1>IF(C21=INT(C21),AND(E21&gt;=0,E21&lt;60),ISBLANK(E21))</formula1>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3000000}">
      <formula1>IF(C20=INT(C20),AND(E20&gt;=0,E20&lt;60),ISBLANK(E20))</formula1>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4000000}"/>
    <dataValidation allowBlank="1" showInputMessage="1" showErrorMessage="1" promptTitle="Identify associated stations" prompt="Explain the reason for the association given in this row" sqref="F33:F37" xr:uid="{00000000-0002-0000-0000-000005000000}"/>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6000000}"/>
    <dataValidation type="list" allowBlank="1" showInputMessage="1" showErrorMessage="1" error="Must choose a value from the list" prompt="Choose from drop down list" sqref="B10" xr:uid="{00000000-0002-0000-0000-000007000000}">
      <formula1>StationTypes</formula1>
    </dataValidation>
    <dataValidation allowBlank="1" showInputMessage="1" showErrorMessage="1" prompt="Any general comments about the station.  Free text." sqref="B12 B15:E15" xr:uid="{00000000-0002-0000-0000-000008000000}"/>
    <dataValidation type="list" allowBlank="1" showInputMessage="1" showErrorMessage="1" error="Must choose a value from the list" prompt="Choose a description from the drop down list" sqref="B11" xr:uid="{00000000-0002-0000-0000-000009000000}">
      <formula1>GeneralConditions</formula1>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7:D28" xr:uid="{00000000-0002-0000-0000-00000A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B000000}">
      <formula1>-180</formula1>
      <formula2>360</formula2>
    </dataValidation>
    <dataValidation type="decimal" allowBlank="1" showInputMessage="1" showErrorMessage="1" error="Must be a valid latitude between -90 and 90" promptTitle="Latitude at end time" prompt="Enter DD MM SS.sss in the three cells, or DD.dddd in this cell (then leave others blank)._x000a_For southern latitudes, enter a negative value for degrees (minutes and seconds, if entered, remain positive)." sqref="C27" xr:uid="{00000000-0002-0000-0000-00000C000000}">
      <formula1>-90</formula1>
      <formula2>90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D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E000000}">
      <formula1>-180</formula1>
      <formula2>180</formula2>
    </dataValidation>
    <dataValidation type="whole" allowBlank="1" showInputMessage="1" showErrorMessage="1" error="Must be a valid hour, whole number 0-23" prompt="Number between 0 and 23_x000a_Hour the work began" sqref="B29" xr:uid="{00000000-0002-0000-0000-00000F000000}">
      <formula1>0</formula1>
      <formula2>23</formula2>
    </dataValidation>
    <dataValidation type="list" allowBlank="1" showInputMessage="1" showErrorMessage="1" sqref="C29 B30:E30" xr:uid="{00000000-0002-0000-0000-000010000000}">
      <formula1>TimeZones</formula1>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11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2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3000000}">
      <formula1>1</formula1>
      <formula2>99</formula2>
    </dataValidation>
    <dataValidation type="custom" operator="greaterThan" allowBlank="1" showInputMessage="1" showErrorMessage="1" errorTitle="Must enter an ID" promptTitle="Enter a unique expedition ID" prompt="Text with no spaces_x000a_Examples: FS08 or KF_April2010" sqref="B4" xr:uid="{00000000-0002-0000-0000-000014000000}">
      <formula1>ISERROR(FIND(" ",B4))</formula1>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6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8000000}">
      <formula1>0</formula1>
      <formula2>0.999305555555556</formula2>
    </dataValidation>
    <dataValidation allowBlank="1" showInputMessage="1" showErrorMessage="1" error="Value must be a number between 1 and 99" promptTitle="Observer" prompt="Give name of observer." sqref="B7:C7" xr:uid="{00000000-0002-0000-0000-000019000000}"/>
  </dataValidations>
  <pageMargins left="0.7" right="0.7" top="0.75" bottom="0.75" header="0.3" footer="0.3"/>
  <pageSetup paperSize="9" scale="9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38"/>
  <sheetViews>
    <sheetView topLeftCell="A4" zoomScale="80" zoomScaleNormal="80" workbookViewId="0">
      <selection activeCell="F6" sqref="F6"/>
    </sheetView>
  </sheetViews>
  <sheetFormatPr defaultColWidth="9.140625" defaultRowHeight="15" x14ac:dyDescent="0.25"/>
  <cols>
    <col min="1" max="1" width="18.7109375" style="48" customWidth="1"/>
    <col min="2" max="7" width="15.7109375" style="48" customWidth="1"/>
    <col min="8" max="8" width="36.7109375" style="48" customWidth="1"/>
    <col min="9" max="16384" width="9.140625" style="48"/>
  </cols>
  <sheetData>
    <row r="1" spans="1:9" ht="32.25" thickBot="1" x14ac:dyDescent="0.55000000000000004">
      <c r="A1" s="176" t="s">
        <v>72</v>
      </c>
      <c r="B1" s="176"/>
      <c r="C1" s="176"/>
      <c r="D1" s="176"/>
    </row>
    <row r="2" spans="1:9" x14ac:dyDescent="0.25">
      <c r="A2" s="24" t="s">
        <v>16</v>
      </c>
      <c r="B2" s="192" t="str">
        <f>CONCATENATE(ExpID,"-",StnNum,"-",StnDay)</f>
        <v>Polhavet2022-10-1</v>
      </c>
      <c r="C2" s="192"/>
      <c r="D2" s="73"/>
    </row>
    <row r="3" spans="1:9" x14ac:dyDescent="0.25">
      <c r="A3" s="25" t="s">
        <v>132</v>
      </c>
      <c r="B3" s="193"/>
      <c r="C3" s="193"/>
      <c r="D3" s="77"/>
    </row>
    <row r="4" spans="1:9" x14ac:dyDescent="0.25">
      <c r="A4" s="25" t="s">
        <v>4</v>
      </c>
      <c r="B4" s="194" t="str">
        <f>ObsDate</f>
        <v>17.08.2022</v>
      </c>
      <c r="C4" s="194"/>
      <c r="D4" s="77"/>
    </row>
    <row r="5" spans="1:9" x14ac:dyDescent="0.25">
      <c r="A5" s="26" t="s">
        <v>107</v>
      </c>
      <c r="B5" s="195"/>
      <c r="C5" s="196"/>
      <c r="D5" s="77"/>
    </row>
    <row r="6" spans="1:9" x14ac:dyDescent="0.25">
      <c r="A6" s="26" t="s">
        <v>121</v>
      </c>
      <c r="B6" s="185"/>
      <c r="C6" s="186"/>
      <c r="D6" s="77"/>
      <c r="E6" s="74"/>
      <c r="F6" s="74"/>
      <c r="G6" s="74"/>
      <c r="H6" s="75"/>
      <c r="I6" s="76"/>
    </row>
    <row r="7" spans="1:9" x14ac:dyDescent="0.25">
      <c r="A7" s="26" t="s">
        <v>161</v>
      </c>
      <c r="B7" s="187"/>
      <c r="C7" s="188"/>
      <c r="D7" s="77"/>
      <c r="E7" s="74"/>
      <c r="F7" s="74"/>
      <c r="G7" s="74"/>
      <c r="H7" s="75"/>
      <c r="I7" s="76"/>
    </row>
    <row r="8" spans="1:9" ht="30" customHeight="1" thickBot="1" x14ac:dyDescent="0.3">
      <c r="A8" s="27" t="s">
        <v>15</v>
      </c>
      <c r="B8" s="189"/>
      <c r="C8" s="190"/>
      <c r="D8" s="191"/>
    </row>
    <row r="9" spans="1:9" ht="15.75" thickBot="1" x14ac:dyDescent="0.3"/>
    <row r="10" spans="1:9" s="78" customFormat="1" ht="45.75" thickBot="1" x14ac:dyDescent="0.3">
      <c r="A10" s="29" t="s">
        <v>17</v>
      </c>
      <c r="B10" s="28" t="s">
        <v>149</v>
      </c>
      <c r="C10" s="30" t="s">
        <v>133</v>
      </c>
      <c r="D10" s="30" t="s">
        <v>134</v>
      </c>
      <c r="E10" s="30" t="s">
        <v>135</v>
      </c>
      <c r="F10" s="30" t="s">
        <v>136</v>
      </c>
      <c r="G10" s="30" t="s">
        <v>137</v>
      </c>
      <c r="H10" s="31" t="s">
        <v>13</v>
      </c>
    </row>
    <row r="11" spans="1:9" x14ac:dyDescent="0.25">
      <c r="A11" s="79"/>
      <c r="B11" s="80"/>
      <c r="C11" s="80"/>
      <c r="D11" s="80"/>
      <c r="E11" s="80"/>
      <c r="F11" s="80"/>
      <c r="G11" s="80"/>
      <c r="H11" s="81"/>
    </row>
    <row r="12" spans="1:9" x14ac:dyDescent="0.25">
      <c r="A12" s="82"/>
      <c r="B12" s="45"/>
      <c r="C12" s="45"/>
      <c r="D12" s="45"/>
      <c r="E12" s="45"/>
      <c r="F12" s="45"/>
      <c r="G12" s="45"/>
      <c r="H12" s="44"/>
    </row>
    <row r="13" spans="1:9" x14ac:dyDescent="0.25">
      <c r="A13" s="82"/>
      <c r="B13" s="45"/>
      <c r="C13" s="45"/>
      <c r="D13" s="45"/>
      <c r="E13" s="45"/>
      <c r="F13" s="45"/>
      <c r="G13" s="45"/>
      <c r="H13" s="44"/>
    </row>
    <row r="14" spans="1:9" x14ac:dyDescent="0.25">
      <c r="A14" s="82"/>
      <c r="B14" s="45"/>
      <c r="C14" s="45"/>
      <c r="D14" s="45"/>
      <c r="E14" s="45"/>
      <c r="F14" s="45"/>
      <c r="G14" s="45"/>
      <c r="H14" s="44"/>
    </row>
    <row r="15" spans="1:9" x14ac:dyDescent="0.25">
      <c r="A15" s="82"/>
      <c r="B15" s="45"/>
      <c r="C15" s="45"/>
      <c r="D15" s="45"/>
      <c r="E15" s="45"/>
      <c r="F15" s="45"/>
      <c r="G15" s="45"/>
      <c r="H15" s="44"/>
    </row>
    <row r="16" spans="1:9" x14ac:dyDescent="0.25">
      <c r="A16" s="82"/>
      <c r="B16" s="45"/>
      <c r="C16" s="45"/>
      <c r="D16" s="45"/>
      <c r="E16" s="45"/>
      <c r="F16" s="45"/>
      <c r="G16" s="45"/>
      <c r="H16" s="44"/>
    </row>
    <row r="17" spans="1:17" x14ac:dyDescent="0.25">
      <c r="A17" s="82"/>
      <c r="B17" s="45"/>
      <c r="C17" s="45"/>
      <c r="D17" s="45"/>
      <c r="E17" s="45"/>
      <c r="F17" s="45"/>
      <c r="G17" s="45"/>
      <c r="H17" s="147"/>
    </row>
    <row r="18" spans="1:17" x14ac:dyDescent="0.25">
      <c r="A18" s="82"/>
      <c r="B18" s="45"/>
      <c r="C18" s="45"/>
      <c r="D18" s="45"/>
      <c r="E18" s="45"/>
      <c r="F18" s="45"/>
      <c r="G18" s="45"/>
      <c r="H18" s="44"/>
    </row>
    <row r="19" spans="1:17" x14ac:dyDescent="0.25">
      <c r="A19" s="82"/>
      <c r="B19" s="45"/>
      <c r="C19" s="45"/>
      <c r="D19" s="45"/>
      <c r="E19" s="45"/>
      <c r="F19" s="45"/>
      <c r="G19" s="45"/>
      <c r="H19" s="44"/>
    </row>
    <row r="20" spans="1:17" x14ac:dyDescent="0.25">
      <c r="A20" s="82"/>
      <c r="B20" s="45"/>
      <c r="C20" s="45"/>
      <c r="D20" s="45"/>
      <c r="E20" s="45"/>
      <c r="F20" s="45"/>
      <c r="G20" s="45"/>
      <c r="H20" s="147"/>
    </row>
    <row r="21" spans="1:17" x14ac:dyDescent="0.25">
      <c r="A21" s="82"/>
      <c r="B21" s="45"/>
      <c r="C21" s="45"/>
      <c r="D21" s="45"/>
      <c r="E21" s="45"/>
      <c r="F21" s="45"/>
      <c r="G21" s="45"/>
      <c r="H21" s="44"/>
    </row>
    <row r="22" spans="1:17" x14ac:dyDescent="0.25">
      <c r="A22" s="82"/>
      <c r="B22" s="45"/>
      <c r="C22" s="45"/>
      <c r="D22" s="45"/>
      <c r="E22" s="45"/>
      <c r="F22" s="45"/>
      <c r="G22" s="45"/>
      <c r="H22" s="44"/>
    </row>
    <row r="23" spans="1:17" x14ac:dyDescent="0.25">
      <c r="A23" s="82"/>
      <c r="B23" s="45"/>
      <c r="C23" s="45"/>
      <c r="D23" s="45"/>
      <c r="E23" s="45"/>
      <c r="F23" s="45"/>
      <c r="G23" s="45"/>
      <c r="H23" s="147"/>
    </row>
    <row r="24" spans="1:17" x14ac:dyDescent="0.25">
      <c r="A24" s="82"/>
      <c r="B24" s="45"/>
      <c r="C24" s="45"/>
      <c r="D24" s="45"/>
      <c r="E24" s="45"/>
      <c r="F24" s="45"/>
      <c r="G24" s="45"/>
      <c r="H24" s="44"/>
    </row>
    <row r="25" spans="1:17" x14ac:dyDescent="0.25">
      <c r="A25" s="82"/>
      <c r="B25" s="45"/>
      <c r="C25" s="45"/>
      <c r="D25" s="45"/>
      <c r="E25" s="45"/>
      <c r="F25" s="45"/>
      <c r="G25" s="45"/>
      <c r="H25" s="44"/>
      <c r="M25" s="78"/>
    </row>
    <row r="26" spans="1:17" x14ac:dyDescent="0.25">
      <c r="A26" s="82"/>
      <c r="B26" s="45"/>
      <c r="C26" s="45"/>
      <c r="D26" s="45"/>
      <c r="E26" s="45"/>
      <c r="F26" s="45"/>
      <c r="G26" s="45"/>
      <c r="H26" s="147"/>
    </row>
    <row r="27" spans="1:17" x14ac:dyDescent="0.25">
      <c r="A27" s="82"/>
      <c r="B27" s="45"/>
      <c r="C27" s="45"/>
      <c r="D27" s="45"/>
      <c r="E27" s="45"/>
      <c r="F27" s="45"/>
      <c r="G27" s="45"/>
      <c r="H27" s="44"/>
    </row>
    <row r="28" spans="1:17" x14ac:dyDescent="0.25">
      <c r="A28" s="82"/>
      <c r="B28" s="45"/>
      <c r="C28" s="45"/>
      <c r="D28" s="45"/>
      <c r="E28" s="45"/>
      <c r="F28" s="45"/>
      <c r="G28" s="45"/>
      <c r="H28" s="44"/>
      <c r="O28" s="78"/>
      <c r="Q28" s="78"/>
    </row>
    <row r="29" spans="1:17" x14ac:dyDescent="0.25">
      <c r="A29" s="82"/>
      <c r="B29" s="45"/>
      <c r="C29" s="45"/>
      <c r="D29" s="45"/>
      <c r="E29" s="45"/>
      <c r="F29" s="45"/>
      <c r="G29" s="45"/>
      <c r="H29" s="147"/>
    </row>
    <row r="30" spans="1:17" x14ac:dyDescent="0.25">
      <c r="A30" s="82"/>
      <c r="B30" s="45"/>
      <c r="C30" s="45"/>
      <c r="D30" s="45"/>
      <c r="E30" s="45"/>
      <c r="F30" s="45"/>
      <c r="G30" s="45"/>
      <c r="H30" s="44"/>
    </row>
    <row r="31" spans="1:17" x14ac:dyDescent="0.25">
      <c r="A31" s="82"/>
      <c r="B31" s="45"/>
      <c r="C31" s="45"/>
      <c r="D31" s="45"/>
      <c r="E31" s="45"/>
      <c r="F31" s="45"/>
      <c r="G31" s="45"/>
      <c r="H31" s="147"/>
    </row>
    <row r="32" spans="1:17" x14ac:dyDescent="0.25">
      <c r="A32" s="82"/>
      <c r="B32" s="45"/>
      <c r="C32" s="45"/>
      <c r="D32" s="45"/>
      <c r="E32" s="45"/>
      <c r="F32" s="45"/>
      <c r="G32" s="45"/>
      <c r="H32" s="44"/>
    </row>
    <row r="33" spans="1:8" x14ac:dyDescent="0.25">
      <c r="A33" s="82"/>
      <c r="B33" s="45"/>
      <c r="C33" s="45"/>
      <c r="D33" s="45"/>
      <c r="E33" s="45"/>
      <c r="F33" s="45"/>
      <c r="G33" s="45"/>
      <c r="H33" s="44"/>
    </row>
    <row r="34" spans="1:8" x14ac:dyDescent="0.25">
      <c r="A34" s="82"/>
      <c r="B34" s="45"/>
      <c r="C34" s="45"/>
      <c r="D34" s="45"/>
      <c r="E34" s="45"/>
      <c r="F34" s="45"/>
      <c r="G34" s="45"/>
      <c r="H34" s="44"/>
    </row>
    <row r="35" spans="1:8" x14ac:dyDescent="0.25">
      <c r="A35" s="82"/>
      <c r="B35" s="45"/>
      <c r="C35" s="45"/>
      <c r="D35" s="45"/>
      <c r="E35" s="45"/>
      <c r="F35" s="45"/>
      <c r="G35" s="45"/>
      <c r="H35" s="44"/>
    </row>
    <row r="36" spans="1:8" x14ac:dyDescent="0.25">
      <c r="A36" s="82"/>
      <c r="B36" s="45"/>
      <c r="C36" s="45"/>
      <c r="D36" s="45"/>
      <c r="E36" s="45"/>
      <c r="F36" s="45"/>
      <c r="G36" s="45"/>
      <c r="H36" s="44"/>
    </row>
    <row r="37" spans="1:8" x14ac:dyDescent="0.25">
      <c r="A37" s="82"/>
      <c r="B37" s="45"/>
      <c r="C37" s="45"/>
      <c r="D37" s="45"/>
      <c r="E37" s="45"/>
      <c r="F37" s="45"/>
      <c r="G37" s="45"/>
      <c r="H37" s="44"/>
    </row>
    <row r="38" spans="1:8" x14ac:dyDescent="0.25">
      <c r="A38" s="82"/>
      <c r="B38" s="45"/>
      <c r="C38" s="45"/>
      <c r="D38" s="45"/>
      <c r="E38" s="45"/>
      <c r="F38" s="45"/>
      <c r="G38" s="45"/>
      <c r="H38" s="44"/>
    </row>
  </sheetData>
  <mergeCells count="8">
    <mergeCell ref="B6:C6"/>
    <mergeCell ref="B7:C7"/>
    <mergeCell ref="B8:D8"/>
    <mergeCell ref="A1:D1"/>
    <mergeCell ref="B2:C2"/>
    <mergeCell ref="B3:C3"/>
    <mergeCell ref="B4:C4"/>
    <mergeCell ref="B5:C5"/>
  </mergeCells>
  <pageMargins left="0.7" right="0.7" top="0.75" bottom="0.75" header="0.3" footer="0.3"/>
  <pageSetup paperSize="9" scale="8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N56"/>
  <sheetViews>
    <sheetView topLeftCell="A13" zoomScale="80" zoomScaleNormal="80" workbookViewId="0">
      <selection activeCell="D28" sqref="D28"/>
    </sheetView>
  </sheetViews>
  <sheetFormatPr defaultColWidth="9.140625" defaultRowHeight="15" x14ac:dyDescent="0.25"/>
  <cols>
    <col min="1" max="1" width="29.42578125" style="48" bestFit="1" customWidth="1"/>
    <col min="2" max="8" width="15.7109375" style="48" customWidth="1"/>
    <col min="9" max="9" width="36.7109375" style="48" customWidth="1"/>
    <col min="10" max="10" width="16.42578125" style="48" customWidth="1"/>
    <col min="11" max="13" width="15.7109375" style="48" customWidth="1"/>
    <col min="14" max="14" width="36.7109375" style="48" customWidth="1"/>
    <col min="15" max="16384" width="9.140625" style="48"/>
  </cols>
  <sheetData>
    <row r="1" spans="1:13" ht="31.5" x14ac:dyDescent="0.5">
      <c r="A1" s="199" t="s">
        <v>111</v>
      </c>
      <c r="B1" s="199"/>
      <c r="C1" s="199"/>
      <c r="D1" s="199"/>
    </row>
    <row r="2" spans="1:13" x14ac:dyDescent="0.25">
      <c r="A2" s="4" t="s">
        <v>16</v>
      </c>
      <c r="B2" s="203" t="str">
        <f>CONCATENATE(ExpID,"-",StnNum,"-",StnDay)</f>
        <v>Polhavet2022-10-1</v>
      </c>
      <c r="C2" s="203"/>
      <c r="D2" s="105"/>
    </row>
    <row r="3" spans="1:13" x14ac:dyDescent="0.25">
      <c r="A3" s="4" t="s">
        <v>132</v>
      </c>
      <c r="B3" s="193" t="s">
        <v>212</v>
      </c>
      <c r="C3" s="193"/>
      <c r="D3" s="106"/>
    </row>
    <row r="4" spans="1:13" x14ac:dyDescent="0.25">
      <c r="A4" s="4" t="s">
        <v>4</v>
      </c>
      <c r="B4" s="194" t="str">
        <f>ObsDate</f>
        <v>17.08.2022</v>
      </c>
      <c r="C4" s="194"/>
      <c r="D4" s="106"/>
    </row>
    <row r="5" spans="1:13" x14ac:dyDescent="0.25">
      <c r="A5" s="5" t="s">
        <v>107</v>
      </c>
      <c r="B5" s="204"/>
      <c r="C5" s="204"/>
      <c r="D5" s="106"/>
    </row>
    <row r="6" spans="1:13" x14ac:dyDescent="0.25">
      <c r="A6" s="5" t="s">
        <v>121</v>
      </c>
      <c r="B6" s="205" t="s">
        <v>180</v>
      </c>
      <c r="C6" s="205"/>
      <c r="D6" s="106"/>
      <c r="E6" s="74"/>
    </row>
    <row r="7" spans="1:13" ht="30" customHeight="1" x14ac:dyDescent="0.25">
      <c r="A7" s="6" t="s">
        <v>15</v>
      </c>
      <c r="B7" s="200" t="s">
        <v>262</v>
      </c>
      <c r="C7" s="201"/>
      <c r="D7" s="202"/>
    </row>
    <row r="9" spans="1:13" x14ac:dyDescent="0.25">
      <c r="A9" s="50" t="s">
        <v>109</v>
      </c>
    </row>
    <row r="10" spans="1:13" x14ac:dyDescent="0.25">
      <c r="A10" s="7" t="s">
        <v>138</v>
      </c>
      <c r="B10" s="100"/>
      <c r="K10" s="197" t="s">
        <v>168</v>
      </c>
      <c r="L10" s="198"/>
      <c r="M10" s="45">
        <v>190.5</v>
      </c>
    </row>
    <row r="11" spans="1:13" x14ac:dyDescent="0.25">
      <c r="A11" s="7" t="s">
        <v>139</v>
      </c>
      <c r="B11" s="100">
        <v>190.5</v>
      </c>
      <c r="K11" s="197" t="s">
        <v>127</v>
      </c>
      <c r="L11" s="198"/>
      <c r="M11" s="44">
        <v>2</v>
      </c>
    </row>
    <row r="12" spans="1:13" x14ac:dyDescent="0.25">
      <c r="A12" s="7" t="s">
        <v>140</v>
      </c>
      <c r="B12" s="100">
        <v>170.5</v>
      </c>
      <c r="K12" s="7" t="s">
        <v>126</v>
      </c>
      <c r="L12" s="7"/>
      <c r="M12" s="43">
        <f>SUM(M18:M50)</f>
        <v>190.5</v>
      </c>
    </row>
    <row r="13" spans="1:13" x14ac:dyDescent="0.25">
      <c r="A13" s="7" t="s">
        <v>136</v>
      </c>
      <c r="B13" s="100"/>
    </row>
    <row r="14" spans="1:13" x14ac:dyDescent="0.25">
      <c r="A14" s="7" t="s">
        <v>137</v>
      </c>
      <c r="B14" s="100"/>
    </row>
    <row r="15" spans="1:13" x14ac:dyDescent="0.25">
      <c r="A15" s="7" t="s">
        <v>149</v>
      </c>
      <c r="B15" s="100">
        <v>3</v>
      </c>
    </row>
    <row r="17" spans="1:14" s="107" customFormat="1" ht="45" x14ac:dyDescent="0.25">
      <c r="A17" s="10" t="s">
        <v>113</v>
      </c>
      <c r="B17" s="10" t="s">
        <v>144</v>
      </c>
      <c r="C17" s="10" t="s">
        <v>145</v>
      </c>
      <c r="D17" s="10" t="s">
        <v>114</v>
      </c>
      <c r="E17" s="10" t="s">
        <v>115</v>
      </c>
      <c r="F17" s="10" t="s">
        <v>116</v>
      </c>
      <c r="G17" s="10" t="s">
        <v>146</v>
      </c>
      <c r="H17" s="10" t="s">
        <v>117</v>
      </c>
      <c r="I17" s="10" t="s">
        <v>13</v>
      </c>
      <c r="J17" s="107" t="s">
        <v>233</v>
      </c>
      <c r="K17" s="10" t="s">
        <v>118</v>
      </c>
      <c r="L17" s="10" t="s">
        <v>147</v>
      </c>
      <c r="M17" s="10" t="s">
        <v>148</v>
      </c>
      <c r="N17" s="10" t="s">
        <v>13</v>
      </c>
    </row>
    <row r="18" spans="1:14" x14ac:dyDescent="0.25">
      <c r="A18" s="101" t="s">
        <v>181</v>
      </c>
      <c r="B18" s="100">
        <v>0</v>
      </c>
      <c r="C18" s="100">
        <v>5</v>
      </c>
      <c r="D18" s="102">
        <v>0</v>
      </c>
      <c r="E18" s="102">
        <v>0.20699999999999999</v>
      </c>
      <c r="F18" s="103">
        <v>14.5</v>
      </c>
      <c r="G18" s="100"/>
      <c r="H18" s="102"/>
      <c r="I18" s="104"/>
      <c r="J18" s="48" t="s">
        <v>284</v>
      </c>
      <c r="K18" s="101">
        <v>1</v>
      </c>
      <c r="L18" s="100"/>
      <c r="M18" s="100">
        <v>85.5</v>
      </c>
      <c r="N18" s="104" t="s">
        <v>272</v>
      </c>
    </row>
    <row r="19" spans="1:14" x14ac:dyDescent="0.25">
      <c r="A19" s="101" t="s">
        <v>182</v>
      </c>
      <c r="B19" s="100">
        <v>5</v>
      </c>
      <c r="C19" s="100">
        <v>10</v>
      </c>
      <c r="D19" s="102">
        <v>0</v>
      </c>
      <c r="E19" s="102">
        <v>0.16600000000000001</v>
      </c>
      <c r="F19" s="103">
        <v>14.6</v>
      </c>
      <c r="G19" s="100"/>
      <c r="H19" s="102"/>
      <c r="I19" s="104"/>
      <c r="J19" s="48" t="s">
        <v>285</v>
      </c>
      <c r="K19" s="101">
        <v>2</v>
      </c>
      <c r="L19" s="100"/>
      <c r="M19" s="100">
        <v>105</v>
      </c>
      <c r="N19" s="104" t="s">
        <v>273</v>
      </c>
    </row>
    <row r="20" spans="1:14" x14ac:dyDescent="0.25">
      <c r="A20" s="101" t="s">
        <v>183</v>
      </c>
      <c r="B20" s="100">
        <v>10</v>
      </c>
      <c r="C20" s="100">
        <v>15</v>
      </c>
      <c r="D20" s="102">
        <v>0</v>
      </c>
      <c r="E20" s="102">
        <v>6.6000000000000003E-2</v>
      </c>
      <c r="F20" s="103">
        <v>14.8</v>
      </c>
      <c r="G20" s="100"/>
      <c r="H20" s="102"/>
      <c r="I20" s="104"/>
      <c r="J20" s="48" t="s">
        <v>286</v>
      </c>
      <c r="K20" s="101"/>
      <c r="L20" s="100"/>
      <c r="M20" s="100"/>
      <c r="N20" s="104"/>
    </row>
    <row r="21" spans="1:14" x14ac:dyDescent="0.25">
      <c r="A21" s="101" t="s">
        <v>184</v>
      </c>
      <c r="B21" s="100">
        <v>15</v>
      </c>
      <c r="C21" s="100">
        <v>20</v>
      </c>
      <c r="D21" s="102">
        <v>0</v>
      </c>
      <c r="E21" s="102">
        <v>0.12759999999999999</v>
      </c>
      <c r="F21" s="103">
        <v>15</v>
      </c>
      <c r="G21" s="100"/>
      <c r="H21" s="102"/>
      <c r="I21" s="104"/>
      <c r="J21" s="48" t="s">
        <v>287</v>
      </c>
      <c r="K21" s="101"/>
      <c r="L21" s="100"/>
      <c r="M21" s="100"/>
      <c r="N21" s="104"/>
    </row>
    <row r="22" spans="1:14" x14ac:dyDescent="0.25">
      <c r="A22" s="101" t="s">
        <v>185</v>
      </c>
      <c r="B22" s="100">
        <v>20</v>
      </c>
      <c r="C22" s="100">
        <v>25</v>
      </c>
      <c r="D22" s="102">
        <v>0</v>
      </c>
      <c r="E22" s="102">
        <v>0.189</v>
      </c>
      <c r="F22" s="103">
        <v>14.3</v>
      </c>
      <c r="G22" s="100"/>
      <c r="H22" s="102"/>
      <c r="I22" s="104"/>
      <c r="J22" s="48" t="s">
        <v>288</v>
      </c>
      <c r="K22" s="101"/>
      <c r="L22" s="100"/>
      <c r="M22" s="100"/>
      <c r="N22" s="104"/>
    </row>
    <row r="23" spans="1:14" x14ac:dyDescent="0.25">
      <c r="A23" s="101" t="s">
        <v>186</v>
      </c>
      <c r="B23" s="100">
        <v>25</v>
      </c>
      <c r="C23" s="100">
        <v>30</v>
      </c>
      <c r="D23" s="102">
        <v>0</v>
      </c>
      <c r="E23" s="102">
        <v>0.161</v>
      </c>
      <c r="F23" s="103">
        <v>14.2</v>
      </c>
      <c r="G23" s="100"/>
      <c r="H23" s="102"/>
      <c r="I23" s="104"/>
      <c r="J23" s="48" t="s">
        <v>289</v>
      </c>
      <c r="K23" s="101"/>
      <c r="L23" s="100"/>
      <c r="M23" s="100"/>
      <c r="N23" s="104"/>
    </row>
    <row r="24" spans="1:14" x14ac:dyDescent="0.25">
      <c r="A24" s="101" t="s">
        <v>187</v>
      </c>
      <c r="B24" s="100">
        <v>30</v>
      </c>
      <c r="C24" s="100">
        <v>35</v>
      </c>
      <c r="D24" s="102">
        <v>0</v>
      </c>
      <c r="E24" s="102">
        <v>0.182</v>
      </c>
      <c r="F24" s="103">
        <v>14.9</v>
      </c>
      <c r="G24" s="100"/>
      <c r="H24" s="102"/>
      <c r="I24" s="104"/>
      <c r="J24" s="48" t="s">
        <v>290</v>
      </c>
      <c r="K24" s="101"/>
      <c r="L24" s="100"/>
      <c r="M24" s="100"/>
      <c r="N24" s="104"/>
    </row>
    <row r="25" spans="1:14" x14ac:dyDescent="0.25">
      <c r="A25" s="101" t="s">
        <v>188</v>
      </c>
      <c r="B25" s="100">
        <v>35</v>
      </c>
      <c r="C25" s="100">
        <v>40</v>
      </c>
      <c r="D25" s="102">
        <v>0</v>
      </c>
      <c r="E25" s="102">
        <v>0.254</v>
      </c>
      <c r="F25" s="103">
        <v>14.9</v>
      </c>
      <c r="G25" s="100"/>
      <c r="H25" s="102"/>
      <c r="I25" s="104"/>
      <c r="J25" s="48" t="s">
        <v>291</v>
      </c>
      <c r="K25" s="101"/>
      <c r="L25" s="100"/>
      <c r="M25" s="100"/>
      <c r="N25" s="104"/>
    </row>
    <row r="26" spans="1:14" x14ac:dyDescent="0.25">
      <c r="A26" s="101" t="s">
        <v>189</v>
      </c>
      <c r="B26" s="100">
        <v>40</v>
      </c>
      <c r="C26" s="100">
        <v>45</v>
      </c>
      <c r="D26" s="102">
        <v>0.1</v>
      </c>
      <c r="E26" s="102">
        <v>0.42699999999999999</v>
      </c>
      <c r="F26" s="103">
        <v>15.2</v>
      </c>
      <c r="G26" s="100"/>
      <c r="H26" s="102"/>
      <c r="I26" s="104"/>
      <c r="J26" s="48" t="s">
        <v>292</v>
      </c>
      <c r="K26" s="101"/>
      <c r="L26" s="100"/>
      <c r="M26" s="100"/>
      <c r="N26" s="104"/>
    </row>
    <row r="27" spans="1:14" x14ac:dyDescent="0.25">
      <c r="A27" s="101" t="s">
        <v>190</v>
      </c>
      <c r="B27" s="100">
        <v>45</v>
      </c>
      <c r="C27" s="100">
        <v>50</v>
      </c>
      <c r="D27" s="102">
        <v>0.2</v>
      </c>
      <c r="E27" s="102">
        <v>0.627</v>
      </c>
      <c r="F27" s="103">
        <v>14.5</v>
      </c>
      <c r="G27" s="100"/>
      <c r="H27" s="102"/>
      <c r="I27" s="104"/>
      <c r="J27" s="48" t="s">
        <v>293</v>
      </c>
      <c r="K27" s="101"/>
      <c r="L27" s="100"/>
      <c r="M27" s="100"/>
      <c r="N27" s="104"/>
    </row>
    <row r="28" spans="1:14" x14ac:dyDescent="0.25">
      <c r="A28" s="101" t="s">
        <v>191</v>
      </c>
      <c r="B28" s="100">
        <v>50</v>
      </c>
      <c r="C28" s="100">
        <v>55</v>
      </c>
      <c r="D28" s="102">
        <v>0.4</v>
      </c>
      <c r="E28" s="102">
        <v>0.95499999999999996</v>
      </c>
      <c r="F28" s="103">
        <v>15.8</v>
      </c>
      <c r="G28" s="100"/>
      <c r="H28" s="102"/>
      <c r="I28" s="104"/>
      <c r="J28" s="48" t="s">
        <v>294</v>
      </c>
      <c r="K28" s="101"/>
      <c r="L28" s="100"/>
      <c r="M28" s="100"/>
      <c r="N28" s="104"/>
    </row>
    <row r="29" spans="1:14" x14ac:dyDescent="0.25">
      <c r="A29" s="101" t="s">
        <v>192</v>
      </c>
      <c r="B29" s="100">
        <v>55</v>
      </c>
      <c r="C29" s="100">
        <v>60</v>
      </c>
      <c r="D29" s="102">
        <v>0.6</v>
      </c>
      <c r="E29" s="102">
        <v>1.268</v>
      </c>
      <c r="F29" s="103">
        <v>14.2</v>
      </c>
      <c r="G29" s="100"/>
      <c r="H29" s="102"/>
      <c r="I29" s="104"/>
      <c r="J29" s="48" t="s">
        <v>295</v>
      </c>
      <c r="K29" s="101"/>
      <c r="L29" s="100"/>
      <c r="M29" s="100"/>
      <c r="N29" s="104"/>
    </row>
    <row r="30" spans="1:14" x14ac:dyDescent="0.25">
      <c r="A30" s="101" t="s">
        <v>193</v>
      </c>
      <c r="B30" s="100">
        <v>60</v>
      </c>
      <c r="C30" s="100">
        <v>65</v>
      </c>
      <c r="D30" s="102">
        <v>0.5</v>
      </c>
      <c r="E30" s="102">
        <v>1.1839999999999999</v>
      </c>
      <c r="F30" s="103">
        <v>13.9</v>
      </c>
      <c r="G30" s="100"/>
      <c r="H30" s="102"/>
      <c r="I30" s="104"/>
      <c r="J30" s="48" t="s">
        <v>296</v>
      </c>
      <c r="K30" s="101"/>
      <c r="L30" s="100"/>
      <c r="M30" s="100"/>
      <c r="N30" s="104"/>
    </row>
    <row r="31" spans="1:14" x14ac:dyDescent="0.25">
      <c r="A31" s="101" t="s">
        <v>194</v>
      </c>
      <c r="B31" s="100">
        <v>65</v>
      </c>
      <c r="C31" s="100">
        <v>70</v>
      </c>
      <c r="D31" s="102">
        <v>0.5</v>
      </c>
      <c r="E31" s="102">
        <v>1.18</v>
      </c>
      <c r="F31" s="103">
        <v>15.1</v>
      </c>
      <c r="G31" s="100"/>
      <c r="H31" s="102"/>
      <c r="I31" s="104"/>
      <c r="J31" s="48" t="s">
        <v>297</v>
      </c>
      <c r="K31" s="101"/>
      <c r="L31" s="100"/>
      <c r="M31" s="100"/>
      <c r="N31" s="104"/>
    </row>
    <row r="32" spans="1:14" x14ac:dyDescent="0.25">
      <c r="A32" s="101" t="s">
        <v>195</v>
      </c>
      <c r="B32" s="100">
        <v>70</v>
      </c>
      <c r="C32" s="100">
        <v>75</v>
      </c>
      <c r="D32" s="102">
        <v>0.8</v>
      </c>
      <c r="E32" s="102">
        <v>1.633</v>
      </c>
      <c r="F32" s="103">
        <v>15.1</v>
      </c>
      <c r="G32" s="100"/>
      <c r="H32" s="102"/>
      <c r="I32" s="104"/>
      <c r="J32" s="48" t="s">
        <v>298</v>
      </c>
      <c r="K32" s="101"/>
      <c r="L32" s="100"/>
      <c r="M32" s="100"/>
      <c r="N32" s="104"/>
    </row>
    <row r="33" spans="1:14" x14ac:dyDescent="0.25">
      <c r="A33" s="101" t="s">
        <v>196</v>
      </c>
      <c r="B33" s="100">
        <v>75</v>
      </c>
      <c r="C33" s="100">
        <v>80</v>
      </c>
      <c r="D33" s="102">
        <v>0.4</v>
      </c>
      <c r="E33" s="102">
        <v>0.94599999999999995</v>
      </c>
      <c r="F33" s="103">
        <v>15</v>
      </c>
      <c r="G33" s="100"/>
      <c r="H33" s="102"/>
      <c r="I33" s="104"/>
      <c r="J33" s="48" t="s">
        <v>299</v>
      </c>
      <c r="K33" s="101"/>
      <c r="L33" s="100"/>
      <c r="M33" s="100"/>
      <c r="N33" s="104"/>
    </row>
    <row r="34" spans="1:14" x14ac:dyDescent="0.25">
      <c r="A34" s="101" t="s">
        <v>263</v>
      </c>
      <c r="B34" s="100">
        <v>80</v>
      </c>
      <c r="C34" s="100">
        <v>85.5</v>
      </c>
      <c r="D34" s="102">
        <v>0.9</v>
      </c>
      <c r="E34" s="102">
        <v>1.8520000000000001</v>
      </c>
      <c r="F34" s="103">
        <v>15.6</v>
      </c>
      <c r="G34" s="100"/>
      <c r="H34" s="102"/>
      <c r="I34" s="104"/>
      <c r="J34" s="48" t="s">
        <v>300</v>
      </c>
      <c r="K34" s="101"/>
      <c r="L34" s="100"/>
      <c r="M34" s="100"/>
      <c r="N34" s="104"/>
    </row>
    <row r="35" spans="1:14" x14ac:dyDescent="0.25">
      <c r="A35" s="101" t="s">
        <v>264</v>
      </c>
      <c r="B35" s="100">
        <v>85.5</v>
      </c>
      <c r="C35" s="100">
        <v>90</v>
      </c>
      <c r="D35" s="102">
        <v>0.8</v>
      </c>
      <c r="E35" s="102">
        <v>1.667</v>
      </c>
      <c r="F35" s="103">
        <v>14.5</v>
      </c>
      <c r="G35" s="100"/>
      <c r="H35" s="102"/>
      <c r="I35" s="104"/>
      <c r="J35" s="48" t="s">
        <v>301</v>
      </c>
      <c r="K35" s="101"/>
      <c r="L35" s="100"/>
      <c r="M35" s="100"/>
      <c r="N35" s="104"/>
    </row>
    <row r="36" spans="1:14" x14ac:dyDescent="0.25">
      <c r="A36" s="101" t="s">
        <v>197</v>
      </c>
      <c r="B36" s="100">
        <v>90</v>
      </c>
      <c r="C36" s="100">
        <v>95</v>
      </c>
      <c r="D36" s="102">
        <v>1</v>
      </c>
      <c r="E36" s="102">
        <v>2.08</v>
      </c>
      <c r="F36" s="103">
        <v>14.7</v>
      </c>
      <c r="G36" s="100"/>
      <c r="H36" s="102"/>
      <c r="I36" s="104"/>
      <c r="J36" s="48" t="s">
        <v>302</v>
      </c>
      <c r="K36" s="101"/>
      <c r="L36" s="100"/>
      <c r="M36" s="100"/>
      <c r="N36" s="104"/>
    </row>
    <row r="37" spans="1:14" x14ac:dyDescent="0.25">
      <c r="A37" s="101" t="s">
        <v>198</v>
      </c>
      <c r="B37" s="100">
        <v>95</v>
      </c>
      <c r="C37" s="100">
        <v>100</v>
      </c>
      <c r="D37" s="102">
        <v>1.2</v>
      </c>
      <c r="E37" s="102">
        <v>2.4500000000000002</v>
      </c>
      <c r="F37" s="103">
        <v>14.5</v>
      </c>
      <c r="G37" s="100"/>
      <c r="H37" s="102"/>
      <c r="I37" s="104"/>
      <c r="J37" s="48" t="s">
        <v>303</v>
      </c>
      <c r="K37" s="101"/>
      <c r="L37" s="100"/>
      <c r="M37" s="100"/>
      <c r="N37" s="104"/>
    </row>
    <row r="38" spans="1:14" x14ac:dyDescent="0.25">
      <c r="A38" s="101" t="s">
        <v>199</v>
      </c>
      <c r="B38" s="100">
        <v>100</v>
      </c>
      <c r="C38" s="100">
        <v>105</v>
      </c>
      <c r="D38" s="102">
        <v>1</v>
      </c>
      <c r="E38" s="102">
        <v>2.04</v>
      </c>
      <c r="F38" s="103">
        <v>14.3</v>
      </c>
      <c r="G38" s="100"/>
      <c r="H38" s="102"/>
      <c r="I38" s="104"/>
      <c r="J38" s="48" t="s">
        <v>304</v>
      </c>
      <c r="K38" s="101"/>
      <c r="L38" s="100"/>
      <c r="M38" s="100"/>
      <c r="N38" s="104"/>
    </row>
    <row r="39" spans="1:14" x14ac:dyDescent="0.25">
      <c r="A39" s="101" t="s">
        <v>200</v>
      </c>
      <c r="B39" s="100">
        <v>105</v>
      </c>
      <c r="C39" s="100">
        <v>110</v>
      </c>
      <c r="D39" s="102">
        <v>1.3</v>
      </c>
      <c r="E39" s="102">
        <v>2.59</v>
      </c>
      <c r="F39" s="103">
        <v>14.3</v>
      </c>
      <c r="G39" s="100"/>
      <c r="H39" s="102"/>
      <c r="I39" s="104"/>
      <c r="J39" s="48" t="s">
        <v>305</v>
      </c>
      <c r="K39" s="101"/>
      <c r="L39" s="100"/>
      <c r="M39" s="100"/>
      <c r="N39" s="104"/>
    </row>
    <row r="40" spans="1:14" x14ac:dyDescent="0.25">
      <c r="A40" s="101" t="s">
        <v>201</v>
      </c>
      <c r="B40" s="100">
        <v>110</v>
      </c>
      <c r="C40" s="100">
        <v>115</v>
      </c>
      <c r="D40" s="102">
        <v>1.6</v>
      </c>
      <c r="E40" s="102">
        <v>3.16</v>
      </c>
      <c r="F40" s="103">
        <v>14.1</v>
      </c>
      <c r="G40" s="100"/>
      <c r="H40" s="102"/>
      <c r="I40" s="104"/>
      <c r="J40" s="48" t="s">
        <v>306</v>
      </c>
      <c r="K40" s="101"/>
      <c r="L40" s="100"/>
      <c r="M40" s="100"/>
      <c r="N40" s="104"/>
    </row>
    <row r="41" spans="1:14" x14ac:dyDescent="0.25">
      <c r="A41" s="101" t="s">
        <v>202</v>
      </c>
      <c r="B41" s="100">
        <v>115</v>
      </c>
      <c r="C41" s="100">
        <v>120</v>
      </c>
      <c r="D41" s="102">
        <v>2.4</v>
      </c>
      <c r="E41" s="102">
        <v>4.49</v>
      </c>
      <c r="F41" s="103">
        <v>14.3</v>
      </c>
      <c r="G41" s="100"/>
      <c r="H41" s="102"/>
      <c r="I41" s="104"/>
      <c r="J41" s="48" t="s">
        <v>307</v>
      </c>
      <c r="K41" s="101"/>
      <c r="L41" s="100"/>
      <c r="M41" s="100"/>
      <c r="N41" s="104"/>
    </row>
    <row r="42" spans="1:14" x14ac:dyDescent="0.25">
      <c r="A42" s="101" t="s">
        <v>203</v>
      </c>
      <c r="B42" s="100">
        <v>120</v>
      </c>
      <c r="C42" s="100">
        <v>125</v>
      </c>
      <c r="D42" s="102">
        <v>2.2999999999999998</v>
      </c>
      <c r="E42" s="102">
        <v>4.32</v>
      </c>
      <c r="F42" s="103">
        <v>15.4</v>
      </c>
      <c r="G42" s="100"/>
      <c r="H42" s="102"/>
      <c r="I42" s="104"/>
      <c r="J42" s="48" t="s">
        <v>308</v>
      </c>
      <c r="K42" s="101"/>
      <c r="L42" s="100"/>
      <c r="M42" s="100"/>
      <c r="N42" s="104"/>
    </row>
    <row r="43" spans="1:14" x14ac:dyDescent="0.25">
      <c r="A43" s="101" t="s">
        <v>204</v>
      </c>
      <c r="B43" s="100">
        <v>125</v>
      </c>
      <c r="C43" s="100">
        <v>130</v>
      </c>
      <c r="D43" s="102">
        <v>1.8</v>
      </c>
      <c r="E43" s="102">
        <v>3.57</v>
      </c>
      <c r="F43" s="103">
        <v>14.9</v>
      </c>
      <c r="G43" s="100"/>
      <c r="H43" s="102"/>
      <c r="I43" s="104"/>
      <c r="J43" s="48" t="s">
        <v>309</v>
      </c>
      <c r="K43" s="101"/>
      <c r="L43" s="100"/>
      <c r="M43" s="100"/>
      <c r="N43" s="104"/>
    </row>
    <row r="44" spans="1:14" x14ac:dyDescent="0.25">
      <c r="A44" s="101" t="s">
        <v>205</v>
      </c>
      <c r="B44" s="100">
        <v>130</v>
      </c>
      <c r="C44" s="100">
        <v>135</v>
      </c>
      <c r="D44" s="102">
        <v>2.1</v>
      </c>
      <c r="E44" s="102">
        <v>3.96</v>
      </c>
      <c r="F44" s="103">
        <v>15.9</v>
      </c>
      <c r="G44" s="100"/>
      <c r="H44" s="102"/>
      <c r="I44" s="104"/>
      <c r="J44" s="48" t="s">
        <v>310</v>
      </c>
      <c r="K44" s="101"/>
      <c r="L44" s="100"/>
      <c r="M44" s="100"/>
      <c r="N44" s="104"/>
    </row>
    <row r="45" spans="1:14" x14ac:dyDescent="0.25">
      <c r="A45" s="101" t="s">
        <v>206</v>
      </c>
      <c r="B45" s="100">
        <v>135</v>
      </c>
      <c r="C45" s="100">
        <v>140</v>
      </c>
      <c r="D45" s="102">
        <v>1.6</v>
      </c>
      <c r="E45" s="102">
        <v>3.12</v>
      </c>
      <c r="F45" s="103">
        <v>15.3</v>
      </c>
      <c r="G45" s="100"/>
      <c r="H45" s="102"/>
      <c r="I45" s="104"/>
      <c r="J45" s="48" t="s">
        <v>311</v>
      </c>
      <c r="K45" s="101"/>
      <c r="L45" s="100"/>
      <c r="M45" s="100"/>
      <c r="N45" s="104"/>
    </row>
    <row r="46" spans="1:14" x14ac:dyDescent="0.25">
      <c r="A46" s="101" t="s">
        <v>207</v>
      </c>
      <c r="B46" s="100">
        <v>140</v>
      </c>
      <c r="C46" s="100">
        <v>145</v>
      </c>
      <c r="D46" s="102">
        <v>2.2999999999999998</v>
      </c>
      <c r="E46" s="102">
        <v>4.41</v>
      </c>
      <c r="F46" s="103">
        <v>15.4</v>
      </c>
      <c r="G46" s="100"/>
      <c r="H46" s="102"/>
      <c r="I46" s="104"/>
      <c r="J46" s="48" t="s">
        <v>312</v>
      </c>
      <c r="K46" s="101"/>
      <c r="L46" s="100"/>
      <c r="M46" s="100"/>
      <c r="N46" s="104"/>
    </row>
    <row r="47" spans="1:14" x14ac:dyDescent="0.25">
      <c r="A47" s="101" t="s">
        <v>208</v>
      </c>
      <c r="B47" s="100">
        <v>145</v>
      </c>
      <c r="C47" s="100">
        <v>150</v>
      </c>
      <c r="D47" s="102">
        <v>2.7</v>
      </c>
      <c r="E47" s="102">
        <v>5.18</v>
      </c>
      <c r="F47" s="103">
        <v>14.2</v>
      </c>
      <c r="G47" s="100"/>
      <c r="H47" s="102"/>
      <c r="I47" s="104"/>
      <c r="J47" s="48" t="s">
        <v>313</v>
      </c>
      <c r="K47" s="101"/>
      <c r="L47" s="100"/>
      <c r="M47" s="100"/>
      <c r="N47" s="104"/>
    </row>
    <row r="48" spans="1:14" x14ac:dyDescent="0.25">
      <c r="A48" s="101" t="s">
        <v>209</v>
      </c>
      <c r="B48" s="100">
        <v>150</v>
      </c>
      <c r="C48" s="100">
        <v>155</v>
      </c>
      <c r="D48" s="102">
        <v>3.5</v>
      </c>
      <c r="E48" s="102">
        <v>6.48</v>
      </c>
      <c r="F48" s="103">
        <v>15</v>
      </c>
      <c r="G48" s="100"/>
      <c r="H48" s="102"/>
      <c r="I48" s="104"/>
      <c r="J48" s="48" t="s">
        <v>314</v>
      </c>
      <c r="K48" s="101"/>
      <c r="L48" s="100"/>
      <c r="M48" s="100"/>
      <c r="N48" s="104"/>
    </row>
    <row r="49" spans="1:14" x14ac:dyDescent="0.25">
      <c r="A49" s="101" t="s">
        <v>210</v>
      </c>
      <c r="B49" s="100">
        <v>155</v>
      </c>
      <c r="C49" s="100">
        <v>160</v>
      </c>
      <c r="D49" s="102">
        <v>3.3</v>
      </c>
      <c r="E49" s="102">
        <v>6.11</v>
      </c>
      <c r="F49" s="103">
        <v>14.8</v>
      </c>
      <c r="G49" s="100"/>
      <c r="H49" s="102"/>
      <c r="I49" s="104"/>
      <c r="J49" s="48" t="s">
        <v>315</v>
      </c>
      <c r="K49" s="101"/>
      <c r="L49" s="100"/>
      <c r="M49" s="100"/>
      <c r="N49" s="104"/>
    </row>
    <row r="50" spans="1:14" x14ac:dyDescent="0.25">
      <c r="A50" s="101" t="s">
        <v>211</v>
      </c>
      <c r="B50" s="100">
        <v>160</v>
      </c>
      <c r="C50" s="100">
        <v>165</v>
      </c>
      <c r="D50" s="102">
        <v>3.4</v>
      </c>
      <c r="E50" s="102">
        <v>6.33</v>
      </c>
      <c r="F50" s="103">
        <v>15.2</v>
      </c>
      <c r="G50" s="100"/>
      <c r="H50" s="102"/>
      <c r="I50" s="104"/>
      <c r="J50" s="48" t="s">
        <v>316</v>
      </c>
      <c r="K50" s="101"/>
      <c r="L50" s="100"/>
      <c r="M50" s="100"/>
      <c r="N50" s="104"/>
    </row>
    <row r="51" spans="1:14" x14ac:dyDescent="0.25">
      <c r="A51" s="101" t="s">
        <v>265</v>
      </c>
      <c r="B51" s="100">
        <v>165</v>
      </c>
      <c r="C51" s="100">
        <v>170</v>
      </c>
      <c r="D51" s="48">
        <v>3.1</v>
      </c>
      <c r="E51" s="48">
        <v>5.79</v>
      </c>
      <c r="F51" s="48">
        <v>15.4</v>
      </c>
      <c r="J51" s="48" t="s">
        <v>317</v>
      </c>
    </row>
    <row r="52" spans="1:14" x14ac:dyDescent="0.25">
      <c r="A52" s="101" t="s">
        <v>266</v>
      </c>
      <c r="B52" s="100">
        <v>170</v>
      </c>
      <c r="C52" s="100">
        <v>175</v>
      </c>
      <c r="D52" s="48">
        <v>3.7</v>
      </c>
      <c r="E52" s="48">
        <v>6.9</v>
      </c>
      <c r="F52" s="48">
        <v>15.4</v>
      </c>
      <c r="J52" s="48" t="s">
        <v>318</v>
      </c>
    </row>
    <row r="53" spans="1:14" x14ac:dyDescent="0.25">
      <c r="A53" s="101" t="s">
        <v>267</v>
      </c>
      <c r="B53" s="100">
        <v>175</v>
      </c>
      <c r="C53" s="100">
        <v>180</v>
      </c>
      <c r="D53" s="48">
        <v>3.2</v>
      </c>
      <c r="E53" s="48">
        <v>6.03</v>
      </c>
      <c r="F53" s="48">
        <v>15.5</v>
      </c>
      <c r="J53" s="48" t="s">
        <v>319</v>
      </c>
    </row>
    <row r="54" spans="1:14" x14ac:dyDescent="0.25">
      <c r="A54" s="101" t="s">
        <v>268</v>
      </c>
      <c r="B54" s="100">
        <v>180</v>
      </c>
      <c r="C54" s="100">
        <v>185</v>
      </c>
      <c r="D54" s="48">
        <v>3.6</v>
      </c>
      <c r="E54" s="48">
        <v>6.62</v>
      </c>
      <c r="F54" s="48">
        <v>15.4</v>
      </c>
      <c r="J54" s="48" t="s">
        <v>320</v>
      </c>
    </row>
    <row r="55" spans="1:14" x14ac:dyDescent="0.25">
      <c r="A55" s="101" t="s">
        <v>269</v>
      </c>
      <c r="B55" s="100">
        <v>185</v>
      </c>
      <c r="C55" s="100">
        <v>190</v>
      </c>
      <c r="D55" s="48">
        <v>3.2</v>
      </c>
      <c r="E55" s="48">
        <v>5.95</v>
      </c>
      <c r="F55" s="48">
        <v>15.6</v>
      </c>
      <c r="J55" s="48" t="s">
        <v>321</v>
      </c>
    </row>
    <row r="56" spans="1:14" x14ac:dyDescent="0.25">
      <c r="A56" s="48" t="s">
        <v>270</v>
      </c>
      <c r="D56" s="48">
        <v>0</v>
      </c>
      <c r="E56" s="48">
        <v>8.6E-3</v>
      </c>
      <c r="F56" s="48">
        <v>13.8</v>
      </c>
      <c r="I56" s="48" t="s">
        <v>271</v>
      </c>
      <c r="J56" s="48" t="s">
        <v>322</v>
      </c>
    </row>
  </sheetData>
  <mergeCells count="9">
    <mergeCell ref="K11:L11"/>
    <mergeCell ref="K10:L10"/>
    <mergeCell ref="A1:D1"/>
    <mergeCell ref="B7:D7"/>
    <mergeCell ref="B2:C2"/>
    <mergeCell ref="B3:C3"/>
    <mergeCell ref="B4:C4"/>
    <mergeCell ref="B5:C5"/>
    <mergeCell ref="B6:C6"/>
  </mergeCells>
  <phoneticPr fontId="16" type="noConversion"/>
  <pageMargins left="0.7" right="0.7" top="0.75" bottom="0.75" header="0.3" footer="0.3"/>
  <pageSetup paperSize="9" scale="49"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I47"/>
  <sheetViews>
    <sheetView zoomScale="80" zoomScaleNormal="80" workbookViewId="0">
      <selection activeCell="A23" sqref="A23:A44"/>
    </sheetView>
  </sheetViews>
  <sheetFormatPr defaultColWidth="9.140625" defaultRowHeight="15" x14ac:dyDescent="0.25"/>
  <cols>
    <col min="1" max="1" width="23.7109375" style="48" bestFit="1" customWidth="1"/>
    <col min="2" max="2" width="16.42578125" style="48" bestFit="1" customWidth="1"/>
    <col min="3" max="3" width="12.7109375" style="48" customWidth="1"/>
    <col min="4" max="4" width="29.42578125" style="48" bestFit="1" customWidth="1"/>
    <col min="5" max="5" width="18.7109375" style="48" customWidth="1"/>
    <col min="6" max="6" width="20.28515625" style="48" bestFit="1" customWidth="1"/>
    <col min="7" max="7" width="18.7109375" style="48" customWidth="1"/>
    <col min="8" max="8" width="36.7109375" style="48" customWidth="1"/>
    <col min="9" max="16384" width="9.140625" style="48"/>
  </cols>
  <sheetData>
    <row r="1" spans="1:9" ht="34.5" thickBot="1" x14ac:dyDescent="0.55000000000000004">
      <c r="A1" s="209" t="s">
        <v>108</v>
      </c>
      <c r="B1" s="209"/>
      <c r="C1" s="209"/>
      <c r="D1" s="209"/>
    </row>
    <row r="2" spans="1:9" x14ac:dyDescent="0.25">
      <c r="A2" s="32" t="s">
        <v>16</v>
      </c>
      <c r="B2" s="192" t="str">
        <f>CONCATENATE(ExpID,"-",StnNum,"-",StnDay)</f>
        <v>Polhavet2022-10-1</v>
      </c>
      <c r="C2" s="192"/>
      <c r="D2" s="73"/>
    </row>
    <row r="3" spans="1:9" x14ac:dyDescent="0.25">
      <c r="A3" s="33" t="s">
        <v>132</v>
      </c>
      <c r="B3" s="193" t="s">
        <v>212</v>
      </c>
      <c r="C3" s="193"/>
      <c r="D3" s="77"/>
    </row>
    <row r="4" spans="1:9" x14ac:dyDescent="0.25">
      <c r="A4" s="33" t="s">
        <v>4</v>
      </c>
      <c r="B4" s="194" t="str">
        <f>ObsDate</f>
        <v>17.08.2022</v>
      </c>
      <c r="C4" s="194"/>
      <c r="D4" s="77"/>
    </row>
    <row r="5" spans="1:9" x14ac:dyDescent="0.25">
      <c r="A5" s="34" t="s">
        <v>107</v>
      </c>
      <c r="B5" s="204"/>
      <c r="C5" s="204"/>
      <c r="D5" s="77"/>
    </row>
    <row r="6" spans="1:9" x14ac:dyDescent="0.25">
      <c r="A6" s="34" t="s">
        <v>121</v>
      </c>
      <c r="B6" s="185" t="s">
        <v>180</v>
      </c>
      <c r="C6" s="186"/>
      <c r="D6" s="77"/>
    </row>
    <row r="7" spans="1:9" x14ac:dyDescent="0.25">
      <c r="A7" s="210" t="s">
        <v>165</v>
      </c>
      <c r="B7" s="211"/>
      <c r="C7" s="40"/>
      <c r="D7" s="77"/>
      <c r="E7" s="83"/>
      <c r="F7" s="74"/>
      <c r="G7" s="74"/>
      <c r="H7" s="75"/>
      <c r="I7" s="76"/>
    </row>
    <row r="8" spans="1:9" ht="30" customHeight="1" thickBot="1" x14ac:dyDescent="0.3">
      <c r="A8" s="35" t="s">
        <v>15</v>
      </c>
      <c r="B8" s="206" t="s">
        <v>279</v>
      </c>
      <c r="C8" s="207"/>
      <c r="D8" s="208"/>
    </row>
    <row r="10" spans="1:9" ht="15.75" thickBot="1" x14ac:dyDescent="0.3">
      <c r="A10" s="50" t="s">
        <v>78</v>
      </c>
      <c r="D10" s="50" t="s">
        <v>109</v>
      </c>
    </row>
    <row r="11" spans="1:9" x14ac:dyDescent="0.25">
      <c r="A11" s="15" t="s">
        <v>122</v>
      </c>
      <c r="B11" s="88">
        <v>1.1000000000000001</v>
      </c>
      <c r="D11" s="15" t="s">
        <v>138</v>
      </c>
      <c r="E11" s="91"/>
    </row>
    <row r="12" spans="1:9" x14ac:dyDescent="0.25">
      <c r="A12" s="16" t="s">
        <v>123</v>
      </c>
      <c r="B12" s="89">
        <v>0.6</v>
      </c>
      <c r="C12" s="48" t="s">
        <v>276</v>
      </c>
      <c r="D12" s="16" t="s">
        <v>139</v>
      </c>
      <c r="E12" s="92">
        <v>188.5</v>
      </c>
    </row>
    <row r="13" spans="1:9" x14ac:dyDescent="0.25">
      <c r="A13" s="16" t="s">
        <v>124</v>
      </c>
      <c r="B13" s="89">
        <v>-0.2</v>
      </c>
      <c r="D13" s="16" t="s">
        <v>140</v>
      </c>
      <c r="E13" s="92">
        <v>169.5</v>
      </c>
    </row>
    <row r="14" spans="1:9" ht="15.75" thickBot="1" x14ac:dyDescent="0.3">
      <c r="A14" s="18" t="s">
        <v>125</v>
      </c>
      <c r="B14" s="90">
        <v>-1.6</v>
      </c>
      <c r="C14" s="48" t="s">
        <v>255</v>
      </c>
      <c r="D14" s="16" t="s">
        <v>136</v>
      </c>
      <c r="E14" s="92"/>
    </row>
    <row r="15" spans="1:9" x14ac:dyDescent="0.25">
      <c r="D15" s="16" t="s">
        <v>137</v>
      </c>
      <c r="E15" s="92">
        <v>3</v>
      </c>
    </row>
    <row r="16" spans="1:9" ht="15.75" thickBot="1" x14ac:dyDescent="0.3">
      <c r="D16" s="18" t="s">
        <v>149</v>
      </c>
      <c r="E16" s="93"/>
    </row>
    <row r="17" spans="1:8" ht="15.75" thickBot="1" x14ac:dyDescent="0.3"/>
    <row r="18" spans="1:8" x14ac:dyDescent="0.25">
      <c r="D18" s="15" t="s">
        <v>168</v>
      </c>
      <c r="E18" s="94">
        <v>194</v>
      </c>
      <c r="F18" s="84"/>
      <c r="G18" s="85"/>
    </row>
    <row r="19" spans="1:8" x14ac:dyDescent="0.25">
      <c r="D19" s="16" t="s">
        <v>127</v>
      </c>
      <c r="E19" s="95">
        <v>2</v>
      </c>
      <c r="F19" s="59"/>
      <c r="G19" s="86"/>
    </row>
    <row r="20" spans="1:8" ht="15.75" thickBot="1" x14ac:dyDescent="0.3">
      <c r="D20" s="18" t="s">
        <v>126</v>
      </c>
      <c r="E20" s="87"/>
      <c r="F20" s="87"/>
      <c r="G20" s="36">
        <v>194</v>
      </c>
    </row>
    <row r="21" spans="1:8" ht="15.75" thickBot="1" x14ac:dyDescent="0.3"/>
    <row r="22" spans="1:8" ht="15.75" thickBot="1" x14ac:dyDescent="0.3">
      <c r="A22" s="37" t="s">
        <v>173</v>
      </c>
      <c r="B22" s="38" t="s">
        <v>110</v>
      </c>
      <c r="D22" s="37" t="s">
        <v>118</v>
      </c>
      <c r="E22" s="39" t="s">
        <v>141</v>
      </c>
      <c r="F22" s="39" t="s">
        <v>142</v>
      </c>
      <c r="G22" s="39" t="s">
        <v>143</v>
      </c>
      <c r="H22" s="38" t="s">
        <v>13</v>
      </c>
    </row>
    <row r="23" spans="1:8" x14ac:dyDescent="0.25">
      <c r="A23" s="145">
        <v>2.5</v>
      </c>
      <c r="B23" s="142">
        <v>-0.1</v>
      </c>
      <c r="D23" s="96">
        <v>1</v>
      </c>
      <c r="E23" s="97"/>
      <c r="F23" s="97"/>
      <c r="G23" s="97">
        <v>92</v>
      </c>
      <c r="H23" s="81" t="s">
        <v>274</v>
      </c>
    </row>
    <row r="24" spans="1:8" x14ac:dyDescent="0.25">
      <c r="A24" s="146">
        <v>12.5</v>
      </c>
      <c r="B24" s="110">
        <v>-0.2</v>
      </c>
      <c r="D24" s="98">
        <v>2</v>
      </c>
      <c r="E24" s="99"/>
      <c r="F24" s="99"/>
      <c r="G24" s="99">
        <v>102</v>
      </c>
      <c r="H24" s="44" t="s">
        <v>275</v>
      </c>
    </row>
    <row r="25" spans="1:8" x14ac:dyDescent="0.25">
      <c r="A25" s="146">
        <v>22.5</v>
      </c>
      <c r="B25" s="110">
        <v>-0.3</v>
      </c>
      <c r="D25" s="98"/>
      <c r="E25" s="99"/>
      <c r="F25" s="99"/>
      <c r="G25" s="99"/>
      <c r="H25" s="44"/>
    </row>
    <row r="26" spans="1:8" x14ac:dyDescent="0.25">
      <c r="A26" s="146">
        <v>32.5</v>
      </c>
      <c r="B26" s="110">
        <v>-0.2</v>
      </c>
      <c r="D26" s="98"/>
      <c r="E26" s="99"/>
      <c r="F26" s="99"/>
      <c r="G26" s="99"/>
      <c r="H26" s="44"/>
    </row>
    <row r="27" spans="1:8" x14ac:dyDescent="0.25">
      <c r="A27" s="145">
        <v>42.5</v>
      </c>
      <c r="B27" s="110">
        <v>-0.2</v>
      </c>
      <c r="D27" s="98"/>
      <c r="E27" s="99"/>
      <c r="F27" s="99"/>
      <c r="G27" s="99"/>
      <c r="H27" s="44"/>
    </row>
    <row r="28" spans="1:8" x14ac:dyDescent="0.25">
      <c r="A28" s="146">
        <v>52.5</v>
      </c>
      <c r="B28" s="110">
        <v>-0.3</v>
      </c>
      <c r="D28" s="98"/>
      <c r="E28" s="99"/>
      <c r="F28" s="99"/>
      <c r="G28" s="99"/>
      <c r="H28" s="44"/>
    </row>
    <row r="29" spans="1:8" x14ac:dyDescent="0.25">
      <c r="A29" s="146">
        <v>62.5</v>
      </c>
      <c r="B29" s="110">
        <v>-0.6</v>
      </c>
      <c r="D29" s="98"/>
      <c r="E29" s="99"/>
      <c r="F29" s="99"/>
      <c r="G29" s="99"/>
      <c r="H29" s="44"/>
    </row>
    <row r="30" spans="1:8" x14ac:dyDescent="0.25">
      <c r="A30" s="145">
        <v>72.5</v>
      </c>
      <c r="B30" s="110">
        <v>-0.6</v>
      </c>
      <c r="D30" s="98"/>
      <c r="E30" s="99"/>
      <c r="F30" s="99"/>
      <c r="G30" s="99"/>
      <c r="H30" s="44"/>
    </row>
    <row r="31" spans="1:8" x14ac:dyDescent="0.25">
      <c r="A31" s="146">
        <v>82.5</v>
      </c>
      <c r="B31" s="110">
        <v>-0.7</v>
      </c>
      <c r="C31" s="48" t="s">
        <v>277</v>
      </c>
      <c r="D31" s="98"/>
      <c r="E31" s="99"/>
      <c r="F31" s="99"/>
      <c r="G31" s="99"/>
      <c r="H31" s="44"/>
    </row>
    <row r="32" spans="1:8" x14ac:dyDescent="0.25">
      <c r="A32" s="146">
        <v>92.5</v>
      </c>
      <c r="B32" s="110">
        <v>-1</v>
      </c>
      <c r="C32" s="48" t="s">
        <v>231</v>
      </c>
      <c r="D32" s="98"/>
      <c r="E32" s="99"/>
      <c r="F32" s="99"/>
      <c r="G32" s="99"/>
      <c r="H32" s="44"/>
    </row>
    <row r="33" spans="1:8" x14ac:dyDescent="0.25">
      <c r="A33" s="145">
        <v>102.5</v>
      </c>
      <c r="B33" s="110">
        <v>-1.1000000000000001</v>
      </c>
      <c r="D33" s="98"/>
      <c r="E33" s="99"/>
      <c r="F33" s="99"/>
      <c r="G33" s="99"/>
      <c r="H33" s="44"/>
    </row>
    <row r="34" spans="1:8" x14ac:dyDescent="0.25">
      <c r="A34" s="146">
        <v>112.5</v>
      </c>
      <c r="B34" s="110">
        <v>-1.3</v>
      </c>
      <c r="D34" s="98"/>
      <c r="E34" s="99"/>
      <c r="F34" s="99"/>
      <c r="G34" s="99"/>
      <c r="H34" s="44"/>
    </row>
    <row r="35" spans="1:8" x14ac:dyDescent="0.25">
      <c r="A35" s="146">
        <v>122.5</v>
      </c>
      <c r="B35" s="110">
        <v>-1.4</v>
      </c>
      <c r="D35" s="98"/>
      <c r="E35" s="99"/>
      <c r="F35" s="99"/>
      <c r="G35" s="99"/>
      <c r="H35" s="44"/>
    </row>
    <row r="36" spans="1:8" x14ac:dyDescent="0.25">
      <c r="A36" s="145">
        <v>132.5</v>
      </c>
      <c r="B36" s="110">
        <v>-1.2</v>
      </c>
      <c r="D36" s="98"/>
      <c r="E36" s="99"/>
      <c r="F36" s="99"/>
      <c r="G36" s="99"/>
      <c r="H36" s="44"/>
    </row>
    <row r="37" spans="1:8" x14ac:dyDescent="0.25">
      <c r="A37" s="146">
        <v>142.5</v>
      </c>
      <c r="B37" s="110">
        <v>-1.5</v>
      </c>
      <c r="D37" s="98"/>
      <c r="E37" s="99"/>
      <c r="F37" s="99"/>
      <c r="G37" s="99"/>
      <c r="H37" s="44"/>
    </row>
    <row r="38" spans="1:8" x14ac:dyDescent="0.25">
      <c r="A38" s="146">
        <v>152.5</v>
      </c>
      <c r="B38" s="110">
        <v>-1.5</v>
      </c>
      <c r="D38" s="98"/>
      <c r="E38" s="99"/>
      <c r="F38" s="99"/>
      <c r="G38" s="99"/>
      <c r="H38" s="44"/>
    </row>
    <row r="39" spans="1:8" x14ac:dyDescent="0.25">
      <c r="A39" s="145">
        <v>162.5</v>
      </c>
      <c r="B39" s="110">
        <v>-1.2</v>
      </c>
      <c r="D39" s="98"/>
      <c r="E39" s="99"/>
      <c r="F39" s="99"/>
      <c r="G39" s="99"/>
      <c r="H39" s="44"/>
    </row>
    <row r="40" spans="1:8" x14ac:dyDescent="0.25">
      <c r="A40" s="146">
        <v>172.5</v>
      </c>
      <c r="B40" s="110">
        <v>-1.2</v>
      </c>
      <c r="D40" s="98"/>
      <c r="E40" s="99"/>
      <c r="F40" s="99"/>
      <c r="G40" s="99"/>
      <c r="H40" s="44"/>
    </row>
    <row r="41" spans="1:8" x14ac:dyDescent="0.25">
      <c r="A41" s="146">
        <v>182.5</v>
      </c>
      <c r="B41" s="110">
        <v>-1.4</v>
      </c>
      <c r="D41" s="98"/>
      <c r="E41" s="99"/>
      <c r="F41" s="99"/>
      <c r="G41" s="99"/>
      <c r="H41" s="44"/>
    </row>
    <row r="42" spans="1:8" x14ac:dyDescent="0.25">
      <c r="A42" s="146">
        <v>186.5</v>
      </c>
      <c r="B42" s="110">
        <v>-1.3</v>
      </c>
      <c r="D42" s="98"/>
      <c r="E42" s="99"/>
      <c r="F42" s="99"/>
      <c r="G42" s="99"/>
      <c r="H42" s="44"/>
    </row>
    <row r="43" spans="1:8" x14ac:dyDescent="0.25">
      <c r="A43" s="146">
        <v>189</v>
      </c>
      <c r="B43" s="110">
        <v>-1.3</v>
      </c>
      <c r="D43" s="98"/>
      <c r="E43" s="99"/>
      <c r="F43" s="99"/>
      <c r="G43" s="99"/>
      <c r="H43" s="44"/>
    </row>
    <row r="44" spans="1:8" x14ac:dyDescent="0.25">
      <c r="A44" s="146">
        <v>191.5</v>
      </c>
      <c r="B44" s="110">
        <v>-1.2</v>
      </c>
      <c r="D44" s="98"/>
      <c r="E44" s="99"/>
      <c r="F44" s="99"/>
      <c r="G44" s="99"/>
      <c r="H44" s="44"/>
    </row>
    <row r="45" spans="1:8" x14ac:dyDescent="0.25">
      <c r="A45" s="146">
        <v>194</v>
      </c>
      <c r="B45" s="110">
        <v>-1</v>
      </c>
      <c r="C45" s="48" t="s">
        <v>278</v>
      </c>
      <c r="D45" s="98"/>
      <c r="E45" s="99"/>
      <c r="F45" s="99"/>
      <c r="G45" s="99"/>
      <c r="H45" s="44"/>
    </row>
    <row r="46" spans="1:8" x14ac:dyDescent="0.25">
      <c r="A46" s="146"/>
      <c r="B46" s="110"/>
      <c r="D46" s="98"/>
      <c r="E46" s="99"/>
      <c r="F46" s="99"/>
      <c r="G46" s="99"/>
      <c r="H46" s="44"/>
    </row>
    <row r="47" spans="1:8" x14ac:dyDescent="0.25">
      <c r="A47" s="146"/>
      <c r="B47" s="110"/>
      <c r="D47" s="98"/>
      <c r="E47" s="99"/>
      <c r="F47" s="99"/>
      <c r="G47" s="99"/>
      <c r="H47" s="44"/>
    </row>
  </sheetData>
  <mergeCells count="8">
    <mergeCell ref="B8:D8"/>
    <mergeCell ref="A1:D1"/>
    <mergeCell ref="B2:C2"/>
    <mergeCell ref="B3:C3"/>
    <mergeCell ref="B4:C4"/>
    <mergeCell ref="B5:C5"/>
    <mergeCell ref="B6:C6"/>
    <mergeCell ref="A7:B7"/>
  </mergeCells>
  <dataValidations disablePrompts="1" count="1">
    <dataValidation type="list" allowBlank="1" showInputMessage="1" showErrorMessage="1" sqref="C7" xr:uid="{00000000-0002-0000-0300-000000000000}">
      <formula1>Yes_No</formula1>
    </dataValidation>
  </dataValidations>
  <pageMargins left="0.7" right="0.7" top="0.75" bottom="0.75" header="0.3" footer="0.3"/>
  <pageSetup paperSize="9" scale="7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I47"/>
  <sheetViews>
    <sheetView zoomScale="80" zoomScaleNormal="80" workbookViewId="0">
      <selection activeCell="F18" sqref="F18"/>
    </sheetView>
  </sheetViews>
  <sheetFormatPr defaultColWidth="9.140625" defaultRowHeight="15" x14ac:dyDescent="0.25"/>
  <cols>
    <col min="1" max="1" width="23.7109375" style="48" bestFit="1" customWidth="1"/>
    <col min="2" max="2" width="16.7109375" style="48" bestFit="1" customWidth="1"/>
    <col min="3" max="3" width="20.42578125" style="48" bestFit="1" customWidth="1"/>
    <col min="4" max="4" width="27" style="48" bestFit="1" customWidth="1"/>
    <col min="5" max="5" width="18.7109375" style="48" customWidth="1"/>
    <col min="6" max="6" width="20.28515625" style="48" bestFit="1" customWidth="1"/>
    <col min="7" max="7" width="18.7109375" style="48" customWidth="1"/>
    <col min="8" max="8" width="36.7109375" style="48" customWidth="1"/>
    <col min="9" max="16384" width="9.140625" style="48"/>
  </cols>
  <sheetData>
    <row r="1" spans="1:9" ht="34.5" thickBot="1" x14ac:dyDescent="0.55000000000000004">
      <c r="A1" s="209" t="s">
        <v>175</v>
      </c>
      <c r="B1" s="209"/>
      <c r="C1" s="209"/>
      <c r="D1" s="209"/>
    </row>
    <row r="2" spans="1:9" x14ac:dyDescent="0.25">
      <c r="A2" s="32" t="s">
        <v>16</v>
      </c>
      <c r="B2" s="192" t="str">
        <f>CONCATENATE(ExpID,"-",StnNum,"-",StnDay)</f>
        <v>Polhavet2022-10-1</v>
      </c>
      <c r="C2" s="192"/>
      <c r="D2" s="73"/>
    </row>
    <row r="3" spans="1:9" x14ac:dyDescent="0.25">
      <c r="A3" s="33" t="s">
        <v>132</v>
      </c>
      <c r="B3" s="193" t="s">
        <v>212</v>
      </c>
      <c r="C3" s="193"/>
      <c r="D3" s="77"/>
    </row>
    <row r="4" spans="1:9" x14ac:dyDescent="0.25">
      <c r="A4" s="33" t="s">
        <v>4</v>
      </c>
      <c r="B4" s="194" t="str">
        <f>ObsDate</f>
        <v>17.08.2022</v>
      </c>
      <c r="C4" s="194"/>
      <c r="D4" s="77"/>
    </row>
    <row r="5" spans="1:9" x14ac:dyDescent="0.25">
      <c r="A5" s="34" t="s">
        <v>107</v>
      </c>
      <c r="B5" s="204"/>
      <c r="C5" s="204"/>
      <c r="D5" s="77"/>
    </row>
    <row r="6" spans="1:9" x14ac:dyDescent="0.25">
      <c r="A6" s="34" t="s">
        <v>121</v>
      </c>
      <c r="B6" s="185" t="s">
        <v>230</v>
      </c>
      <c r="C6" s="186"/>
      <c r="D6" s="77"/>
    </row>
    <row r="7" spans="1:9" x14ac:dyDescent="0.25">
      <c r="A7" s="210" t="s">
        <v>165</v>
      </c>
      <c r="B7" s="211"/>
      <c r="C7" s="40"/>
      <c r="D7" s="77"/>
      <c r="E7" s="83"/>
      <c r="F7" s="74"/>
      <c r="G7" s="74"/>
      <c r="H7" s="75"/>
      <c r="I7" s="76"/>
    </row>
    <row r="8" spans="1:9" ht="30" customHeight="1" thickBot="1" x14ac:dyDescent="0.3">
      <c r="A8" s="35" t="s">
        <v>15</v>
      </c>
      <c r="B8" s="206" t="s">
        <v>256</v>
      </c>
      <c r="C8" s="207"/>
      <c r="D8" s="208"/>
    </row>
    <row r="10" spans="1:9" ht="15.75" thickBot="1" x14ac:dyDescent="0.3">
      <c r="A10" s="50" t="s">
        <v>78</v>
      </c>
      <c r="D10" s="50" t="s">
        <v>109</v>
      </c>
    </row>
    <row r="11" spans="1:9" x14ac:dyDescent="0.25">
      <c r="A11" s="15" t="s">
        <v>122</v>
      </c>
      <c r="B11" s="88"/>
      <c r="D11" s="15" t="s">
        <v>138</v>
      </c>
      <c r="E11" s="91"/>
    </row>
    <row r="12" spans="1:9" x14ac:dyDescent="0.25">
      <c r="A12" s="16" t="s">
        <v>123</v>
      </c>
      <c r="B12" s="89"/>
      <c r="D12" s="16" t="s">
        <v>139</v>
      </c>
      <c r="E12" s="92">
        <v>188.5</v>
      </c>
    </row>
    <row r="13" spans="1:9" x14ac:dyDescent="0.25">
      <c r="A13" s="16" t="s">
        <v>124</v>
      </c>
      <c r="B13" s="89"/>
      <c r="D13" s="16" t="s">
        <v>140</v>
      </c>
      <c r="E13" s="92">
        <v>169.5</v>
      </c>
    </row>
    <row r="14" spans="1:9" ht="15.75" thickBot="1" x14ac:dyDescent="0.3">
      <c r="A14" s="18" t="s">
        <v>125</v>
      </c>
      <c r="B14" s="90"/>
      <c r="D14" s="16" t="s">
        <v>136</v>
      </c>
      <c r="E14" s="92"/>
    </row>
    <row r="15" spans="1:9" x14ac:dyDescent="0.25">
      <c r="D15" s="16" t="s">
        <v>137</v>
      </c>
      <c r="E15" s="92">
        <v>3</v>
      </c>
    </row>
    <row r="16" spans="1:9" ht="15.75" thickBot="1" x14ac:dyDescent="0.3">
      <c r="D16" s="18" t="s">
        <v>149</v>
      </c>
      <c r="E16" s="93"/>
    </row>
    <row r="17" spans="1:6" ht="15.75" thickBot="1" x14ac:dyDescent="0.3"/>
    <row r="18" spans="1:6" x14ac:dyDescent="0.25">
      <c r="A18" s="15" t="s">
        <v>168</v>
      </c>
      <c r="B18" s="94">
        <v>194</v>
      </c>
      <c r="C18" s="84"/>
      <c r="D18" s="85"/>
    </row>
    <row r="19" spans="1:6" x14ac:dyDescent="0.25">
      <c r="A19" s="16" t="s">
        <v>127</v>
      </c>
      <c r="B19" s="95">
        <v>2</v>
      </c>
      <c r="C19" s="59"/>
      <c r="D19" s="86"/>
    </row>
    <row r="20" spans="1:6" ht="15.75" thickBot="1" x14ac:dyDescent="0.3">
      <c r="A20" s="18" t="s">
        <v>126</v>
      </c>
      <c r="B20" s="87"/>
      <c r="C20" s="87"/>
      <c r="D20" s="36">
        <v>194</v>
      </c>
    </row>
    <row r="21" spans="1:6" ht="15.75" thickBot="1" x14ac:dyDescent="0.3"/>
    <row r="22" spans="1:6" ht="15.75" thickBot="1" x14ac:dyDescent="0.3">
      <c r="A22" s="37" t="s">
        <v>118</v>
      </c>
      <c r="B22" s="39" t="s">
        <v>141</v>
      </c>
      <c r="C22" s="39" t="s">
        <v>142</v>
      </c>
      <c r="D22" s="39" t="s">
        <v>143</v>
      </c>
      <c r="E22" s="213" t="s">
        <v>13</v>
      </c>
      <c r="F22" s="214"/>
    </row>
    <row r="23" spans="1:6" x14ac:dyDescent="0.25">
      <c r="A23" s="96">
        <v>1</v>
      </c>
      <c r="B23" s="97"/>
      <c r="C23" s="97"/>
      <c r="D23" s="97">
        <v>92</v>
      </c>
      <c r="E23" s="81" t="s">
        <v>274</v>
      </c>
      <c r="F23" s="81" t="s">
        <v>274</v>
      </c>
    </row>
    <row r="24" spans="1:6" x14ac:dyDescent="0.25">
      <c r="A24" s="98">
        <v>2</v>
      </c>
      <c r="B24" s="99"/>
      <c r="C24" s="99"/>
      <c r="D24" s="99">
        <v>102</v>
      </c>
      <c r="E24" s="44" t="s">
        <v>275</v>
      </c>
      <c r="F24" s="44" t="s">
        <v>275</v>
      </c>
    </row>
    <row r="25" spans="1:6" x14ac:dyDescent="0.25">
      <c r="A25" s="98"/>
      <c r="B25" s="99"/>
      <c r="C25" s="99"/>
      <c r="D25" s="99"/>
      <c r="E25" s="212"/>
      <c r="F25" s="212"/>
    </row>
    <row r="26" spans="1:6" x14ac:dyDescent="0.25">
      <c r="A26" s="98"/>
      <c r="B26" s="99"/>
      <c r="C26" s="99"/>
      <c r="D26" s="99"/>
      <c r="E26" s="212"/>
      <c r="F26" s="212"/>
    </row>
    <row r="27" spans="1:6" x14ac:dyDescent="0.25">
      <c r="A27" s="98"/>
      <c r="B27" s="99"/>
      <c r="C27" s="99"/>
      <c r="D27" s="99"/>
      <c r="E27" s="212"/>
      <c r="F27" s="212"/>
    </row>
    <row r="28" spans="1:6" x14ac:dyDescent="0.25">
      <c r="A28" s="98"/>
      <c r="B28" s="99"/>
      <c r="C28" s="99"/>
      <c r="D28" s="99"/>
      <c r="E28" s="212"/>
      <c r="F28" s="212"/>
    </row>
    <row r="29" spans="1:6" x14ac:dyDescent="0.25">
      <c r="A29" s="98"/>
      <c r="B29" s="99"/>
      <c r="C29" s="99"/>
      <c r="D29" s="99"/>
      <c r="E29" s="212"/>
      <c r="F29" s="212"/>
    </row>
    <row r="30" spans="1:6" x14ac:dyDescent="0.25">
      <c r="A30" s="98"/>
      <c r="B30" s="99"/>
      <c r="C30" s="99"/>
      <c r="D30" s="99"/>
      <c r="E30" s="212"/>
      <c r="F30" s="212"/>
    </row>
    <row r="31" spans="1:6" x14ac:dyDescent="0.25">
      <c r="A31" s="98"/>
      <c r="B31" s="99"/>
      <c r="C31" s="99"/>
      <c r="D31" s="99"/>
      <c r="E31" s="212"/>
      <c r="F31" s="212"/>
    </row>
    <row r="32" spans="1:6" x14ac:dyDescent="0.25">
      <c r="A32" s="98"/>
      <c r="B32" s="99"/>
      <c r="C32" s="99"/>
      <c r="D32" s="99"/>
      <c r="E32" s="212"/>
      <c r="F32" s="212"/>
    </row>
    <row r="33" spans="1:6" x14ac:dyDescent="0.25">
      <c r="A33" s="98"/>
      <c r="B33" s="99"/>
      <c r="C33" s="99"/>
      <c r="D33" s="99"/>
      <c r="E33" s="212"/>
      <c r="F33" s="212"/>
    </row>
    <row r="34" spans="1:6" x14ac:dyDescent="0.25">
      <c r="A34" s="98"/>
      <c r="B34" s="99"/>
      <c r="C34" s="99"/>
      <c r="D34" s="99"/>
      <c r="E34" s="212"/>
      <c r="F34" s="212"/>
    </row>
    <row r="35" spans="1:6" x14ac:dyDescent="0.25">
      <c r="A35" s="98"/>
      <c r="B35" s="99"/>
      <c r="C35" s="99"/>
      <c r="D35" s="99"/>
      <c r="E35" s="212"/>
      <c r="F35" s="212"/>
    </row>
    <row r="36" spans="1:6" x14ac:dyDescent="0.25">
      <c r="A36" s="98"/>
      <c r="B36" s="99"/>
      <c r="C36" s="99"/>
      <c r="D36" s="99"/>
      <c r="E36" s="212"/>
      <c r="F36" s="212"/>
    </row>
    <row r="37" spans="1:6" x14ac:dyDescent="0.25">
      <c r="A37" s="98"/>
      <c r="B37" s="99"/>
      <c r="C37" s="99"/>
      <c r="D37" s="99"/>
      <c r="E37" s="212"/>
      <c r="F37" s="212"/>
    </row>
    <row r="38" spans="1:6" x14ac:dyDescent="0.25">
      <c r="A38" s="98"/>
      <c r="B38" s="99"/>
      <c r="C38" s="99"/>
      <c r="D38" s="99"/>
      <c r="E38" s="212"/>
      <c r="F38" s="212"/>
    </row>
    <row r="39" spans="1:6" x14ac:dyDescent="0.25">
      <c r="A39" s="98"/>
      <c r="B39" s="99"/>
      <c r="C39" s="99"/>
      <c r="D39" s="99"/>
      <c r="E39" s="212"/>
      <c r="F39" s="212"/>
    </row>
    <row r="40" spans="1:6" x14ac:dyDescent="0.25">
      <c r="A40" s="98"/>
      <c r="B40" s="99"/>
      <c r="C40" s="99"/>
      <c r="D40" s="99"/>
      <c r="E40" s="212"/>
      <c r="F40" s="212"/>
    </row>
    <row r="41" spans="1:6" x14ac:dyDescent="0.25">
      <c r="A41" s="98"/>
      <c r="B41" s="99"/>
      <c r="C41" s="99"/>
      <c r="D41" s="99"/>
      <c r="E41" s="212"/>
      <c r="F41" s="212"/>
    </row>
    <row r="42" spans="1:6" x14ac:dyDescent="0.25">
      <c r="A42" s="98"/>
      <c r="B42" s="99"/>
      <c r="C42" s="99"/>
      <c r="D42" s="99"/>
      <c r="E42" s="212"/>
      <c r="F42" s="212"/>
    </row>
    <row r="43" spans="1:6" x14ac:dyDescent="0.25">
      <c r="A43" s="98"/>
      <c r="B43" s="99"/>
      <c r="C43" s="99"/>
      <c r="D43" s="99"/>
      <c r="E43" s="212"/>
      <c r="F43" s="212"/>
    </row>
    <row r="44" spans="1:6" x14ac:dyDescent="0.25">
      <c r="A44" s="98"/>
      <c r="B44" s="99"/>
      <c r="C44" s="99"/>
      <c r="D44" s="99"/>
      <c r="E44" s="212"/>
      <c r="F44" s="212"/>
    </row>
    <row r="45" spans="1:6" x14ac:dyDescent="0.25">
      <c r="A45" s="98"/>
      <c r="B45" s="99"/>
      <c r="C45" s="99"/>
      <c r="D45" s="99"/>
      <c r="E45" s="212"/>
      <c r="F45" s="212"/>
    </row>
    <row r="46" spans="1:6" x14ac:dyDescent="0.25">
      <c r="A46" s="98"/>
      <c r="B46" s="99"/>
      <c r="C46" s="99"/>
      <c r="D46" s="99"/>
      <c r="E46" s="212"/>
      <c r="F46" s="212"/>
    </row>
    <row r="47" spans="1:6" x14ac:dyDescent="0.25">
      <c r="A47" s="98"/>
      <c r="B47" s="99"/>
      <c r="C47" s="99"/>
      <c r="D47" s="99"/>
      <c r="E47" s="212"/>
      <c r="F47" s="212"/>
    </row>
  </sheetData>
  <mergeCells count="32">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s>
  <dataValidations count="1">
    <dataValidation type="list" allowBlank="1" showInputMessage="1" showErrorMessage="1" sqref="C7" xr:uid="{00000000-0002-0000-0400-000000000000}">
      <formula1>Yes_No</formula1>
    </dataValidation>
  </dataValidations>
  <pageMargins left="0.7" right="0.7" top="0.75" bottom="0.75" header="0.3" footer="0.3"/>
  <pageSetup paperSize="9" scale="75" fitToHeight="0"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M60"/>
  <sheetViews>
    <sheetView tabSelected="1" topLeftCell="C1" zoomScale="80" zoomScaleNormal="80" workbookViewId="0">
      <selection activeCell="J16" sqref="J16"/>
    </sheetView>
  </sheetViews>
  <sheetFormatPr defaultColWidth="9.140625" defaultRowHeight="15" x14ac:dyDescent="0.25"/>
  <cols>
    <col min="1" max="1" width="21.7109375" style="48" customWidth="1"/>
    <col min="2" max="3" width="15.7109375" style="48" customWidth="1"/>
    <col min="4" max="5" width="18.7109375" style="48" customWidth="1"/>
    <col min="6" max="6" width="19.5703125" style="48" bestFit="1" customWidth="1"/>
    <col min="7" max="7" width="19.85546875" style="48" bestFit="1" customWidth="1"/>
    <col min="8" max="8" width="19.5703125" style="48" bestFit="1" customWidth="1"/>
    <col min="9" max="9" width="36.7109375" style="115" customWidth="1"/>
    <col min="10" max="16384" width="9.140625" style="48"/>
  </cols>
  <sheetData>
    <row r="1" spans="1:9" ht="34.5" thickBot="1" x14ac:dyDescent="0.55000000000000004">
      <c r="A1" s="209" t="s">
        <v>120</v>
      </c>
      <c r="B1" s="209"/>
      <c r="C1" s="209"/>
      <c r="D1" s="113"/>
    </row>
    <row r="2" spans="1:9" x14ac:dyDescent="0.25">
      <c r="A2" s="32" t="s">
        <v>16</v>
      </c>
      <c r="B2" s="218" t="str">
        <f>CONCATENATE(ExpID,"-",StnNum,"-",StnDay)</f>
        <v>Polhavet2022-10-1</v>
      </c>
      <c r="C2" s="218"/>
      <c r="D2" s="73"/>
    </row>
    <row r="3" spans="1:9" x14ac:dyDescent="0.25">
      <c r="A3" s="33" t="s">
        <v>132</v>
      </c>
      <c r="B3" s="219" t="s">
        <v>212</v>
      </c>
      <c r="C3" s="219"/>
      <c r="D3" s="77"/>
    </row>
    <row r="4" spans="1:9" x14ac:dyDescent="0.25">
      <c r="A4" s="33" t="s">
        <v>4</v>
      </c>
      <c r="B4" s="194" t="str">
        <f>ObsDate</f>
        <v>17.08.2022</v>
      </c>
      <c r="C4" s="194"/>
      <c r="D4" s="77"/>
    </row>
    <row r="5" spans="1:9" x14ac:dyDescent="0.25">
      <c r="A5" s="34" t="s">
        <v>107</v>
      </c>
      <c r="B5" s="220"/>
      <c r="C5" s="220"/>
      <c r="D5" s="77"/>
    </row>
    <row r="6" spans="1:9" x14ac:dyDescent="0.25">
      <c r="A6" s="34" t="s">
        <v>121</v>
      </c>
      <c r="B6" s="221" t="s">
        <v>180</v>
      </c>
      <c r="C6" s="222"/>
      <c r="D6" s="77"/>
      <c r="E6" s="74"/>
      <c r="F6" s="74"/>
      <c r="G6" s="75"/>
      <c r="H6" s="76"/>
    </row>
    <row r="7" spans="1:9" ht="30" customHeight="1" thickBot="1" x14ac:dyDescent="0.3">
      <c r="A7" s="35" t="s">
        <v>15</v>
      </c>
      <c r="B7" s="215" t="s">
        <v>257</v>
      </c>
      <c r="C7" s="216"/>
      <c r="D7" s="217"/>
      <c r="F7" s="48" t="s">
        <v>435</v>
      </c>
      <c r="G7" s="48">
        <v>0.83199999999999996</v>
      </c>
    </row>
    <row r="8" spans="1:9" x14ac:dyDescent="0.25">
      <c r="F8" s="48" t="s">
        <v>436</v>
      </c>
      <c r="G8" s="48">
        <v>-19</v>
      </c>
    </row>
    <row r="9" spans="1:9" ht="15.75" thickBot="1" x14ac:dyDescent="0.3">
      <c r="A9" s="50" t="s">
        <v>109</v>
      </c>
    </row>
    <row r="10" spans="1:9" x14ac:dyDescent="0.25">
      <c r="A10" s="122" t="s">
        <v>149</v>
      </c>
      <c r="B10" s="123">
        <v>3</v>
      </c>
      <c r="F10" s="129" t="s">
        <v>118</v>
      </c>
      <c r="G10" s="130" t="s">
        <v>147</v>
      </c>
      <c r="H10" s="130" t="s">
        <v>148</v>
      </c>
      <c r="I10" s="131" t="s">
        <v>13</v>
      </c>
    </row>
    <row r="11" spans="1:9" x14ac:dyDescent="0.25">
      <c r="A11" s="124" t="s">
        <v>137</v>
      </c>
      <c r="B11" s="125">
        <v>187.5</v>
      </c>
      <c r="F11" s="132">
        <v>1</v>
      </c>
      <c r="G11" s="118"/>
      <c r="H11" s="42">
        <v>82</v>
      </c>
      <c r="I11" s="133" t="s">
        <v>443</v>
      </c>
    </row>
    <row r="12" spans="1:9" x14ac:dyDescent="0.25">
      <c r="A12" s="124" t="s">
        <v>150</v>
      </c>
      <c r="B12" s="125">
        <v>169.5</v>
      </c>
      <c r="F12" s="132">
        <v>2</v>
      </c>
      <c r="G12" s="42"/>
      <c r="H12" s="119">
        <v>109</v>
      </c>
      <c r="I12" s="134" t="s">
        <v>464</v>
      </c>
    </row>
    <row r="13" spans="1:9" x14ac:dyDescent="0.25">
      <c r="A13" s="124" t="s">
        <v>136</v>
      </c>
      <c r="B13" s="125"/>
      <c r="F13" s="132"/>
      <c r="G13" s="42"/>
      <c r="H13" s="42"/>
      <c r="I13" s="134"/>
    </row>
    <row r="14" spans="1:9" ht="15.75" thickBot="1" x14ac:dyDescent="0.3">
      <c r="A14" s="126" t="s">
        <v>151</v>
      </c>
      <c r="B14" s="127"/>
      <c r="F14" s="132"/>
      <c r="G14" s="42"/>
      <c r="H14" s="42"/>
      <c r="I14" s="134"/>
    </row>
    <row r="15" spans="1:9" x14ac:dyDescent="0.25">
      <c r="F15" s="132"/>
      <c r="G15" s="42"/>
      <c r="H15" s="42"/>
      <c r="I15" s="134"/>
    </row>
    <row r="16" spans="1:9" ht="15.75" thickBot="1" x14ac:dyDescent="0.3">
      <c r="A16" s="50" t="s">
        <v>112</v>
      </c>
      <c r="F16" s="132"/>
      <c r="G16" s="42"/>
      <c r="H16" s="42"/>
      <c r="I16" s="134"/>
    </row>
    <row r="17" spans="1:13" x14ac:dyDescent="0.25">
      <c r="A17" s="122" t="s">
        <v>152</v>
      </c>
      <c r="B17" s="123"/>
      <c r="F17" s="132"/>
      <c r="G17" s="42"/>
      <c r="H17" s="42"/>
      <c r="I17" s="134"/>
    </row>
    <row r="18" spans="1:13" ht="15.75" thickBot="1" x14ac:dyDescent="0.3">
      <c r="A18" s="18" t="s">
        <v>153</v>
      </c>
      <c r="B18" s="128"/>
      <c r="F18" s="132"/>
      <c r="G18" s="42"/>
      <c r="H18" s="42"/>
      <c r="I18" s="134"/>
    </row>
    <row r="19" spans="1:13" ht="15.75" thickBot="1" x14ac:dyDescent="0.3">
      <c r="B19" s="116"/>
      <c r="F19" s="135"/>
      <c r="G19" s="136"/>
      <c r="H19" s="136"/>
      <c r="I19" s="137"/>
    </row>
    <row r="21" spans="1:13" ht="15.75" thickBot="1" x14ac:dyDescent="0.3"/>
    <row r="22" spans="1:13" s="117" customFormat="1" ht="45.75" thickBot="1" x14ac:dyDescent="0.3">
      <c r="A22" s="139" t="s">
        <v>144</v>
      </c>
      <c r="B22" s="140" t="s">
        <v>145</v>
      </c>
      <c r="C22" s="140" t="s">
        <v>119</v>
      </c>
      <c r="D22" s="140" t="s">
        <v>408</v>
      </c>
      <c r="E22" s="140" t="s">
        <v>409</v>
      </c>
      <c r="F22" s="140" t="s">
        <v>410</v>
      </c>
      <c r="G22" s="140" t="s">
        <v>411</v>
      </c>
      <c r="H22" s="140" t="s">
        <v>412</v>
      </c>
      <c r="I22" s="141" t="s">
        <v>13</v>
      </c>
      <c r="J22" s="10" t="s">
        <v>114</v>
      </c>
      <c r="K22" s="10" t="s">
        <v>115</v>
      </c>
      <c r="L22" s="10" t="s">
        <v>116</v>
      </c>
    </row>
    <row r="23" spans="1:13" x14ac:dyDescent="0.25">
      <c r="A23" s="121">
        <v>0</v>
      </c>
      <c r="B23" s="121">
        <v>5</v>
      </c>
      <c r="C23" s="114"/>
      <c r="D23" s="114">
        <v>190.01</v>
      </c>
      <c r="E23" s="159">
        <v>8.94</v>
      </c>
      <c r="F23" s="121" t="s">
        <v>416</v>
      </c>
      <c r="G23" s="121">
        <f>AVERAGE(A23:B23)</f>
        <v>2.5</v>
      </c>
      <c r="H23" s="114">
        <f>0.832*D23/(D23-E23)</f>
        <v>0.87307847793670945</v>
      </c>
      <c r="I23" s="138" t="s">
        <v>433</v>
      </c>
      <c r="J23" s="48">
        <v>1.2</v>
      </c>
      <c r="L23" s="48">
        <v>19</v>
      </c>
      <c r="M23" s="48" t="s">
        <v>465</v>
      </c>
    </row>
    <row r="24" spans="1:13" x14ac:dyDescent="0.25">
      <c r="A24" s="41">
        <v>5</v>
      </c>
      <c r="B24" s="41">
        <v>10</v>
      </c>
      <c r="C24" s="41"/>
      <c r="D24" s="41">
        <v>257</v>
      </c>
      <c r="E24" s="41">
        <v>1.1599999999999999</v>
      </c>
      <c r="F24" s="41" t="s">
        <v>417</v>
      </c>
      <c r="G24" s="121">
        <f t="shared" ref="G24:G60" si="0">AVERAGE(A24:B24)</f>
        <v>7.5</v>
      </c>
      <c r="H24" s="114">
        <f t="shared" ref="H24:H60" si="1">0.832*D24/(D24-E24)</f>
        <v>0.83577235772357716</v>
      </c>
      <c r="I24" s="138" t="s">
        <v>433</v>
      </c>
      <c r="J24" s="48">
        <v>1.1000000000000001</v>
      </c>
      <c r="L24" s="48">
        <v>19</v>
      </c>
    </row>
    <row r="25" spans="1:13" x14ac:dyDescent="0.25">
      <c r="A25" s="41">
        <v>10</v>
      </c>
      <c r="B25" s="41">
        <v>15</v>
      </c>
      <c r="C25" s="41"/>
      <c r="D25" s="41">
        <v>260.20999999999998</v>
      </c>
      <c r="E25" s="41">
        <v>5.01</v>
      </c>
      <c r="F25" s="121" t="s">
        <v>418</v>
      </c>
      <c r="G25" s="121">
        <f t="shared" si="0"/>
        <v>12.5</v>
      </c>
      <c r="H25" s="114">
        <f t="shared" si="1"/>
        <v>0.84833354231974911</v>
      </c>
      <c r="I25" s="120" t="s">
        <v>434</v>
      </c>
      <c r="J25" s="48">
        <v>0.6</v>
      </c>
      <c r="L25" s="48">
        <v>19</v>
      </c>
    </row>
    <row r="26" spans="1:13" x14ac:dyDescent="0.25">
      <c r="A26" s="41">
        <v>15</v>
      </c>
      <c r="B26" s="41">
        <v>20</v>
      </c>
      <c r="C26" s="41"/>
      <c r="D26" s="41">
        <v>236.79</v>
      </c>
      <c r="E26" s="41">
        <v>3.35</v>
      </c>
      <c r="F26" s="41" t="s">
        <v>419</v>
      </c>
      <c r="G26" s="121">
        <f t="shared" si="0"/>
        <v>17.5</v>
      </c>
      <c r="H26" s="114">
        <f t="shared" si="1"/>
        <v>0.84393968471555858</v>
      </c>
      <c r="I26" s="120" t="s">
        <v>434</v>
      </c>
      <c r="J26" s="48">
        <v>0.8</v>
      </c>
      <c r="L26" s="48">
        <v>19</v>
      </c>
    </row>
    <row r="27" spans="1:13" x14ac:dyDescent="0.25">
      <c r="A27" s="41">
        <v>20</v>
      </c>
      <c r="B27" s="41">
        <v>25</v>
      </c>
      <c r="C27" s="41"/>
      <c r="D27" s="41">
        <v>220.23</v>
      </c>
      <c r="E27" s="41">
        <v>1.27</v>
      </c>
      <c r="F27" s="121" t="s">
        <v>420</v>
      </c>
      <c r="G27" s="121">
        <f t="shared" si="0"/>
        <v>22.5</v>
      </c>
      <c r="H27" s="114">
        <f t="shared" si="1"/>
        <v>0.83682572159298507</v>
      </c>
      <c r="I27" s="120" t="s">
        <v>437</v>
      </c>
      <c r="J27" s="48">
        <v>0.8</v>
      </c>
      <c r="L27" s="48">
        <v>19</v>
      </c>
    </row>
    <row r="28" spans="1:13" x14ac:dyDescent="0.25">
      <c r="A28" s="41">
        <v>25</v>
      </c>
      <c r="B28" s="41">
        <v>28</v>
      </c>
      <c r="C28" s="41"/>
      <c r="D28" s="41">
        <v>123.47</v>
      </c>
      <c r="E28" s="41">
        <v>0</v>
      </c>
      <c r="F28" s="41" t="s">
        <v>421</v>
      </c>
      <c r="G28" s="121">
        <f t="shared" si="0"/>
        <v>26.5</v>
      </c>
      <c r="H28" s="114">
        <f t="shared" si="1"/>
        <v>0.83199999999999996</v>
      </c>
      <c r="I28" s="120" t="s">
        <v>438</v>
      </c>
      <c r="J28" s="48">
        <v>0.7</v>
      </c>
      <c r="L28" s="48">
        <v>19</v>
      </c>
    </row>
    <row r="29" spans="1:13" x14ac:dyDescent="0.25">
      <c r="A29" s="41">
        <v>28</v>
      </c>
      <c r="B29" s="41">
        <v>35</v>
      </c>
      <c r="C29" s="41"/>
      <c r="D29" s="41">
        <v>225.82</v>
      </c>
      <c r="E29" s="41">
        <v>1.24</v>
      </c>
      <c r="F29" s="121" t="s">
        <v>422</v>
      </c>
      <c r="G29" s="121">
        <f t="shared" si="0"/>
        <v>31.5</v>
      </c>
      <c r="H29" s="114">
        <f t="shared" si="1"/>
        <v>0.83659381957431656</v>
      </c>
      <c r="I29" s="120"/>
      <c r="J29" s="48">
        <v>0.6</v>
      </c>
      <c r="L29" s="48">
        <v>19</v>
      </c>
    </row>
    <row r="30" spans="1:13" x14ac:dyDescent="0.25">
      <c r="A30" s="41">
        <v>35</v>
      </c>
      <c r="B30" s="41">
        <v>40</v>
      </c>
      <c r="C30" s="41"/>
      <c r="D30" s="41">
        <v>221.95</v>
      </c>
      <c r="E30" s="41">
        <v>4.09</v>
      </c>
      <c r="F30" s="41" t="s">
        <v>423</v>
      </c>
      <c r="G30" s="121">
        <f t="shared" si="0"/>
        <v>37.5</v>
      </c>
      <c r="H30" s="114">
        <f t="shared" si="1"/>
        <v>0.84761957220233175</v>
      </c>
      <c r="I30" s="120"/>
      <c r="J30" s="48">
        <v>0.4</v>
      </c>
      <c r="L30" s="48">
        <v>19</v>
      </c>
    </row>
    <row r="31" spans="1:13" x14ac:dyDescent="0.25">
      <c r="A31" s="41">
        <v>40</v>
      </c>
      <c r="B31" s="41">
        <v>45</v>
      </c>
      <c r="C31" s="41"/>
      <c r="D31" s="41">
        <v>215.49</v>
      </c>
      <c r="E31" s="41">
        <v>1.61</v>
      </c>
      <c r="F31" s="121" t="s">
        <v>424</v>
      </c>
      <c r="G31" s="121">
        <f t="shared" si="0"/>
        <v>42.5</v>
      </c>
      <c r="H31" s="41">
        <f t="shared" si="1"/>
        <v>0.83826295118758176</v>
      </c>
      <c r="I31" s="120" t="s">
        <v>439</v>
      </c>
      <c r="J31" s="48">
        <v>0.4</v>
      </c>
      <c r="L31" s="48">
        <v>19</v>
      </c>
    </row>
    <row r="32" spans="1:13" x14ac:dyDescent="0.25">
      <c r="A32" s="41">
        <v>45</v>
      </c>
      <c r="B32" s="41">
        <v>50</v>
      </c>
      <c r="C32" s="41"/>
      <c r="D32" s="41">
        <v>197.43</v>
      </c>
      <c r="E32" s="41">
        <v>2.95</v>
      </c>
      <c r="F32" s="41" t="s">
        <v>425</v>
      </c>
      <c r="G32" s="121">
        <f t="shared" si="0"/>
        <v>47.5</v>
      </c>
      <c r="H32" s="41">
        <f t="shared" si="1"/>
        <v>0.84462032085561489</v>
      </c>
      <c r="I32" s="120" t="s">
        <v>440</v>
      </c>
      <c r="J32" s="48">
        <v>0.5</v>
      </c>
      <c r="L32" s="48">
        <v>19</v>
      </c>
    </row>
    <row r="33" spans="1:12" x14ac:dyDescent="0.25">
      <c r="A33" s="41">
        <v>50</v>
      </c>
      <c r="B33" s="41">
        <v>55</v>
      </c>
      <c r="C33" s="41"/>
      <c r="D33" s="41">
        <v>191.33</v>
      </c>
      <c r="E33" s="41">
        <v>7</v>
      </c>
      <c r="F33" s="121" t="s">
        <v>426</v>
      </c>
      <c r="G33" s="121">
        <f t="shared" si="0"/>
        <v>52.5</v>
      </c>
      <c r="H33" s="41">
        <f t="shared" si="1"/>
        <v>0.86359550805620355</v>
      </c>
      <c r="I33" s="120" t="s">
        <v>440</v>
      </c>
      <c r="J33" s="48">
        <v>0.6</v>
      </c>
      <c r="L33" s="48">
        <v>19</v>
      </c>
    </row>
    <row r="34" spans="1:12" x14ac:dyDescent="0.25">
      <c r="A34" s="41">
        <v>55</v>
      </c>
      <c r="B34" s="41">
        <v>60</v>
      </c>
      <c r="C34" s="41"/>
      <c r="D34" s="41">
        <v>154.94999999999999</v>
      </c>
      <c r="E34" s="41">
        <v>5.8</v>
      </c>
      <c r="F34" s="41" t="s">
        <v>427</v>
      </c>
      <c r="G34" s="121">
        <f t="shared" si="0"/>
        <v>57.5</v>
      </c>
      <c r="H34" s="41">
        <f t="shared" si="1"/>
        <v>0.86435400603419388</v>
      </c>
      <c r="I34" s="120" t="s">
        <v>441</v>
      </c>
      <c r="J34" s="48">
        <v>0.6</v>
      </c>
      <c r="L34" s="48">
        <v>19</v>
      </c>
    </row>
    <row r="35" spans="1:12" x14ac:dyDescent="0.25">
      <c r="A35" s="41">
        <v>60</v>
      </c>
      <c r="B35" s="41">
        <v>65</v>
      </c>
      <c r="C35" s="41"/>
      <c r="D35" s="41">
        <v>268.04000000000002</v>
      </c>
      <c r="E35" s="41">
        <v>12.28</v>
      </c>
      <c r="F35" s="121" t="s">
        <v>428</v>
      </c>
      <c r="G35" s="121">
        <f t="shared" si="0"/>
        <v>62.5</v>
      </c>
      <c r="H35" s="41">
        <f t="shared" si="1"/>
        <v>0.87194745073506408</v>
      </c>
      <c r="I35" s="120" t="s">
        <v>440</v>
      </c>
      <c r="J35" s="48">
        <v>0.7</v>
      </c>
      <c r="L35" s="48">
        <v>19</v>
      </c>
    </row>
    <row r="36" spans="1:12" x14ac:dyDescent="0.25">
      <c r="A36" s="41">
        <v>65</v>
      </c>
      <c r="B36" s="41">
        <v>70</v>
      </c>
      <c r="C36" s="41"/>
      <c r="D36" s="41">
        <v>225.57</v>
      </c>
      <c r="E36" s="41">
        <v>15.14</v>
      </c>
      <c r="F36" s="41" t="s">
        <v>429</v>
      </c>
      <c r="G36" s="121">
        <f t="shared" si="0"/>
        <v>67.5</v>
      </c>
      <c r="H36" s="41">
        <f t="shared" si="1"/>
        <v>0.89186066625481153</v>
      </c>
      <c r="I36" s="120" t="s">
        <v>440</v>
      </c>
      <c r="J36" s="48">
        <v>0.5</v>
      </c>
      <c r="L36" s="48">
        <v>19</v>
      </c>
    </row>
    <row r="37" spans="1:12" x14ac:dyDescent="0.25">
      <c r="A37" s="41">
        <v>70</v>
      </c>
      <c r="B37" s="41">
        <v>75</v>
      </c>
      <c r="C37" s="41"/>
      <c r="D37" s="41">
        <v>245.14</v>
      </c>
      <c r="E37" s="41">
        <v>18.63</v>
      </c>
      <c r="F37" s="121" t="s">
        <v>430</v>
      </c>
      <c r="G37" s="121">
        <f>AVERAGE(A37:B37)</f>
        <v>72.5</v>
      </c>
      <c r="H37" s="41">
        <f t="shared" si="1"/>
        <v>0.90043035627566104</v>
      </c>
      <c r="I37" s="120"/>
      <c r="J37" s="48">
        <v>0.4</v>
      </c>
      <c r="L37" s="48">
        <v>19</v>
      </c>
    </row>
    <row r="38" spans="1:12" x14ac:dyDescent="0.25">
      <c r="A38" s="41">
        <v>75</v>
      </c>
      <c r="B38" s="41">
        <v>80</v>
      </c>
      <c r="C38" s="41"/>
      <c r="D38" s="41">
        <v>213.03</v>
      </c>
      <c r="E38" s="41">
        <v>9.93</v>
      </c>
      <c r="F38" s="41" t="s">
        <v>431</v>
      </c>
      <c r="G38" s="121">
        <f t="shared" si="0"/>
        <v>77.5</v>
      </c>
      <c r="H38" s="41">
        <f t="shared" si="1"/>
        <v>0.87267828655834567</v>
      </c>
      <c r="I38" s="120"/>
      <c r="J38" s="48">
        <v>0.5</v>
      </c>
      <c r="L38" s="48">
        <v>19</v>
      </c>
    </row>
    <row r="39" spans="1:12" x14ac:dyDescent="0.25">
      <c r="A39" s="41">
        <v>80</v>
      </c>
      <c r="B39" s="41">
        <v>85</v>
      </c>
      <c r="C39" s="41"/>
      <c r="D39" s="41">
        <v>216.67</v>
      </c>
      <c r="E39" s="41">
        <v>12.45</v>
      </c>
      <c r="F39" s="121" t="s">
        <v>413</v>
      </c>
      <c r="G39" s="121">
        <f t="shared" si="0"/>
        <v>82.5</v>
      </c>
      <c r="H39" s="41">
        <f t="shared" si="1"/>
        <v>0.8827217706395063</v>
      </c>
      <c r="I39" s="120" t="s">
        <v>442</v>
      </c>
      <c r="J39" s="48">
        <v>0.8</v>
      </c>
      <c r="L39" s="48">
        <v>19</v>
      </c>
    </row>
    <row r="40" spans="1:12" x14ac:dyDescent="0.25">
      <c r="A40" s="41">
        <v>85</v>
      </c>
      <c r="B40" s="41">
        <v>90</v>
      </c>
      <c r="C40" s="41"/>
      <c r="D40" s="41">
        <v>254.8</v>
      </c>
      <c r="E40" s="41">
        <v>14.58</v>
      </c>
      <c r="F40" s="41" t="s">
        <v>414</v>
      </c>
      <c r="G40" s="121">
        <f t="shared" si="0"/>
        <v>87.5</v>
      </c>
      <c r="H40" s="41">
        <f t="shared" si="1"/>
        <v>0.8824977104321039</v>
      </c>
      <c r="I40" s="120"/>
      <c r="J40" s="48">
        <v>0.5</v>
      </c>
      <c r="L40" s="48">
        <v>19</v>
      </c>
    </row>
    <row r="41" spans="1:12" x14ac:dyDescent="0.25">
      <c r="A41" s="41">
        <v>90</v>
      </c>
      <c r="B41" s="41">
        <v>97</v>
      </c>
      <c r="C41" s="41"/>
      <c r="D41" s="41">
        <v>375.59</v>
      </c>
      <c r="E41" s="41">
        <v>32.119999999999997</v>
      </c>
      <c r="F41" s="41" t="s">
        <v>432</v>
      </c>
      <c r="G41" s="121">
        <f t="shared" si="0"/>
        <v>93.5</v>
      </c>
      <c r="H41" s="41">
        <f t="shared" si="1"/>
        <v>0.90980545608058916</v>
      </c>
      <c r="I41" s="120"/>
      <c r="J41" s="48">
        <v>0.4</v>
      </c>
      <c r="L41" s="48">
        <v>19</v>
      </c>
    </row>
    <row r="42" spans="1:12" x14ac:dyDescent="0.25">
      <c r="A42" s="153">
        <v>97</v>
      </c>
      <c r="B42" s="153">
        <v>102</v>
      </c>
      <c r="C42" s="153"/>
      <c r="D42" s="153">
        <v>260.14</v>
      </c>
      <c r="E42" s="153">
        <v>22.39</v>
      </c>
      <c r="F42" s="153" t="s">
        <v>444</v>
      </c>
      <c r="G42" s="153">
        <f t="shared" si="0"/>
        <v>99.5</v>
      </c>
      <c r="H42" s="153">
        <f t="shared" si="1"/>
        <v>0.91035322818086217</v>
      </c>
      <c r="I42" s="160"/>
      <c r="J42" s="48">
        <v>0.8</v>
      </c>
      <c r="L42" s="48">
        <v>19</v>
      </c>
    </row>
    <row r="43" spans="1:12" x14ac:dyDescent="0.25">
      <c r="A43" s="153">
        <v>102</v>
      </c>
      <c r="B43" s="153">
        <v>107</v>
      </c>
      <c r="C43" s="153"/>
      <c r="D43" s="153">
        <v>293.55</v>
      </c>
      <c r="E43" s="153">
        <v>25.83</v>
      </c>
      <c r="F43" s="153" t="s">
        <v>445</v>
      </c>
      <c r="G43" s="153">
        <f t="shared" si="0"/>
        <v>104.5</v>
      </c>
      <c r="H43" s="153">
        <f t="shared" si="1"/>
        <v>0.91227252353204835</v>
      </c>
      <c r="I43" s="160"/>
      <c r="J43" s="48">
        <v>1.1000000000000001</v>
      </c>
      <c r="L43" s="48">
        <v>19</v>
      </c>
    </row>
    <row r="44" spans="1:12" x14ac:dyDescent="0.25">
      <c r="A44" s="153">
        <v>107</v>
      </c>
      <c r="B44" s="153">
        <v>112</v>
      </c>
      <c r="C44" s="153"/>
      <c r="D44" s="153">
        <v>275.33999999999997</v>
      </c>
      <c r="E44" s="153">
        <v>23.88</v>
      </c>
      <c r="F44" s="153" t="s">
        <v>446</v>
      </c>
      <c r="G44" s="161">
        <f t="shared" si="0"/>
        <v>109.5</v>
      </c>
      <c r="H44" s="153">
        <f t="shared" si="1"/>
        <v>0.9110112145072774</v>
      </c>
      <c r="I44" s="160"/>
      <c r="J44" s="48">
        <v>2</v>
      </c>
      <c r="L44" s="48">
        <v>19</v>
      </c>
    </row>
    <row r="45" spans="1:12" x14ac:dyDescent="0.25">
      <c r="A45" s="153">
        <v>112</v>
      </c>
      <c r="B45" s="153">
        <v>117</v>
      </c>
      <c r="C45" s="153"/>
      <c r="D45" s="153">
        <v>269.68</v>
      </c>
      <c r="E45" s="153">
        <v>21.54</v>
      </c>
      <c r="F45" s="153" t="s">
        <v>447</v>
      </c>
      <c r="G45" s="153">
        <f t="shared" si="0"/>
        <v>114.5</v>
      </c>
      <c r="H45" s="153">
        <f t="shared" si="1"/>
        <v>0.90422245506568866</v>
      </c>
      <c r="I45" s="160" t="s">
        <v>415</v>
      </c>
      <c r="J45" s="48">
        <v>2.5</v>
      </c>
      <c r="L45" s="48">
        <v>19</v>
      </c>
    </row>
    <row r="46" spans="1:12" x14ac:dyDescent="0.25">
      <c r="A46" s="153">
        <v>117</v>
      </c>
      <c r="B46" s="153">
        <v>122</v>
      </c>
      <c r="C46" s="153"/>
      <c r="D46" s="153">
        <v>225.9</v>
      </c>
      <c r="E46" s="153">
        <v>17.61</v>
      </c>
      <c r="F46" s="153" t="s">
        <v>448</v>
      </c>
      <c r="G46" s="153">
        <f t="shared" si="0"/>
        <v>119.5</v>
      </c>
      <c r="H46" s="153">
        <f t="shared" si="1"/>
        <v>0.90234192712084105</v>
      </c>
      <c r="I46" s="160"/>
      <c r="J46" s="48">
        <v>2.5</v>
      </c>
      <c r="L46" s="48">
        <v>19</v>
      </c>
    </row>
    <row r="47" spans="1:12" x14ac:dyDescent="0.25">
      <c r="A47" s="153">
        <v>122</v>
      </c>
      <c r="B47" s="153">
        <v>127</v>
      </c>
      <c r="C47" s="153"/>
      <c r="D47" s="153">
        <v>222.56</v>
      </c>
      <c r="E47" s="153">
        <v>15.99</v>
      </c>
      <c r="F47" s="153" t="s">
        <v>449</v>
      </c>
      <c r="G47" s="161">
        <f t="shared" si="0"/>
        <v>124.5</v>
      </c>
      <c r="H47" s="153">
        <f t="shared" si="1"/>
        <v>0.89640276903713023</v>
      </c>
      <c r="I47" s="160" t="s">
        <v>463</v>
      </c>
      <c r="J47" s="48">
        <v>2.5</v>
      </c>
      <c r="L47" s="48">
        <v>19</v>
      </c>
    </row>
    <row r="48" spans="1:12" x14ac:dyDescent="0.25">
      <c r="A48" s="153">
        <v>127</v>
      </c>
      <c r="B48" s="153">
        <v>132</v>
      </c>
      <c r="C48" s="153"/>
      <c r="D48" s="153">
        <v>263.91000000000003</v>
      </c>
      <c r="E48" s="153">
        <v>18.86</v>
      </c>
      <c r="F48" s="153" t="s">
        <v>450</v>
      </c>
      <c r="G48" s="153">
        <f t="shared" si="0"/>
        <v>129.5</v>
      </c>
      <c r="H48" s="153">
        <f t="shared" si="1"/>
        <v>0.89603395225464189</v>
      </c>
      <c r="I48" s="160"/>
      <c r="J48" s="48">
        <v>2.6</v>
      </c>
      <c r="L48" s="48">
        <v>19</v>
      </c>
    </row>
    <row r="49" spans="1:12" x14ac:dyDescent="0.25">
      <c r="A49" s="153">
        <v>132</v>
      </c>
      <c r="B49" s="153">
        <v>137</v>
      </c>
      <c r="C49" s="153"/>
      <c r="D49" s="153">
        <v>270.88</v>
      </c>
      <c r="E49" s="153">
        <v>24</v>
      </c>
      <c r="F49" s="153" t="s">
        <v>451</v>
      </c>
      <c r="G49" s="153">
        <f t="shared" si="0"/>
        <v>134.5</v>
      </c>
      <c r="H49" s="153">
        <f t="shared" si="1"/>
        <v>0.9128813998703823</v>
      </c>
      <c r="I49" s="160"/>
      <c r="J49" s="48">
        <v>2.2000000000000002</v>
      </c>
      <c r="L49" s="48">
        <v>19</v>
      </c>
    </row>
    <row r="50" spans="1:12" x14ac:dyDescent="0.25">
      <c r="A50" s="153">
        <v>137</v>
      </c>
      <c r="B50" s="153">
        <v>142</v>
      </c>
      <c r="C50" s="153"/>
      <c r="D50" s="153">
        <v>279.14999999999998</v>
      </c>
      <c r="E50" s="153">
        <v>24.99</v>
      </c>
      <c r="F50" s="153" t="s">
        <v>452</v>
      </c>
      <c r="G50" s="161">
        <f t="shared" si="0"/>
        <v>139.5</v>
      </c>
      <c r="H50" s="153">
        <f t="shared" si="1"/>
        <v>0.91380547686496694</v>
      </c>
      <c r="I50" s="160"/>
      <c r="J50" s="48">
        <v>1.9</v>
      </c>
      <c r="L50" s="48">
        <v>19</v>
      </c>
    </row>
    <row r="51" spans="1:12" x14ac:dyDescent="0.25">
      <c r="A51" s="153">
        <v>142</v>
      </c>
      <c r="B51" s="153">
        <v>147</v>
      </c>
      <c r="C51" s="153"/>
      <c r="D51" s="153">
        <v>259.47000000000003</v>
      </c>
      <c r="E51" s="153">
        <v>22.8</v>
      </c>
      <c r="F51" s="153" t="s">
        <v>453</v>
      </c>
      <c r="G51" s="153">
        <f t="shared" si="0"/>
        <v>144.5</v>
      </c>
      <c r="H51" s="153">
        <f t="shared" si="1"/>
        <v>0.91215211053365441</v>
      </c>
      <c r="I51" s="160"/>
      <c r="J51" s="48">
        <v>2</v>
      </c>
      <c r="L51" s="48">
        <v>19</v>
      </c>
    </row>
    <row r="52" spans="1:12" x14ac:dyDescent="0.25">
      <c r="A52" s="153">
        <v>147</v>
      </c>
      <c r="B52" s="153">
        <v>152</v>
      </c>
      <c r="C52" s="153"/>
      <c r="D52" s="153">
        <v>268.77</v>
      </c>
      <c r="E52" s="153">
        <v>22.92</v>
      </c>
      <c r="F52" s="153" t="s">
        <v>454</v>
      </c>
      <c r="G52" s="153">
        <f t="shared" si="0"/>
        <v>149.5</v>
      </c>
      <c r="H52" s="153">
        <f t="shared" si="1"/>
        <v>0.9095653447223917</v>
      </c>
      <c r="I52" s="160"/>
      <c r="J52" s="48">
        <v>2</v>
      </c>
      <c r="L52" s="48">
        <v>19</v>
      </c>
    </row>
    <row r="53" spans="1:12" x14ac:dyDescent="0.25">
      <c r="A53" s="153">
        <v>152</v>
      </c>
      <c r="B53" s="153">
        <v>157</v>
      </c>
      <c r="C53" s="153"/>
      <c r="D53" s="153">
        <v>250.61</v>
      </c>
      <c r="E53" s="153">
        <v>16.25</v>
      </c>
      <c r="F53" s="153" t="s">
        <v>455</v>
      </c>
      <c r="G53" s="161">
        <f t="shared" si="0"/>
        <v>154.5</v>
      </c>
      <c r="H53" s="153">
        <f t="shared" si="1"/>
        <v>0.88968902543096084</v>
      </c>
      <c r="I53" s="160" t="s">
        <v>415</v>
      </c>
      <c r="J53" s="48">
        <v>3.1</v>
      </c>
      <c r="L53" s="48">
        <v>19</v>
      </c>
    </row>
    <row r="54" spans="1:12" x14ac:dyDescent="0.25">
      <c r="A54" s="153">
        <v>157</v>
      </c>
      <c r="B54" s="153">
        <v>162</v>
      </c>
      <c r="C54" s="153"/>
      <c r="D54" s="153">
        <v>248.55</v>
      </c>
      <c r="E54" s="153">
        <v>18.87</v>
      </c>
      <c r="F54" s="153" t="s">
        <v>456</v>
      </c>
      <c r="G54" s="153">
        <f t="shared" si="0"/>
        <v>159.5</v>
      </c>
      <c r="H54" s="153">
        <f t="shared" si="1"/>
        <v>0.90035527690700101</v>
      </c>
      <c r="I54" s="160"/>
      <c r="J54" s="48">
        <v>2.8</v>
      </c>
      <c r="L54" s="48">
        <v>19</v>
      </c>
    </row>
    <row r="55" spans="1:12" x14ac:dyDescent="0.25">
      <c r="A55" s="153">
        <v>162</v>
      </c>
      <c r="B55" s="153">
        <v>167</v>
      </c>
      <c r="C55" s="153"/>
      <c r="D55" s="153">
        <v>262.14999999999998</v>
      </c>
      <c r="E55" s="153">
        <v>20.8</v>
      </c>
      <c r="F55" s="153" t="s">
        <v>457</v>
      </c>
      <c r="G55" s="153">
        <f t="shared" si="0"/>
        <v>164.5</v>
      </c>
      <c r="H55" s="153">
        <f t="shared" si="1"/>
        <v>0.90370333540501346</v>
      </c>
      <c r="I55" s="160"/>
      <c r="J55" s="48">
        <v>2.7</v>
      </c>
      <c r="L55" s="48">
        <v>19</v>
      </c>
    </row>
    <row r="56" spans="1:12" x14ac:dyDescent="0.25">
      <c r="A56" s="153">
        <v>167</v>
      </c>
      <c r="B56" s="153">
        <v>172</v>
      </c>
      <c r="C56" s="153"/>
      <c r="D56" s="153">
        <v>258.68</v>
      </c>
      <c r="E56" s="153">
        <v>21.76</v>
      </c>
      <c r="F56" s="153" t="s">
        <v>458</v>
      </c>
      <c r="G56" s="161">
        <f t="shared" si="0"/>
        <v>169.5</v>
      </c>
      <c r="H56" s="153">
        <f t="shared" si="1"/>
        <v>0.90841533006922159</v>
      </c>
      <c r="I56" s="160" t="s">
        <v>415</v>
      </c>
      <c r="J56" s="48">
        <v>2.7</v>
      </c>
      <c r="L56" s="48">
        <v>19</v>
      </c>
    </row>
    <row r="57" spans="1:12" x14ac:dyDescent="0.25">
      <c r="A57" s="153">
        <v>172</v>
      </c>
      <c r="B57" s="153">
        <v>177</v>
      </c>
      <c r="C57" s="153"/>
      <c r="D57" s="153">
        <v>268.86</v>
      </c>
      <c r="E57" s="153">
        <v>21.92</v>
      </c>
      <c r="F57" s="153" t="s">
        <v>459</v>
      </c>
      <c r="G57" s="153">
        <f t="shared" si="0"/>
        <v>174.5</v>
      </c>
      <c r="H57" s="153">
        <f t="shared" si="1"/>
        <v>0.90585372965092736</v>
      </c>
      <c r="I57" s="160" t="s">
        <v>415</v>
      </c>
      <c r="J57" s="48">
        <v>3.1</v>
      </c>
      <c r="L57" s="48">
        <v>19</v>
      </c>
    </row>
    <row r="58" spans="1:12" x14ac:dyDescent="0.25">
      <c r="A58" s="153">
        <v>177</v>
      </c>
      <c r="B58" s="153">
        <v>182</v>
      </c>
      <c r="C58" s="153"/>
      <c r="D58" s="153">
        <v>286.35000000000002</v>
      </c>
      <c r="E58" s="153">
        <v>25.25</v>
      </c>
      <c r="F58" s="153" t="s">
        <v>460</v>
      </c>
      <c r="G58" s="153">
        <f t="shared" si="0"/>
        <v>179.5</v>
      </c>
      <c r="H58" s="153">
        <f t="shared" si="1"/>
        <v>0.91245959402527754</v>
      </c>
      <c r="I58" s="160" t="s">
        <v>415</v>
      </c>
      <c r="J58" s="48">
        <v>3.3</v>
      </c>
      <c r="L58" s="48">
        <v>19</v>
      </c>
    </row>
    <row r="59" spans="1:12" x14ac:dyDescent="0.25">
      <c r="A59" s="153">
        <v>182</v>
      </c>
      <c r="B59" s="153">
        <v>187</v>
      </c>
      <c r="C59" s="153"/>
      <c r="D59" s="153">
        <v>275.41000000000003</v>
      </c>
      <c r="E59" s="153">
        <v>21.82</v>
      </c>
      <c r="F59" s="153" t="s">
        <v>461</v>
      </c>
      <c r="G59" s="161">
        <f t="shared" si="0"/>
        <v>184.5</v>
      </c>
      <c r="H59" s="153">
        <f t="shared" si="1"/>
        <v>0.90358894278165536</v>
      </c>
      <c r="I59" s="160" t="s">
        <v>415</v>
      </c>
      <c r="J59" s="48">
        <v>3.4</v>
      </c>
      <c r="L59" s="48">
        <v>19</v>
      </c>
    </row>
    <row r="60" spans="1:12" x14ac:dyDescent="0.25">
      <c r="A60" s="153">
        <v>187</v>
      </c>
      <c r="B60" s="153">
        <v>191</v>
      </c>
      <c r="C60" s="153"/>
      <c r="D60" s="153">
        <v>237.75</v>
      </c>
      <c r="E60" s="153">
        <v>18.45</v>
      </c>
      <c r="F60" s="153" t="s">
        <v>462</v>
      </c>
      <c r="G60" s="153">
        <f t="shared" si="0"/>
        <v>189</v>
      </c>
      <c r="H60" s="153">
        <f t="shared" si="1"/>
        <v>0.90199726402188773</v>
      </c>
      <c r="I60" s="160" t="s">
        <v>415</v>
      </c>
      <c r="J60" s="48">
        <v>3</v>
      </c>
      <c r="L60" s="48">
        <v>19</v>
      </c>
    </row>
  </sheetData>
  <mergeCells count="7">
    <mergeCell ref="A1:C1"/>
    <mergeCell ref="B7:D7"/>
    <mergeCell ref="B2:C2"/>
    <mergeCell ref="B3:C3"/>
    <mergeCell ref="B4:C4"/>
    <mergeCell ref="B5:C5"/>
    <mergeCell ref="B6:C6"/>
  </mergeCells>
  <phoneticPr fontId="16" type="noConversion"/>
  <pageMargins left="0.7" right="0.7" top="0.75" bottom="0.75" header="0.3" footer="0.3"/>
  <pageSetup paperSize="9" scale="66" fitToHeight="0"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1C998-CD1A-423A-98DF-00087FDDB8C6}">
  <sheetPr>
    <tabColor rgb="FF92D050"/>
    <pageSetUpPr fitToPage="1"/>
  </sheetPr>
  <dimension ref="A1:L55"/>
  <sheetViews>
    <sheetView topLeftCell="A10" zoomScaleNormal="100" workbookViewId="0">
      <selection activeCell="B8" sqref="B8:D8"/>
    </sheetView>
  </sheetViews>
  <sheetFormatPr defaultColWidth="9.140625" defaultRowHeight="15" x14ac:dyDescent="0.25"/>
  <cols>
    <col min="1" max="1" width="23.7109375" style="48" bestFit="1" customWidth="1"/>
    <col min="2" max="2" width="16.7109375" style="48" bestFit="1" customWidth="1"/>
    <col min="3" max="3" width="20.42578125" style="48" bestFit="1" customWidth="1"/>
    <col min="4" max="4" width="27" style="48" bestFit="1" customWidth="1"/>
    <col min="5" max="5" width="18.7109375" style="48" customWidth="1"/>
    <col min="6" max="6" width="20.28515625" style="48" bestFit="1" customWidth="1"/>
    <col min="7" max="7" width="18.7109375" style="48" customWidth="1"/>
    <col min="8" max="8" width="36.7109375" style="48" customWidth="1"/>
    <col min="9" max="10" width="9.140625" style="48"/>
    <col min="11" max="11" width="14.85546875" style="48" customWidth="1"/>
    <col min="12" max="12" width="14.5703125" style="48" customWidth="1"/>
    <col min="13" max="16384" width="9.140625" style="48"/>
  </cols>
  <sheetData>
    <row r="1" spans="1:9" ht="34.5" thickBot="1" x14ac:dyDescent="0.55000000000000004">
      <c r="A1" s="209" t="s">
        <v>215</v>
      </c>
      <c r="B1" s="209"/>
      <c r="C1" s="209"/>
      <c r="D1" s="209"/>
    </row>
    <row r="2" spans="1:9" x14ac:dyDescent="0.25">
      <c r="A2" s="32" t="s">
        <v>16</v>
      </c>
      <c r="B2" s="192" t="str">
        <f>CONCATENATE(ExpID,"-",StnNum,"-",StnDay)</f>
        <v>Polhavet2022-10-1</v>
      </c>
      <c r="C2" s="192"/>
      <c r="D2" s="73"/>
    </row>
    <row r="3" spans="1:9" x14ac:dyDescent="0.25">
      <c r="A3" s="33" t="s">
        <v>132</v>
      </c>
      <c r="B3" s="193" t="s">
        <v>212</v>
      </c>
      <c r="C3" s="193"/>
      <c r="D3" s="77"/>
    </row>
    <row r="4" spans="1:9" x14ac:dyDescent="0.25">
      <c r="A4" s="33" t="s">
        <v>4</v>
      </c>
      <c r="B4" s="194" t="str">
        <f>ObsDate</f>
        <v>17.08.2022</v>
      </c>
      <c r="C4" s="194"/>
      <c r="D4" s="77"/>
    </row>
    <row r="5" spans="1:9" x14ac:dyDescent="0.25">
      <c r="A5" s="34" t="s">
        <v>107</v>
      </c>
      <c r="B5" s="204"/>
      <c r="C5" s="204"/>
      <c r="D5" s="77"/>
    </row>
    <row r="6" spans="1:9" x14ac:dyDescent="0.25">
      <c r="A6" s="34" t="s">
        <v>121</v>
      </c>
      <c r="B6" s="185" t="s">
        <v>180</v>
      </c>
      <c r="C6" s="186"/>
      <c r="D6" s="77"/>
    </row>
    <row r="7" spans="1:9" x14ac:dyDescent="0.25">
      <c r="A7" s="210" t="s">
        <v>165</v>
      </c>
      <c r="B7" s="211"/>
      <c r="C7" s="40"/>
      <c r="D7" s="77"/>
      <c r="E7" s="83"/>
      <c r="F7" s="74"/>
      <c r="G7" s="74"/>
      <c r="H7" s="75"/>
      <c r="I7" s="76"/>
    </row>
    <row r="8" spans="1:9" ht="30" customHeight="1" thickBot="1" x14ac:dyDescent="0.3">
      <c r="A8" s="35" t="s">
        <v>15</v>
      </c>
      <c r="B8" s="206" t="s">
        <v>280</v>
      </c>
      <c r="C8" s="207"/>
      <c r="D8" s="208"/>
    </row>
    <row r="10" spans="1:9" ht="15.75" thickBot="1" x14ac:dyDescent="0.3">
      <c r="A10" s="50" t="s">
        <v>78</v>
      </c>
      <c r="D10" s="50" t="s">
        <v>109</v>
      </c>
    </row>
    <row r="11" spans="1:9" x14ac:dyDescent="0.25">
      <c r="A11" s="15" t="s">
        <v>122</v>
      </c>
      <c r="B11" s="88"/>
      <c r="D11" s="15" t="s">
        <v>138</v>
      </c>
      <c r="E11" s="91"/>
    </row>
    <row r="12" spans="1:9" x14ac:dyDescent="0.25">
      <c r="A12" s="16" t="s">
        <v>123</v>
      </c>
      <c r="B12" s="89"/>
      <c r="D12" s="16" t="s">
        <v>139</v>
      </c>
      <c r="E12" s="92">
        <v>187.5</v>
      </c>
    </row>
    <row r="13" spans="1:9" x14ac:dyDescent="0.25">
      <c r="A13" s="16" t="s">
        <v>124</v>
      </c>
      <c r="B13" s="89"/>
      <c r="D13" s="16" t="s">
        <v>140</v>
      </c>
      <c r="E13" s="92">
        <v>169.5</v>
      </c>
    </row>
    <row r="14" spans="1:9" ht="15.75" thickBot="1" x14ac:dyDescent="0.3">
      <c r="A14" s="18" t="s">
        <v>125</v>
      </c>
      <c r="B14" s="90"/>
      <c r="D14" s="16" t="s">
        <v>136</v>
      </c>
      <c r="E14" s="92"/>
    </row>
    <row r="15" spans="1:9" x14ac:dyDescent="0.25">
      <c r="D15" s="16" t="s">
        <v>137</v>
      </c>
      <c r="E15" s="92"/>
    </row>
    <row r="16" spans="1:9" ht="15.75" thickBot="1" x14ac:dyDescent="0.3">
      <c r="D16" s="18" t="s">
        <v>149</v>
      </c>
      <c r="E16" s="93">
        <v>3</v>
      </c>
    </row>
    <row r="17" spans="1:12" ht="15.75" thickBot="1" x14ac:dyDescent="0.3"/>
    <row r="18" spans="1:12" x14ac:dyDescent="0.25">
      <c r="A18" s="15" t="s">
        <v>168</v>
      </c>
      <c r="B18" s="94"/>
      <c r="C18" s="84"/>
      <c r="D18" s="85"/>
    </row>
    <row r="19" spans="1:12" x14ac:dyDescent="0.25">
      <c r="A19" s="16" t="s">
        <v>127</v>
      </c>
      <c r="B19" s="95">
        <v>2</v>
      </c>
      <c r="C19" s="59"/>
      <c r="D19" s="86"/>
    </row>
    <row r="20" spans="1:12" ht="15.75" thickBot="1" x14ac:dyDescent="0.3">
      <c r="A20" s="18" t="s">
        <v>126</v>
      </c>
      <c r="B20" s="87"/>
      <c r="C20" s="87"/>
      <c r="D20" s="36">
        <f>D23+D24</f>
        <v>192</v>
      </c>
    </row>
    <row r="21" spans="1:12" ht="15.75" thickBot="1" x14ac:dyDescent="0.3"/>
    <row r="22" spans="1:12" ht="45.75" thickBot="1" x14ac:dyDescent="0.3">
      <c r="A22" s="37" t="s">
        <v>118</v>
      </c>
      <c r="B22" s="39" t="s">
        <v>141</v>
      </c>
      <c r="C22" s="39" t="s">
        <v>142</v>
      </c>
      <c r="D22" s="39" t="s">
        <v>143</v>
      </c>
      <c r="E22" s="213" t="s">
        <v>13</v>
      </c>
      <c r="F22" s="214"/>
      <c r="H22" s="10" t="s">
        <v>144</v>
      </c>
      <c r="I22" s="10" t="s">
        <v>145</v>
      </c>
      <c r="J22" s="10" t="s">
        <v>114</v>
      </c>
      <c r="K22" s="152" t="s">
        <v>115</v>
      </c>
      <c r="L22" s="10" t="s">
        <v>116</v>
      </c>
    </row>
    <row r="23" spans="1:12" x14ac:dyDescent="0.25">
      <c r="A23" s="96">
        <v>1</v>
      </c>
      <c r="B23" s="97"/>
      <c r="C23" s="97"/>
      <c r="D23" s="97">
        <v>83</v>
      </c>
      <c r="E23" s="223" t="s">
        <v>281</v>
      </c>
      <c r="F23" s="223"/>
      <c r="H23" s="156">
        <v>0</v>
      </c>
      <c r="I23" s="100">
        <v>10</v>
      </c>
      <c r="J23" s="153" t="s">
        <v>368</v>
      </c>
      <c r="K23" s="155" t="s">
        <v>379</v>
      </c>
      <c r="L23" s="154" t="s">
        <v>398</v>
      </c>
    </row>
    <row r="24" spans="1:12" x14ac:dyDescent="0.25">
      <c r="A24" s="98">
        <v>2</v>
      </c>
      <c r="B24" s="99"/>
      <c r="C24" s="99"/>
      <c r="D24" s="99">
        <v>109</v>
      </c>
      <c r="E24" s="212"/>
      <c r="F24" s="212"/>
      <c r="H24" s="156">
        <v>10</v>
      </c>
      <c r="I24" s="100" t="s">
        <v>339</v>
      </c>
      <c r="J24" s="153" t="s">
        <v>369</v>
      </c>
      <c r="K24" s="155" t="s">
        <v>380</v>
      </c>
      <c r="L24" s="154" t="s">
        <v>399</v>
      </c>
    </row>
    <row r="25" spans="1:12" x14ac:dyDescent="0.25">
      <c r="A25" s="98"/>
      <c r="B25" s="99"/>
      <c r="C25" s="99"/>
      <c r="D25" s="99"/>
      <c r="E25" s="212"/>
      <c r="F25" s="212"/>
      <c r="H25" s="156">
        <v>20</v>
      </c>
      <c r="I25" s="100" t="s">
        <v>340</v>
      </c>
      <c r="J25" s="153" t="s">
        <v>369</v>
      </c>
      <c r="K25" s="155" t="s">
        <v>381</v>
      </c>
      <c r="L25" s="154" t="s">
        <v>405</v>
      </c>
    </row>
    <row r="26" spans="1:12" x14ac:dyDescent="0.25">
      <c r="A26" s="98"/>
      <c r="B26" s="99"/>
      <c r="C26" s="99"/>
      <c r="D26" s="99"/>
      <c r="E26" s="212"/>
      <c r="F26" s="212"/>
      <c r="H26" s="156">
        <v>30</v>
      </c>
      <c r="I26" s="100" t="s">
        <v>341</v>
      </c>
      <c r="J26" s="153" t="s">
        <v>369</v>
      </c>
      <c r="K26" s="155" t="s">
        <v>382</v>
      </c>
      <c r="L26" s="154" t="s">
        <v>402</v>
      </c>
    </row>
    <row r="27" spans="1:12" x14ac:dyDescent="0.25">
      <c r="A27" s="98"/>
      <c r="B27" s="99"/>
      <c r="C27" s="99"/>
      <c r="D27" s="99"/>
      <c r="E27" s="212"/>
      <c r="F27" s="212"/>
      <c r="H27" s="156">
        <v>40</v>
      </c>
      <c r="I27" s="100" t="s">
        <v>342</v>
      </c>
      <c r="J27" s="153" t="s">
        <v>370</v>
      </c>
      <c r="K27" s="155" t="s">
        <v>383</v>
      </c>
      <c r="L27" s="154" t="s">
        <v>400</v>
      </c>
    </row>
    <row r="28" spans="1:12" x14ac:dyDescent="0.25">
      <c r="A28" s="98"/>
      <c r="B28" s="99"/>
      <c r="C28" s="99"/>
      <c r="D28" s="99"/>
      <c r="E28" s="212"/>
      <c r="F28" s="212"/>
      <c r="H28" s="156">
        <v>50</v>
      </c>
      <c r="I28" s="100" t="s">
        <v>343</v>
      </c>
      <c r="J28" s="153" t="s">
        <v>371</v>
      </c>
      <c r="K28" s="155" t="s">
        <v>384</v>
      </c>
      <c r="L28" s="154" t="s">
        <v>406</v>
      </c>
    </row>
    <row r="29" spans="1:12" x14ac:dyDescent="0.25">
      <c r="A29" s="98"/>
      <c r="B29" s="99"/>
      <c r="C29" s="99"/>
      <c r="D29" s="99"/>
      <c r="E29" s="212"/>
      <c r="F29" s="212"/>
      <c r="H29" s="156">
        <v>60</v>
      </c>
      <c r="I29" s="100" t="s">
        <v>344</v>
      </c>
      <c r="J29" s="153" t="s">
        <v>371</v>
      </c>
      <c r="K29" s="155" t="s">
        <v>385</v>
      </c>
      <c r="L29" s="154" t="s">
        <v>403</v>
      </c>
    </row>
    <row r="30" spans="1:12" x14ac:dyDescent="0.25">
      <c r="A30" s="98"/>
      <c r="B30" s="99"/>
      <c r="C30" s="99"/>
      <c r="D30" s="99"/>
      <c r="E30" s="212"/>
      <c r="F30" s="212"/>
      <c r="H30" s="156">
        <v>70</v>
      </c>
      <c r="I30" s="100" t="s">
        <v>345</v>
      </c>
      <c r="J30" s="153" t="s">
        <v>371</v>
      </c>
      <c r="K30" s="155" t="s">
        <v>386</v>
      </c>
      <c r="L30" s="154" t="s">
        <v>406</v>
      </c>
    </row>
    <row r="31" spans="1:12" x14ac:dyDescent="0.25">
      <c r="A31" s="98"/>
      <c r="B31" s="99"/>
      <c r="C31" s="99"/>
      <c r="D31" s="99"/>
      <c r="E31" s="212"/>
      <c r="F31" s="212"/>
      <c r="H31" s="156" t="s">
        <v>347</v>
      </c>
      <c r="I31" s="100" t="s">
        <v>346</v>
      </c>
      <c r="J31" s="153" t="s">
        <v>370</v>
      </c>
      <c r="K31" s="155" t="s">
        <v>387</v>
      </c>
      <c r="L31" s="154" t="s">
        <v>406</v>
      </c>
    </row>
    <row r="32" spans="1:12" x14ac:dyDescent="0.25">
      <c r="A32" s="98"/>
      <c r="B32" s="99"/>
      <c r="C32" s="99"/>
      <c r="D32" s="99"/>
      <c r="E32" s="212"/>
      <c r="F32" s="212"/>
      <c r="H32" s="156" t="s">
        <v>349</v>
      </c>
      <c r="I32" s="100" t="s">
        <v>348</v>
      </c>
      <c r="J32" s="153" t="s">
        <v>369</v>
      </c>
      <c r="K32" s="155" t="s">
        <v>388</v>
      </c>
      <c r="L32" s="154" t="s">
        <v>400</v>
      </c>
    </row>
    <row r="33" spans="1:12" x14ac:dyDescent="0.25">
      <c r="A33" s="98"/>
      <c r="B33" s="99"/>
      <c r="C33" s="99"/>
      <c r="D33" s="99"/>
      <c r="E33" s="212"/>
      <c r="F33" s="212"/>
      <c r="H33" s="156" t="s">
        <v>351</v>
      </c>
      <c r="I33" s="100" t="s">
        <v>350</v>
      </c>
      <c r="J33" s="153" t="s">
        <v>368</v>
      </c>
      <c r="K33" s="155" t="s">
        <v>389</v>
      </c>
      <c r="L33" s="154" t="s">
        <v>401</v>
      </c>
    </row>
    <row r="34" spans="1:12" x14ac:dyDescent="0.25">
      <c r="A34" s="98"/>
      <c r="B34" s="99"/>
      <c r="C34" s="99"/>
      <c r="D34" s="99"/>
      <c r="E34" s="212"/>
      <c r="F34" s="212"/>
      <c r="H34" s="156" t="s">
        <v>353</v>
      </c>
      <c r="I34" s="100" t="s">
        <v>352</v>
      </c>
      <c r="J34" s="153" t="s">
        <v>372</v>
      </c>
      <c r="K34" s="155" t="s">
        <v>390</v>
      </c>
      <c r="L34" s="154" t="s">
        <v>401</v>
      </c>
    </row>
    <row r="35" spans="1:12" x14ac:dyDescent="0.25">
      <c r="A35" s="98"/>
      <c r="B35" s="99"/>
      <c r="C35" s="99"/>
      <c r="D35" s="99"/>
      <c r="E35" s="212"/>
      <c r="F35" s="212"/>
      <c r="H35" s="156" t="s">
        <v>355</v>
      </c>
      <c r="I35" s="100" t="s">
        <v>354</v>
      </c>
      <c r="J35" s="153" t="s">
        <v>373</v>
      </c>
      <c r="K35" s="155" t="s">
        <v>391</v>
      </c>
      <c r="L35" s="154" t="s">
        <v>404</v>
      </c>
    </row>
    <row r="36" spans="1:12" x14ac:dyDescent="0.25">
      <c r="A36" s="98"/>
      <c r="B36" s="99"/>
      <c r="C36" s="99"/>
      <c r="D36" s="99"/>
      <c r="E36" s="212"/>
      <c r="F36" s="212"/>
      <c r="H36" s="156" t="s">
        <v>357</v>
      </c>
      <c r="I36" s="100" t="s">
        <v>356</v>
      </c>
      <c r="J36" s="153" t="s">
        <v>374</v>
      </c>
      <c r="K36" s="155" t="s">
        <v>392</v>
      </c>
      <c r="L36" s="154" t="s">
        <v>407</v>
      </c>
    </row>
    <row r="37" spans="1:12" x14ac:dyDescent="0.25">
      <c r="A37" s="98"/>
      <c r="B37" s="99"/>
      <c r="C37" s="99"/>
      <c r="D37" s="99"/>
      <c r="E37" s="212"/>
      <c r="F37" s="212"/>
      <c r="H37" s="156" t="s">
        <v>359</v>
      </c>
      <c r="I37" s="100" t="s">
        <v>358</v>
      </c>
      <c r="J37" s="153" t="s">
        <v>375</v>
      </c>
      <c r="K37" s="155" t="s">
        <v>393</v>
      </c>
      <c r="L37" s="154" t="s">
        <v>407</v>
      </c>
    </row>
    <row r="38" spans="1:12" x14ac:dyDescent="0.25">
      <c r="A38" s="98"/>
      <c r="B38" s="99"/>
      <c r="C38" s="99"/>
      <c r="D38" s="99"/>
      <c r="E38" s="212"/>
      <c r="F38" s="212"/>
      <c r="H38" s="156" t="s">
        <v>361</v>
      </c>
      <c r="I38" s="100" t="s">
        <v>360</v>
      </c>
      <c r="J38" s="153" t="s">
        <v>376</v>
      </c>
      <c r="K38" s="155" t="s">
        <v>394</v>
      </c>
      <c r="L38" s="154" t="s">
        <v>399</v>
      </c>
    </row>
    <row r="39" spans="1:12" x14ac:dyDescent="0.25">
      <c r="A39" s="98"/>
      <c r="B39" s="99"/>
      <c r="C39" s="99"/>
      <c r="D39" s="99"/>
      <c r="E39" s="212"/>
      <c r="F39" s="212"/>
      <c r="H39" s="156" t="s">
        <v>363</v>
      </c>
      <c r="I39" s="100" t="s">
        <v>362</v>
      </c>
      <c r="J39" s="153" t="s">
        <v>377</v>
      </c>
      <c r="K39" s="155" t="s">
        <v>395</v>
      </c>
      <c r="L39" s="154" t="s">
        <v>402</v>
      </c>
    </row>
    <row r="40" spans="1:12" x14ac:dyDescent="0.25">
      <c r="A40" s="98"/>
      <c r="B40" s="99"/>
      <c r="C40" s="99"/>
      <c r="D40" s="99"/>
      <c r="E40" s="212"/>
      <c r="F40" s="212"/>
      <c r="H40" s="156" t="s">
        <v>365</v>
      </c>
      <c r="I40" s="100" t="s">
        <v>364</v>
      </c>
      <c r="J40" s="153" t="s">
        <v>378</v>
      </c>
      <c r="K40" s="155" t="s">
        <v>396</v>
      </c>
      <c r="L40" s="158" t="s">
        <v>403</v>
      </c>
    </row>
    <row r="41" spans="1:12" x14ac:dyDescent="0.25">
      <c r="A41" s="98"/>
      <c r="B41" s="99"/>
      <c r="C41" s="99"/>
      <c r="D41" s="99"/>
      <c r="E41" s="212"/>
      <c r="F41" s="212"/>
      <c r="H41" s="156" t="s">
        <v>367</v>
      </c>
      <c r="I41" s="100" t="s">
        <v>366</v>
      </c>
      <c r="J41" s="153" t="s">
        <v>376</v>
      </c>
      <c r="K41" s="155" t="s">
        <v>397</v>
      </c>
      <c r="L41" s="158" t="s">
        <v>404</v>
      </c>
    </row>
    <row r="42" spans="1:12" x14ac:dyDescent="0.25">
      <c r="A42" s="98"/>
      <c r="B42" s="99"/>
      <c r="C42" s="99"/>
      <c r="D42" s="99"/>
      <c r="E42" s="212"/>
      <c r="F42" s="212"/>
      <c r="H42" s="100"/>
      <c r="I42" s="100"/>
      <c r="J42" s="102"/>
      <c r="K42" s="155"/>
      <c r="L42" s="103"/>
    </row>
    <row r="43" spans="1:12" x14ac:dyDescent="0.25">
      <c r="A43" s="98"/>
      <c r="B43" s="99"/>
      <c r="C43" s="99"/>
      <c r="D43" s="99"/>
      <c r="E43" s="212"/>
      <c r="F43" s="212"/>
      <c r="H43" s="100"/>
      <c r="I43" s="100"/>
      <c r="J43" s="102"/>
      <c r="K43" s="155"/>
      <c r="L43" s="103"/>
    </row>
    <row r="44" spans="1:12" x14ac:dyDescent="0.25">
      <c r="A44" s="98"/>
      <c r="B44" s="99"/>
      <c r="C44" s="99"/>
      <c r="D44" s="99"/>
      <c r="E44" s="212"/>
      <c r="F44" s="212"/>
      <c r="H44" s="100"/>
      <c r="I44" s="100"/>
      <c r="J44" s="102"/>
      <c r="K44" s="155"/>
      <c r="L44" s="103"/>
    </row>
    <row r="45" spans="1:12" x14ac:dyDescent="0.25">
      <c r="A45" s="98"/>
      <c r="B45" s="99"/>
      <c r="C45" s="99"/>
      <c r="D45" s="99"/>
      <c r="E45" s="212"/>
      <c r="F45" s="212"/>
      <c r="H45" s="100"/>
      <c r="I45" s="100"/>
      <c r="J45" s="102"/>
      <c r="K45" s="155"/>
      <c r="L45" s="103"/>
    </row>
    <row r="46" spans="1:12" x14ac:dyDescent="0.25">
      <c r="A46" s="98"/>
      <c r="B46" s="99"/>
      <c r="C46" s="99"/>
      <c r="D46" s="99"/>
      <c r="E46" s="212"/>
      <c r="F46" s="212"/>
      <c r="H46" s="100"/>
      <c r="I46" s="100"/>
      <c r="J46" s="102"/>
      <c r="K46" s="155"/>
      <c r="L46" s="103"/>
    </row>
    <row r="47" spans="1:12" x14ac:dyDescent="0.25">
      <c r="A47" s="98"/>
      <c r="B47" s="99"/>
      <c r="C47" s="99"/>
      <c r="D47" s="99"/>
      <c r="E47" s="212"/>
      <c r="F47" s="212"/>
      <c r="H47" s="100"/>
      <c r="I47" s="100"/>
      <c r="J47" s="102"/>
      <c r="K47" s="155"/>
      <c r="L47" s="103"/>
    </row>
    <row r="48" spans="1:12" x14ac:dyDescent="0.25">
      <c r="H48" s="100"/>
      <c r="I48" s="100"/>
      <c r="J48" s="102"/>
      <c r="K48" s="155"/>
      <c r="L48" s="103"/>
    </row>
    <row r="49" spans="8:12" x14ac:dyDescent="0.25">
      <c r="H49" s="100"/>
      <c r="I49" s="100"/>
      <c r="J49" s="102"/>
      <c r="K49" s="155"/>
      <c r="L49" s="103"/>
    </row>
    <row r="50" spans="8:12" x14ac:dyDescent="0.25">
      <c r="H50" s="100"/>
      <c r="I50" s="100"/>
      <c r="J50" s="102"/>
      <c r="K50" s="155"/>
      <c r="L50" s="103"/>
    </row>
    <row r="51" spans="8:12" x14ac:dyDescent="0.25">
      <c r="H51" s="100"/>
      <c r="I51" s="100"/>
      <c r="J51" s="102"/>
      <c r="K51" s="155"/>
      <c r="L51" s="103"/>
    </row>
    <row r="52" spans="8:12" x14ac:dyDescent="0.25">
      <c r="H52" s="100"/>
      <c r="I52" s="100"/>
      <c r="J52" s="102"/>
      <c r="K52" s="155"/>
      <c r="L52" s="103"/>
    </row>
    <row r="53" spans="8:12" x14ac:dyDescent="0.25">
      <c r="H53" s="100"/>
      <c r="I53" s="100"/>
      <c r="J53" s="102"/>
      <c r="K53" s="155"/>
      <c r="L53" s="103"/>
    </row>
    <row r="54" spans="8:12" x14ac:dyDescent="0.25">
      <c r="H54" s="100"/>
      <c r="I54" s="100"/>
      <c r="J54" s="102"/>
      <c r="K54" s="155"/>
      <c r="L54" s="103"/>
    </row>
    <row r="55" spans="8:12" x14ac:dyDescent="0.25">
      <c r="H55" s="100"/>
      <c r="I55" s="100"/>
      <c r="J55" s="102"/>
      <c r="K55" s="155"/>
      <c r="L55" s="103"/>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34682932-A6D2-4EB8-AD37-4BBD42545BBC}">
      <formula1>Yes_No</formula1>
    </dataValidation>
  </dataValidations>
  <pageMargins left="0.7" right="0.7" top="0.75" bottom="0.75" header="0.3" footer="0.3"/>
  <pageSetup paperSize="9" scale="7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39108-30A6-4D03-A0AD-40BA87FB168B}">
  <sheetPr>
    <tabColor rgb="FF92D050"/>
    <pageSetUpPr fitToPage="1"/>
  </sheetPr>
  <dimension ref="A1:I47"/>
  <sheetViews>
    <sheetView zoomScale="80" zoomScaleNormal="80" workbookViewId="0">
      <selection activeCell="F18" sqref="F18"/>
    </sheetView>
  </sheetViews>
  <sheetFormatPr defaultColWidth="9.140625" defaultRowHeight="15" x14ac:dyDescent="0.25"/>
  <cols>
    <col min="1" max="1" width="23.7109375" style="48" bestFit="1" customWidth="1"/>
    <col min="2" max="2" width="16.7109375" style="48" bestFit="1" customWidth="1"/>
    <col min="3" max="3" width="20.42578125" style="48" bestFit="1" customWidth="1"/>
    <col min="4" max="4" width="27" style="48" bestFit="1" customWidth="1"/>
    <col min="5" max="5" width="18.7109375" style="48" customWidth="1"/>
    <col min="6" max="6" width="66.85546875" style="48" customWidth="1"/>
    <col min="7" max="7" width="18.7109375" style="48" customWidth="1"/>
    <col min="8" max="8" width="36.7109375" style="48" customWidth="1"/>
    <col min="9" max="16384" width="9.140625" style="48"/>
  </cols>
  <sheetData>
    <row r="1" spans="1:9" ht="34.5" thickBot="1" x14ac:dyDescent="0.55000000000000004">
      <c r="A1" s="209" t="s">
        <v>214</v>
      </c>
      <c r="B1" s="209"/>
      <c r="C1" s="209"/>
      <c r="D1" s="209"/>
    </row>
    <row r="2" spans="1:9" x14ac:dyDescent="0.25">
      <c r="A2" s="32" t="s">
        <v>16</v>
      </c>
      <c r="B2" s="192" t="str">
        <f>CONCATENATE(ExpID,"-",StnNum,"-",StnDay)</f>
        <v>Polhavet2022-10-1</v>
      </c>
      <c r="C2" s="192"/>
      <c r="D2" s="73"/>
    </row>
    <row r="3" spans="1:9" x14ac:dyDescent="0.25">
      <c r="A3" s="33" t="s">
        <v>132</v>
      </c>
      <c r="B3" s="193" t="s">
        <v>212</v>
      </c>
      <c r="C3" s="193"/>
      <c r="D3" s="77"/>
    </row>
    <row r="4" spans="1:9" x14ac:dyDescent="0.25">
      <c r="A4" s="33" t="s">
        <v>4</v>
      </c>
      <c r="B4" s="194" t="str">
        <f>ObsDate</f>
        <v>17.08.2022</v>
      </c>
      <c r="C4" s="194"/>
      <c r="D4" s="77"/>
    </row>
    <row r="5" spans="1:9" x14ac:dyDescent="0.25">
      <c r="A5" s="34" t="s">
        <v>107</v>
      </c>
      <c r="B5" s="204"/>
      <c r="C5" s="204"/>
      <c r="D5" s="77"/>
    </row>
    <row r="6" spans="1:9" x14ac:dyDescent="0.25">
      <c r="A6" s="34" t="s">
        <v>121</v>
      </c>
      <c r="B6" s="185" t="s">
        <v>230</v>
      </c>
      <c r="C6" s="186"/>
      <c r="D6" s="77"/>
    </row>
    <row r="7" spans="1:9" x14ac:dyDescent="0.25">
      <c r="A7" s="210" t="s">
        <v>165</v>
      </c>
      <c r="B7" s="211"/>
      <c r="C7" s="40" t="s">
        <v>163</v>
      </c>
      <c r="D7" s="77"/>
      <c r="E7" s="83"/>
      <c r="F7" s="74"/>
      <c r="G7" s="74"/>
      <c r="H7" s="75"/>
      <c r="I7" s="76"/>
    </row>
    <row r="8" spans="1:9" ht="30" customHeight="1" thickBot="1" x14ac:dyDescent="0.3">
      <c r="A8" s="35" t="s">
        <v>15</v>
      </c>
      <c r="B8" s="206" t="s">
        <v>258</v>
      </c>
      <c r="C8" s="207"/>
      <c r="D8" s="208"/>
    </row>
    <row r="10" spans="1:9" ht="15.75" thickBot="1" x14ac:dyDescent="0.3">
      <c r="A10" s="50" t="s">
        <v>78</v>
      </c>
      <c r="D10" s="50" t="s">
        <v>109</v>
      </c>
    </row>
    <row r="11" spans="1:9" x14ac:dyDescent="0.25">
      <c r="A11" s="15" t="s">
        <v>122</v>
      </c>
      <c r="B11" s="88"/>
      <c r="D11" s="15" t="s">
        <v>138</v>
      </c>
      <c r="E11" s="91"/>
    </row>
    <row r="12" spans="1:9" x14ac:dyDescent="0.25">
      <c r="A12" s="16" t="s">
        <v>123</v>
      </c>
      <c r="B12" s="89"/>
      <c r="D12" s="16" t="s">
        <v>139</v>
      </c>
      <c r="E12" s="92">
        <v>185.5</v>
      </c>
    </row>
    <row r="13" spans="1:9" x14ac:dyDescent="0.25">
      <c r="A13" s="16" t="s">
        <v>124</v>
      </c>
      <c r="B13" s="89"/>
      <c r="D13" s="16" t="s">
        <v>140</v>
      </c>
      <c r="E13" s="92">
        <v>166.5</v>
      </c>
    </row>
    <row r="14" spans="1:9" ht="15.75" thickBot="1" x14ac:dyDescent="0.3">
      <c r="A14" s="18" t="s">
        <v>125</v>
      </c>
      <c r="B14" s="90"/>
      <c r="D14" s="16" t="s">
        <v>136</v>
      </c>
      <c r="E14" s="92"/>
    </row>
    <row r="15" spans="1:9" x14ac:dyDescent="0.25">
      <c r="D15" s="16" t="s">
        <v>137</v>
      </c>
      <c r="E15" s="92"/>
    </row>
    <row r="16" spans="1:9" ht="15.75" thickBot="1" x14ac:dyDescent="0.3">
      <c r="D16" s="18" t="s">
        <v>149</v>
      </c>
      <c r="E16" s="93">
        <v>3</v>
      </c>
    </row>
    <row r="17" spans="1:6" ht="15.75" thickBot="1" x14ac:dyDescent="0.3"/>
    <row r="18" spans="1:6" x14ac:dyDescent="0.25">
      <c r="A18" s="15" t="s">
        <v>168</v>
      </c>
      <c r="B18" s="94"/>
      <c r="C18" s="84"/>
      <c r="D18" s="85"/>
    </row>
    <row r="19" spans="1:6" x14ac:dyDescent="0.25">
      <c r="A19" s="16" t="s">
        <v>127</v>
      </c>
      <c r="B19" s="95"/>
      <c r="C19" s="59"/>
      <c r="D19" s="86"/>
    </row>
    <row r="20" spans="1:6" ht="15.75" thickBot="1" x14ac:dyDescent="0.3">
      <c r="A20" s="18" t="s">
        <v>126</v>
      </c>
      <c r="B20" s="87"/>
      <c r="C20" s="87"/>
      <c r="D20" s="36"/>
    </row>
    <row r="21" spans="1:6" ht="15.75" thickBot="1" x14ac:dyDescent="0.3"/>
    <row r="22" spans="1:6" ht="15.75" thickBot="1" x14ac:dyDescent="0.3">
      <c r="A22" s="37" t="s">
        <v>118</v>
      </c>
      <c r="B22" s="39" t="s">
        <v>141</v>
      </c>
      <c r="C22" s="39" t="s">
        <v>142</v>
      </c>
      <c r="D22" s="39" t="s">
        <v>143</v>
      </c>
      <c r="E22" s="213" t="s">
        <v>13</v>
      </c>
      <c r="F22" s="214"/>
    </row>
    <row r="23" spans="1:6" x14ac:dyDescent="0.25">
      <c r="A23" s="96">
        <v>1</v>
      </c>
      <c r="B23" s="97"/>
      <c r="C23" s="97"/>
      <c r="D23" s="97">
        <v>84</v>
      </c>
      <c r="E23" s="223" t="s">
        <v>282</v>
      </c>
      <c r="F23" s="223"/>
    </row>
    <row r="24" spans="1:6" x14ac:dyDescent="0.25">
      <c r="A24" s="98">
        <v>2</v>
      </c>
      <c r="B24" s="99"/>
      <c r="C24" s="99"/>
      <c r="D24" s="99">
        <v>104</v>
      </c>
      <c r="E24" s="212"/>
      <c r="F24" s="212"/>
    </row>
    <row r="25" spans="1:6" x14ac:dyDescent="0.25">
      <c r="A25" s="98"/>
      <c r="B25" s="99"/>
      <c r="C25" s="99"/>
      <c r="D25" s="99"/>
      <c r="E25" s="212"/>
      <c r="F25" s="212"/>
    </row>
    <row r="26" spans="1:6" x14ac:dyDescent="0.25">
      <c r="A26" s="98"/>
      <c r="B26" s="99"/>
      <c r="C26" s="99"/>
      <c r="D26" s="99"/>
      <c r="E26" s="212"/>
      <c r="F26" s="212"/>
    </row>
    <row r="27" spans="1:6" x14ac:dyDescent="0.25">
      <c r="A27" s="98"/>
      <c r="B27" s="99"/>
      <c r="C27" s="99"/>
      <c r="D27" s="99"/>
      <c r="E27" s="212"/>
      <c r="F27" s="212"/>
    </row>
    <row r="28" spans="1:6" x14ac:dyDescent="0.25">
      <c r="A28" s="98"/>
      <c r="B28" s="99"/>
      <c r="C28" s="99"/>
      <c r="D28" s="99"/>
      <c r="E28" s="212"/>
      <c r="F28" s="212"/>
    </row>
    <row r="29" spans="1:6" x14ac:dyDescent="0.25">
      <c r="A29" s="98"/>
      <c r="B29" s="99"/>
      <c r="C29" s="99"/>
      <c r="D29" s="99"/>
      <c r="E29" s="212"/>
      <c r="F29" s="212"/>
    </row>
    <row r="30" spans="1:6" x14ac:dyDescent="0.25">
      <c r="A30" s="98"/>
      <c r="B30" s="99"/>
      <c r="C30" s="99"/>
      <c r="D30" s="99"/>
      <c r="E30" s="212"/>
      <c r="F30" s="212"/>
    </row>
    <row r="31" spans="1:6" x14ac:dyDescent="0.25">
      <c r="A31" s="98"/>
      <c r="B31" s="99"/>
      <c r="C31" s="99"/>
      <c r="D31" s="99"/>
      <c r="E31" s="212"/>
      <c r="F31" s="212"/>
    </row>
    <row r="32" spans="1:6" x14ac:dyDescent="0.25">
      <c r="A32" s="98"/>
      <c r="B32" s="99"/>
      <c r="C32" s="99"/>
      <c r="D32" s="99"/>
      <c r="E32" s="212"/>
      <c r="F32" s="212"/>
    </row>
    <row r="33" spans="1:6" x14ac:dyDescent="0.25">
      <c r="A33" s="98"/>
      <c r="B33" s="99"/>
      <c r="C33" s="99"/>
      <c r="D33" s="99"/>
      <c r="E33" s="212"/>
      <c r="F33" s="212"/>
    </row>
    <row r="34" spans="1:6" x14ac:dyDescent="0.25">
      <c r="A34" s="98"/>
      <c r="B34" s="99"/>
      <c r="C34" s="99"/>
      <c r="D34" s="99"/>
      <c r="E34" s="212"/>
      <c r="F34" s="212"/>
    </row>
    <row r="35" spans="1:6" x14ac:dyDescent="0.25">
      <c r="A35" s="98"/>
      <c r="B35" s="99"/>
      <c r="C35" s="99"/>
      <c r="D35" s="99"/>
      <c r="E35" s="212"/>
      <c r="F35" s="212"/>
    </row>
    <row r="36" spans="1:6" x14ac:dyDescent="0.25">
      <c r="A36" s="98"/>
      <c r="B36" s="99"/>
      <c r="C36" s="99"/>
      <c r="D36" s="99"/>
      <c r="E36" s="212"/>
      <c r="F36" s="212"/>
    </row>
    <row r="37" spans="1:6" x14ac:dyDescent="0.25">
      <c r="A37" s="98"/>
      <c r="B37" s="99"/>
      <c r="C37" s="99"/>
      <c r="D37" s="99"/>
      <c r="E37" s="212"/>
      <c r="F37" s="212"/>
    </row>
    <row r="38" spans="1:6" x14ac:dyDescent="0.25">
      <c r="A38" s="98"/>
      <c r="B38" s="99"/>
      <c r="C38" s="99"/>
      <c r="D38" s="99"/>
      <c r="E38" s="212"/>
      <c r="F38" s="212"/>
    </row>
    <row r="39" spans="1:6" x14ac:dyDescent="0.25">
      <c r="A39" s="98"/>
      <c r="B39" s="99"/>
      <c r="C39" s="99"/>
      <c r="D39" s="99"/>
      <c r="E39" s="212"/>
      <c r="F39" s="212"/>
    </row>
    <row r="40" spans="1:6" x14ac:dyDescent="0.25">
      <c r="A40" s="98"/>
      <c r="B40" s="99"/>
      <c r="C40" s="99"/>
      <c r="D40" s="99"/>
      <c r="E40" s="212"/>
      <c r="F40" s="212"/>
    </row>
    <row r="41" spans="1:6" x14ac:dyDescent="0.25">
      <c r="A41" s="98"/>
      <c r="B41" s="99"/>
      <c r="C41" s="99"/>
      <c r="D41" s="99"/>
      <c r="E41" s="212"/>
      <c r="F41" s="212"/>
    </row>
    <row r="42" spans="1:6" x14ac:dyDescent="0.25">
      <c r="A42" s="98"/>
      <c r="B42" s="99"/>
      <c r="C42" s="99"/>
      <c r="D42" s="99"/>
      <c r="E42" s="212"/>
      <c r="F42" s="212"/>
    </row>
    <row r="43" spans="1:6" x14ac:dyDescent="0.25">
      <c r="A43" s="98"/>
      <c r="B43" s="99"/>
      <c r="C43" s="99"/>
      <c r="D43" s="99"/>
      <c r="E43" s="212"/>
      <c r="F43" s="212"/>
    </row>
    <row r="44" spans="1:6" x14ac:dyDescent="0.25">
      <c r="A44" s="98"/>
      <c r="B44" s="99"/>
      <c r="C44" s="99"/>
      <c r="D44" s="99"/>
      <c r="E44" s="212"/>
      <c r="F44" s="212"/>
    </row>
    <row r="45" spans="1:6" x14ac:dyDescent="0.25">
      <c r="A45" s="98"/>
      <c r="B45" s="99"/>
      <c r="C45" s="99"/>
      <c r="D45" s="99"/>
      <c r="E45" s="212"/>
      <c r="F45" s="212"/>
    </row>
    <row r="46" spans="1:6" x14ac:dyDescent="0.25">
      <c r="A46" s="98"/>
      <c r="B46" s="99"/>
      <c r="C46" s="99"/>
      <c r="D46" s="99"/>
      <c r="E46" s="212"/>
      <c r="F46" s="212"/>
    </row>
    <row r="47" spans="1:6" x14ac:dyDescent="0.25">
      <c r="A47" s="98"/>
      <c r="B47" s="99"/>
      <c r="C47" s="99"/>
      <c r="D47" s="99"/>
      <c r="E47" s="212"/>
      <c r="F47" s="212"/>
    </row>
  </sheetData>
  <mergeCells count="34">
    <mergeCell ref="E44:F44"/>
    <mergeCell ref="E45:F45"/>
    <mergeCell ref="E46:F46"/>
    <mergeCell ref="E47:F47"/>
    <mergeCell ref="E38:F38"/>
    <mergeCell ref="E39:F39"/>
    <mergeCell ref="E40:F40"/>
    <mergeCell ref="E41:F41"/>
    <mergeCell ref="E42:F42"/>
    <mergeCell ref="E43:F43"/>
    <mergeCell ref="E37:F37"/>
    <mergeCell ref="E26:F26"/>
    <mergeCell ref="E27:F27"/>
    <mergeCell ref="E28:F28"/>
    <mergeCell ref="E29:F29"/>
    <mergeCell ref="E30:F30"/>
    <mergeCell ref="E31:F31"/>
    <mergeCell ref="E32:F32"/>
    <mergeCell ref="E33:F33"/>
    <mergeCell ref="E34:F34"/>
    <mergeCell ref="E35:F35"/>
    <mergeCell ref="E36:F36"/>
    <mergeCell ref="E25:F25"/>
    <mergeCell ref="A1:D1"/>
    <mergeCell ref="B2:C2"/>
    <mergeCell ref="B3:C3"/>
    <mergeCell ref="B4:C4"/>
    <mergeCell ref="B5:C5"/>
    <mergeCell ref="B6:C6"/>
    <mergeCell ref="A7:B7"/>
    <mergeCell ref="B8:D8"/>
    <mergeCell ref="E22:F22"/>
    <mergeCell ref="E23:F23"/>
    <mergeCell ref="E24:F24"/>
  </mergeCells>
  <dataValidations count="1">
    <dataValidation type="list" allowBlank="1" showInputMessage="1" showErrorMessage="1" sqref="C7" xr:uid="{16489FD1-1359-447B-8766-48C5128DCD03}">
      <formula1>Yes_No</formula1>
    </dataValidation>
  </dataValidations>
  <pageMargins left="0.7" right="0.7" top="0.75" bottom="0.75" header="0.3" footer="0.3"/>
  <pageSetup paperSize="9" scale="75" fitToHeight="0"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A1:T56"/>
  <sheetViews>
    <sheetView zoomScale="80" zoomScaleNormal="80" workbookViewId="0">
      <selection activeCell="E11" sqref="E11"/>
    </sheetView>
  </sheetViews>
  <sheetFormatPr defaultColWidth="9.140625" defaultRowHeight="15" x14ac:dyDescent="0.25"/>
  <cols>
    <col min="1" max="1" width="24.5703125" style="48" bestFit="1" customWidth="1"/>
    <col min="2" max="3" width="15.7109375" style="48" customWidth="1"/>
    <col min="4" max="5" width="13.7109375" style="48" bestFit="1" customWidth="1"/>
    <col min="6" max="7" width="15.7109375" style="48" customWidth="1"/>
    <col min="8" max="8" width="13.7109375" style="48" bestFit="1" customWidth="1"/>
    <col min="9" max="9" width="36.5703125" style="48" customWidth="1"/>
    <col min="10" max="10" width="9.140625" style="48"/>
    <col min="11" max="11" width="19.140625" style="48" bestFit="1" customWidth="1"/>
    <col min="12" max="12" width="15.7109375" style="48" customWidth="1"/>
    <col min="13" max="16" width="12.7109375" style="48" customWidth="1"/>
    <col min="17" max="17" width="9.140625" style="48"/>
    <col min="18" max="19" width="15.7109375" style="48" customWidth="1"/>
    <col min="20" max="20" width="39.28515625" style="48" customWidth="1"/>
    <col min="21" max="16384" width="9.140625" style="48"/>
  </cols>
  <sheetData>
    <row r="1" spans="1:19" ht="31.5" x14ac:dyDescent="0.5">
      <c r="A1" s="199" t="s">
        <v>20</v>
      </c>
      <c r="B1" s="199"/>
      <c r="C1" s="199"/>
      <c r="D1" s="199"/>
    </row>
    <row r="2" spans="1:19" x14ac:dyDescent="0.25">
      <c r="A2" s="4" t="s">
        <v>16</v>
      </c>
      <c r="B2" s="203" t="str">
        <f>CONCATENATE(ExpID,"-",StnNum,"-",StnDay)</f>
        <v>Polhavet2022-10-1</v>
      </c>
      <c r="C2" s="203"/>
      <c r="D2" s="105"/>
    </row>
    <row r="3" spans="1:19" x14ac:dyDescent="0.25">
      <c r="A3" s="4" t="s">
        <v>132</v>
      </c>
      <c r="B3" s="193" t="s">
        <v>260</v>
      </c>
      <c r="C3" s="193"/>
      <c r="D3" s="106"/>
    </row>
    <row r="4" spans="1:19" x14ac:dyDescent="0.25">
      <c r="A4" s="4" t="s">
        <v>4</v>
      </c>
      <c r="B4" s="194" t="s">
        <v>259</v>
      </c>
      <c r="C4" s="194"/>
      <c r="D4" s="106"/>
    </row>
    <row r="5" spans="1:19" x14ac:dyDescent="0.25">
      <c r="A5" s="5" t="s">
        <v>107</v>
      </c>
      <c r="B5" s="204">
        <v>0.44444444444444442</v>
      </c>
      <c r="C5" s="204"/>
      <c r="D5" s="106" t="s">
        <v>5</v>
      </c>
      <c r="E5" s="48" t="s">
        <v>261</v>
      </c>
    </row>
    <row r="6" spans="1:19" x14ac:dyDescent="0.25">
      <c r="A6" s="5" t="s">
        <v>121</v>
      </c>
      <c r="B6" s="205" t="s">
        <v>179</v>
      </c>
      <c r="C6" s="205"/>
      <c r="D6" s="106"/>
      <c r="E6" s="74"/>
    </row>
    <row r="7" spans="1:19" ht="92.25" customHeight="1" x14ac:dyDescent="0.25">
      <c r="A7" s="6" t="s">
        <v>15</v>
      </c>
      <c r="B7" s="200" t="s">
        <v>338</v>
      </c>
      <c r="C7" s="201"/>
      <c r="D7" s="202"/>
      <c r="F7" s="53"/>
      <c r="G7" s="53"/>
    </row>
    <row r="9" spans="1:19" ht="15.75" thickBot="1" x14ac:dyDescent="0.3">
      <c r="A9" s="50" t="s">
        <v>78</v>
      </c>
      <c r="K9" s="50" t="s">
        <v>84</v>
      </c>
    </row>
    <row r="10" spans="1:19" x14ac:dyDescent="0.25">
      <c r="A10" s="7" t="s">
        <v>74</v>
      </c>
      <c r="B10" s="88">
        <v>1.1000000000000001</v>
      </c>
      <c r="K10" s="7" t="s">
        <v>166</v>
      </c>
      <c r="L10" s="111"/>
    </row>
    <row r="11" spans="1:19" x14ac:dyDescent="0.25">
      <c r="A11" s="7" t="s">
        <v>75</v>
      </c>
      <c r="B11" s="89">
        <v>0.6</v>
      </c>
      <c r="K11" s="7" t="s">
        <v>154</v>
      </c>
      <c r="L11" s="112"/>
    </row>
    <row r="12" spans="1:19" x14ac:dyDescent="0.25">
      <c r="A12" s="7" t="s">
        <v>76</v>
      </c>
      <c r="B12" s="89">
        <v>-0.2</v>
      </c>
    </row>
    <row r="13" spans="1:19" ht="15.75" thickBot="1" x14ac:dyDescent="0.3">
      <c r="A13" s="7" t="s">
        <v>77</v>
      </c>
      <c r="B13" s="90">
        <v>-1.6</v>
      </c>
      <c r="L13" s="48" t="s">
        <v>213</v>
      </c>
      <c r="M13" s="48">
        <v>222</v>
      </c>
    </row>
    <row r="15" spans="1:19" ht="15.75" x14ac:dyDescent="0.25">
      <c r="A15" s="50" t="s">
        <v>79</v>
      </c>
      <c r="B15" s="108" t="s">
        <v>167</v>
      </c>
      <c r="K15" s="50" t="s">
        <v>84</v>
      </c>
      <c r="R15" s="50" t="s">
        <v>131</v>
      </c>
    </row>
    <row r="16" spans="1:19" s="78" customFormat="1" ht="45" x14ac:dyDescent="0.25">
      <c r="A16" s="10" t="s">
        <v>80</v>
      </c>
      <c r="B16" s="10" t="s">
        <v>144</v>
      </c>
      <c r="C16" s="10" t="s">
        <v>145</v>
      </c>
      <c r="D16" s="10" t="s">
        <v>128</v>
      </c>
      <c r="E16" s="10" t="s">
        <v>129</v>
      </c>
      <c r="F16" s="10" t="s">
        <v>81</v>
      </c>
      <c r="G16" s="10" t="s">
        <v>82</v>
      </c>
      <c r="H16" s="10" t="s">
        <v>83</v>
      </c>
      <c r="I16" s="10" t="s">
        <v>13</v>
      </c>
      <c r="K16" s="23" t="s">
        <v>169</v>
      </c>
      <c r="L16" s="23" t="s">
        <v>170</v>
      </c>
      <c r="M16" s="23" t="s">
        <v>176</v>
      </c>
      <c r="N16" s="23" t="s">
        <v>174</v>
      </c>
      <c r="O16" s="23" t="s">
        <v>177</v>
      </c>
      <c r="P16" s="23" t="s">
        <v>130</v>
      </c>
      <c r="Q16" s="109"/>
      <c r="R16" s="23" t="s">
        <v>171</v>
      </c>
      <c r="S16" s="23" t="s">
        <v>172</v>
      </c>
    </row>
    <row r="17" spans="1:20" x14ac:dyDescent="0.25">
      <c r="A17" s="98">
        <v>1</v>
      </c>
      <c r="B17" s="45">
        <v>3</v>
      </c>
      <c r="C17" s="45">
        <v>0</v>
      </c>
      <c r="D17" s="44" t="s">
        <v>103</v>
      </c>
      <c r="E17" s="44"/>
      <c r="F17" s="143">
        <v>2</v>
      </c>
      <c r="G17" s="143">
        <v>8</v>
      </c>
      <c r="H17" s="44" t="s">
        <v>92</v>
      </c>
      <c r="I17" s="44"/>
      <c r="K17" s="45">
        <v>0</v>
      </c>
      <c r="L17" s="45">
        <v>3</v>
      </c>
      <c r="M17" s="144">
        <v>250</v>
      </c>
      <c r="N17" s="44"/>
      <c r="O17" s="41">
        <f>(250-222)/100</f>
        <v>0.28000000000000003</v>
      </c>
      <c r="P17" s="44"/>
      <c r="R17" s="45"/>
      <c r="S17" s="103"/>
      <c r="T17" s="78"/>
    </row>
    <row r="18" spans="1:20" ht="15.6" customHeight="1" x14ac:dyDescent="0.25">
      <c r="A18" s="98"/>
      <c r="B18" s="45"/>
      <c r="C18" s="45"/>
      <c r="D18" s="44"/>
      <c r="E18" s="44"/>
      <c r="F18" s="143"/>
      <c r="G18" s="143"/>
      <c r="H18" s="44"/>
      <c r="I18" s="44"/>
      <c r="K18" s="45"/>
      <c r="L18" s="45"/>
      <c r="M18" s="144"/>
      <c r="N18" s="44"/>
      <c r="O18" s="41"/>
      <c r="P18" s="44"/>
      <c r="R18" s="45"/>
      <c r="S18" s="103"/>
      <c r="T18" s="78"/>
    </row>
    <row r="19" spans="1:20" x14ac:dyDescent="0.25">
      <c r="A19" s="98"/>
      <c r="B19" s="45"/>
      <c r="C19" s="45"/>
      <c r="D19" s="44"/>
      <c r="E19" s="44"/>
      <c r="F19" s="143"/>
      <c r="G19" s="143"/>
      <c r="H19" s="44"/>
      <c r="I19" s="44"/>
      <c r="K19" s="45"/>
      <c r="L19" s="45"/>
      <c r="M19" s="144"/>
      <c r="N19" s="44"/>
      <c r="O19" s="41"/>
      <c r="P19" s="44"/>
      <c r="R19" s="45"/>
      <c r="S19" s="103"/>
      <c r="T19" s="78"/>
    </row>
    <row r="20" spans="1:20" x14ac:dyDescent="0.25">
      <c r="A20" s="98"/>
      <c r="B20" s="45"/>
      <c r="C20" s="45"/>
      <c r="D20" s="44"/>
      <c r="E20" s="44"/>
      <c r="F20" s="143"/>
      <c r="G20" s="143"/>
      <c r="H20" s="44"/>
      <c r="I20" s="44"/>
      <c r="K20" s="45"/>
      <c r="L20" s="45"/>
      <c r="M20" s="144"/>
      <c r="N20" s="44"/>
      <c r="O20" s="41">
        <f t="shared" ref="O20:O56" si="0">IF($L$10&gt;0,((M20-$L$11)/$L$10)*1000,0)</f>
        <v>0</v>
      </c>
      <c r="P20" s="44"/>
      <c r="R20" s="45"/>
      <c r="S20" s="103"/>
      <c r="T20" s="78"/>
    </row>
    <row r="21" spans="1:20" x14ac:dyDescent="0.25">
      <c r="A21" s="98"/>
      <c r="B21" s="45"/>
      <c r="C21" s="45"/>
      <c r="D21" s="44"/>
      <c r="E21" s="44"/>
      <c r="F21" s="143"/>
      <c r="G21" s="143"/>
      <c r="H21" s="44"/>
      <c r="I21" s="44"/>
      <c r="K21" s="45"/>
      <c r="L21" s="45"/>
      <c r="M21" s="144"/>
      <c r="N21" s="44"/>
      <c r="O21" s="41">
        <f t="shared" si="0"/>
        <v>0</v>
      </c>
      <c r="P21" s="44"/>
      <c r="R21" s="45"/>
      <c r="S21" s="103"/>
      <c r="T21" s="78"/>
    </row>
    <row r="22" spans="1:20" x14ac:dyDescent="0.25">
      <c r="A22" s="98"/>
      <c r="B22" s="45"/>
      <c r="C22" s="45"/>
      <c r="D22" s="44"/>
      <c r="E22" s="44"/>
      <c r="F22" s="143"/>
      <c r="G22" s="143"/>
      <c r="H22" s="44"/>
      <c r="I22" s="44"/>
      <c r="K22" s="45"/>
      <c r="L22" s="45"/>
      <c r="M22" s="144"/>
      <c r="N22" s="44"/>
      <c r="O22" s="41">
        <f t="shared" si="0"/>
        <v>0</v>
      </c>
      <c r="P22" s="44"/>
      <c r="R22" s="45"/>
      <c r="S22" s="103"/>
      <c r="T22" s="78"/>
    </row>
    <row r="23" spans="1:20" x14ac:dyDescent="0.25">
      <c r="A23" s="98"/>
      <c r="B23" s="45"/>
      <c r="C23" s="45"/>
      <c r="D23" s="44"/>
      <c r="E23" s="44"/>
      <c r="F23" s="143"/>
      <c r="G23" s="143"/>
      <c r="H23" s="44"/>
      <c r="I23" s="44"/>
      <c r="K23" s="45"/>
      <c r="L23" s="45"/>
      <c r="M23" s="144"/>
      <c r="N23" s="44"/>
      <c r="O23" s="41">
        <f t="shared" si="0"/>
        <v>0</v>
      </c>
      <c r="P23" s="44"/>
      <c r="R23" s="45"/>
      <c r="S23" s="103"/>
      <c r="T23" s="78"/>
    </row>
    <row r="24" spans="1:20" x14ac:dyDescent="0.25">
      <c r="A24" s="98"/>
      <c r="B24" s="45"/>
      <c r="C24" s="45"/>
      <c r="D24" s="44"/>
      <c r="E24" s="44"/>
      <c r="F24" s="143"/>
      <c r="G24" s="143"/>
      <c r="H24" s="44"/>
      <c r="I24" s="44"/>
      <c r="K24" s="45"/>
      <c r="L24" s="45"/>
      <c r="M24" s="144"/>
      <c r="N24" s="44"/>
      <c r="O24" s="41">
        <f t="shared" si="0"/>
        <v>0</v>
      </c>
      <c r="P24" s="44"/>
      <c r="R24" s="45"/>
      <c r="S24" s="103"/>
      <c r="T24" s="78"/>
    </row>
    <row r="25" spans="1:20" x14ac:dyDescent="0.25">
      <c r="A25" s="98"/>
      <c r="B25" s="45"/>
      <c r="C25" s="45"/>
      <c r="D25" s="44"/>
      <c r="E25" s="44"/>
      <c r="F25" s="143"/>
      <c r="G25" s="143"/>
      <c r="H25" s="44"/>
      <c r="I25" s="44"/>
      <c r="K25" s="45"/>
      <c r="L25" s="45"/>
      <c r="M25" s="144"/>
      <c r="N25" s="44"/>
      <c r="O25" s="41">
        <f t="shared" si="0"/>
        <v>0</v>
      </c>
      <c r="P25" s="44"/>
      <c r="R25" s="45"/>
      <c r="S25" s="103"/>
      <c r="T25" s="78"/>
    </row>
    <row r="26" spans="1:20" x14ac:dyDescent="0.25">
      <c r="A26" s="98"/>
      <c r="B26" s="45"/>
      <c r="C26" s="45"/>
      <c r="D26" s="44"/>
      <c r="E26" s="44"/>
      <c r="F26" s="143"/>
      <c r="G26" s="143"/>
      <c r="H26" s="44"/>
      <c r="I26" s="44"/>
      <c r="K26" s="45"/>
      <c r="L26" s="45"/>
      <c r="M26" s="144"/>
      <c r="N26" s="44"/>
      <c r="O26" s="41">
        <f t="shared" si="0"/>
        <v>0</v>
      </c>
      <c r="P26" s="44"/>
      <c r="R26" s="45"/>
      <c r="S26" s="103"/>
      <c r="T26" s="78"/>
    </row>
    <row r="27" spans="1:20" x14ac:dyDescent="0.25">
      <c r="A27" s="98"/>
      <c r="B27" s="45"/>
      <c r="C27" s="45"/>
      <c r="D27" s="44"/>
      <c r="E27" s="44"/>
      <c r="F27" s="143"/>
      <c r="G27" s="143"/>
      <c r="H27" s="44"/>
      <c r="I27" s="44"/>
      <c r="K27" s="45"/>
      <c r="L27" s="45"/>
      <c r="M27" s="144"/>
      <c r="N27" s="44"/>
      <c r="O27" s="41">
        <f t="shared" si="0"/>
        <v>0</v>
      </c>
      <c r="P27" s="44"/>
      <c r="R27" s="45"/>
      <c r="S27" s="103"/>
      <c r="T27" s="78"/>
    </row>
    <row r="28" spans="1:20" x14ac:dyDescent="0.25">
      <c r="A28" s="98"/>
      <c r="B28" s="45"/>
      <c r="C28" s="45"/>
      <c r="D28" s="44"/>
      <c r="E28" s="44"/>
      <c r="F28" s="143"/>
      <c r="G28" s="143"/>
      <c r="H28" s="44"/>
      <c r="I28" s="44"/>
      <c r="K28" s="45"/>
      <c r="L28" s="45"/>
      <c r="M28" s="144"/>
      <c r="N28" s="44"/>
      <c r="O28" s="41">
        <f t="shared" si="0"/>
        <v>0</v>
      </c>
      <c r="P28" s="44"/>
      <c r="R28" s="45"/>
      <c r="S28" s="103"/>
      <c r="T28" s="78"/>
    </row>
    <row r="29" spans="1:20" x14ac:dyDescent="0.25">
      <c r="A29" s="98"/>
      <c r="B29" s="45"/>
      <c r="C29" s="45"/>
      <c r="D29" s="44"/>
      <c r="E29" s="44"/>
      <c r="F29" s="143"/>
      <c r="G29" s="143"/>
      <c r="H29" s="44"/>
      <c r="I29" s="44"/>
      <c r="K29" s="45"/>
      <c r="L29" s="45"/>
      <c r="M29" s="144"/>
      <c r="N29" s="44"/>
      <c r="O29" s="41">
        <f t="shared" si="0"/>
        <v>0</v>
      </c>
      <c r="P29" s="44"/>
      <c r="R29" s="45"/>
      <c r="S29" s="103"/>
      <c r="T29" s="78"/>
    </row>
    <row r="30" spans="1:20" x14ac:dyDescent="0.25">
      <c r="A30" s="98"/>
      <c r="B30" s="45"/>
      <c r="C30" s="45"/>
      <c r="D30" s="44"/>
      <c r="E30" s="44"/>
      <c r="F30" s="143"/>
      <c r="G30" s="143"/>
      <c r="H30" s="44"/>
      <c r="I30" s="44"/>
      <c r="K30" s="45"/>
      <c r="L30" s="45"/>
      <c r="M30" s="144"/>
      <c r="N30" s="44"/>
      <c r="O30" s="41">
        <f t="shared" si="0"/>
        <v>0</v>
      </c>
      <c r="P30" s="44"/>
      <c r="R30" s="45"/>
      <c r="S30" s="103"/>
      <c r="T30" s="78"/>
    </row>
    <row r="31" spans="1:20" x14ac:dyDescent="0.25">
      <c r="A31" s="98"/>
      <c r="B31" s="45"/>
      <c r="C31" s="45"/>
      <c r="D31" s="44"/>
      <c r="E31" s="44"/>
      <c r="F31" s="143"/>
      <c r="G31" s="143"/>
      <c r="H31" s="44"/>
      <c r="I31" s="44"/>
      <c r="K31" s="45"/>
      <c r="L31" s="45"/>
      <c r="M31" s="144"/>
      <c r="N31" s="44"/>
      <c r="O31" s="41">
        <f t="shared" si="0"/>
        <v>0</v>
      </c>
      <c r="P31" s="44"/>
      <c r="R31" s="45"/>
      <c r="S31" s="103"/>
      <c r="T31" s="78"/>
    </row>
    <row r="32" spans="1:20" x14ac:dyDescent="0.25">
      <c r="A32" s="98"/>
      <c r="B32" s="45"/>
      <c r="C32" s="45"/>
      <c r="D32" s="44"/>
      <c r="E32" s="44"/>
      <c r="F32" s="143"/>
      <c r="G32" s="143"/>
      <c r="H32" s="44"/>
      <c r="I32" s="44"/>
      <c r="K32" s="45"/>
      <c r="L32" s="45"/>
      <c r="M32" s="144"/>
      <c r="N32" s="44"/>
      <c r="O32" s="41">
        <f t="shared" si="0"/>
        <v>0</v>
      </c>
      <c r="P32" s="44"/>
      <c r="R32" s="45"/>
      <c r="S32" s="103"/>
      <c r="T32" s="78"/>
    </row>
    <row r="33" spans="1:20" x14ac:dyDescent="0.25">
      <c r="A33" s="98"/>
      <c r="B33" s="45"/>
      <c r="C33" s="45"/>
      <c r="D33" s="44"/>
      <c r="E33" s="44"/>
      <c r="F33" s="143"/>
      <c r="G33" s="143"/>
      <c r="H33" s="44"/>
      <c r="I33" s="44"/>
      <c r="K33" s="45"/>
      <c r="L33" s="45"/>
      <c r="M33" s="144"/>
      <c r="N33" s="44"/>
      <c r="O33" s="41">
        <f t="shared" si="0"/>
        <v>0</v>
      </c>
      <c r="P33" s="44"/>
      <c r="R33" s="45"/>
      <c r="S33" s="103"/>
      <c r="T33" s="78"/>
    </row>
    <row r="34" spans="1:20" x14ac:dyDescent="0.25">
      <c r="A34" s="98"/>
      <c r="B34" s="45"/>
      <c r="C34" s="45"/>
      <c r="D34" s="44"/>
      <c r="E34" s="44"/>
      <c r="F34" s="143"/>
      <c r="G34" s="143"/>
      <c r="H34" s="44"/>
      <c r="I34" s="44"/>
      <c r="K34" s="45"/>
      <c r="L34" s="45"/>
      <c r="M34" s="144"/>
      <c r="N34" s="44"/>
      <c r="O34" s="41">
        <f t="shared" si="0"/>
        <v>0</v>
      </c>
      <c r="P34" s="44"/>
      <c r="R34" s="45"/>
      <c r="S34" s="103"/>
      <c r="T34" s="78"/>
    </row>
    <row r="35" spans="1:20" x14ac:dyDescent="0.25">
      <c r="A35" s="98"/>
      <c r="B35" s="45"/>
      <c r="C35" s="45"/>
      <c r="D35" s="44"/>
      <c r="E35" s="44"/>
      <c r="F35" s="143"/>
      <c r="G35" s="143"/>
      <c r="H35" s="44"/>
      <c r="I35" s="44"/>
      <c r="K35" s="45"/>
      <c r="L35" s="45"/>
      <c r="M35" s="144"/>
      <c r="N35" s="44"/>
      <c r="O35" s="41">
        <f t="shared" si="0"/>
        <v>0</v>
      </c>
      <c r="P35" s="44"/>
      <c r="R35" s="45"/>
      <c r="S35" s="103"/>
      <c r="T35" s="78"/>
    </row>
    <row r="36" spans="1:20" x14ac:dyDescent="0.25">
      <c r="A36" s="98"/>
      <c r="B36" s="45"/>
      <c r="C36" s="45"/>
      <c r="D36" s="44"/>
      <c r="E36" s="44"/>
      <c r="F36" s="143"/>
      <c r="G36" s="143"/>
      <c r="H36" s="44"/>
      <c r="I36" s="44"/>
      <c r="K36" s="45"/>
      <c r="L36" s="45"/>
      <c r="M36" s="144"/>
      <c r="N36" s="44"/>
      <c r="O36" s="41">
        <f t="shared" si="0"/>
        <v>0</v>
      </c>
      <c r="P36" s="44"/>
      <c r="R36" s="45"/>
      <c r="S36" s="103"/>
      <c r="T36" s="78"/>
    </row>
    <row r="37" spans="1:20" x14ac:dyDescent="0.25">
      <c r="A37" s="98"/>
      <c r="B37" s="45"/>
      <c r="C37" s="45"/>
      <c r="D37" s="44"/>
      <c r="E37" s="44"/>
      <c r="F37" s="143"/>
      <c r="G37" s="143"/>
      <c r="H37" s="44"/>
      <c r="I37" s="44"/>
      <c r="K37" s="45"/>
      <c r="L37" s="45"/>
      <c r="M37" s="144"/>
      <c r="N37" s="44"/>
      <c r="O37" s="41">
        <f t="shared" si="0"/>
        <v>0</v>
      </c>
      <c r="P37" s="44"/>
      <c r="R37" s="45"/>
      <c r="S37" s="103"/>
      <c r="T37" s="78"/>
    </row>
    <row r="38" spans="1:20" x14ac:dyDescent="0.25">
      <c r="A38" s="98"/>
      <c r="B38" s="45"/>
      <c r="C38" s="45"/>
      <c r="D38" s="44"/>
      <c r="E38" s="44"/>
      <c r="F38" s="143"/>
      <c r="G38" s="143"/>
      <c r="H38" s="44"/>
      <c r="I38" s="44"/>
      <c r="K38" s="45"/>
      <c r="L38" s="45"/>
      <c r="M38" s="144"/>
      <c r="N38" s="44"/>
      <c r="O38" s="41">
        <f t="shared" si="0"/>
        <v>0</v>
      </c>
      <c r="P38" s="44"/>
      <c r="R38" s="45"/>
      <c r="S38" s="103"/>
      <c r="T38" s="78"/>
    </row>
    <row r="39" spans="1:20" x14ac:dyDescent="0.25">
      <c r="A39" s="98"/>
      <c r="B39" s="45"/>
      <c r="C39" s="45"/>
      <c r="D39" s="44"/>
      <c r="E39" s="44"/>
      <c r="F39" s="143"/>
      <c r="G39" s="143"/>
      <c r="H39" s="44"/>
      <c r="I39" s="44"/>
      <c r="K39" s="45"/>
      <c r="L39" s="45"/>
      <c r="M39" s="144"/>
      <c r="N39" s="44"/>
      <c r="O39" s="41">
        <f t="shared" si="0"/>
        <v>0</v>
      </c>
      <c r="P39" s="44"/>
      <c r="R39" s="45"/>
      <c r="S39" s="103"/>
    </row>
    <row r="40" spans="1:20" x14ac:dyDescent="0.25">
      <c r="A40" s="98"/>
      <c r="B40" s="45"/>
      <c r="C40" s="45"/>
      <c r="D40" s="44"/>
      <c r="E40" s="44"/>
      <c r="F40" s="143"/>
      <c r="G40" s="143"/>
      <c r="H40" s="44"/>
      <c r="I40" s="44"/>
      <c r="K40" s="45"/>
      <c r="L40" s="45"/>
      <c r="M40" s="144"/>
      <c r="N40" s="44"/>
      <c r="O40" s="41">
        <f t="shared" si="0"/>
        <v>0</v>
      </c>
      <c r="P40" s="44"/>
      <c r="R40" s="45"/>
      <c r="S40" s="103"/>
    </row>
    <row r="41" spans="1:20" x14ac:dyDescent="0.25">
      <c r="A41" s="98"/>
      <c r="B41" s="45"/>
      <c r="C41" s="45"/>
      <c r="D41" s="44"/>
      <c r="E41" s="44"/>
      <c r="F41" s="143"/>
      <c r="G41" s="143"/>
      <c r="H41" s="44"/>
      <c r="I41" s="44"/>
      <c r="K41" s="45"/>
      <c r="L41" s="45"/>
      <c r="M41" s="144"/>
      <c r="N41" s="44"/>
      <c r="O41" s="41">
        <f t="shared" si="0"/>
        <v>0</v>
      </c>
      <c r="P41" s="44"/>
      <c r="R41" s="45"/>
      <c r="S41" s="103"/>
    </row>
    <row r="42" spans="1:20" x14ac:dyDescent="0.25">
      <c r="A42" s="98"/>
      <c r="B42" s="45"/>
      <c r="C42" s="45"/>
      <c r="D42" s="44"/>
      <c r="E42" s="44"/>
      <c r="F42" s="143"/>
      <c r="G42" s="143"/>
      <c r="H42" s="44"/>
      <c r="I42" s="44"/>
      <c r="K42" s="45"/>
      <c r="L42" s="45"/>
      <c r="M42" s="144"/>
      <c r="N42" s="44"/>
      <c r="O42" s="41">
        <f t="shared" si="0"/>
        <v>0</v>
      </c>
      <c r="P42" s="44"/>
      <c r="R42" s="45"/>
      <c r="S42" s="103"/>
    </row>
    <row r="43" spans="1:20" x14ac:dyDescent="0.25">
      <c r="A43" s="98"/>
      <c r="B43" s="45"/>
      <c r="C43" s="45"/>
      <c r="D43" s="44"/>
      <c r="E43" s="44"/>
      <c r="F43" s="143"/>
      <c r="G43" s="143"/>
      <c r="H43" s="44"/>
      <c r="I43" s="44"/>
      <c r="K43" s="45"/>
      <c r="L43" s="45"/>
      <c r="M43" s="144"/>
      <c r="N43" s="44"/>
      <c r="O43" s="41">
        <f t="shared" si="0"/>
        <v>0</v>
      </c>
      <c r="P43" s="44"/>
      <c r="R43" s="45"/>
      <c r="S43" s="103"/>
    </row>
    <row r="44" spans="1:20" x14ac:dyDescent="0.25">
      <c r="A44" s="98"/>
      <c r="B44" s="45"/>
      <c r="C44" s="45"/>
      <c r="D44" s="44"/>
      <c r="E44" s="44"/>
      <c r="F44" s="143"/>
      <c r="G44" s="143"/>
      <c r="H44" s="44"/>
      <c r="I44" s="44"/>
      <c r="K44" s="45"/>
      <c r="L44" s="45"/>
      <c r="M44" s="144"/>
      <c r="N44" s="44"/>
      <c r="O44" s="41">
        <f t="shared" si="0"/>
        <v>0</v>
      </c>
      <c r="P44" s="44"/>
      <c r="R44" s="45"/>
      <c r="S44" s="103"/>
    </row>
    <row r="45" spans="1:20" x14ac:dyDescent="0.25">
      <c r="A45" s="98"/>
      <c r="B45" s="45"/>
      <c r="C45" s="45"/>
      <c r="D45" s="44"/>
      <c r="E45" s="44"/>
      <c r="F45" s="143"/>
      <c r="G45" s="143"/>
      <c r="H45" s="44"/>
      <c r="I45" s="44"/>
      <c r="K45" s="45"/>
      <c r="L45" s="45"/>
      <c r="M45" s="144"/>
      <c r="N45" s="44"/>
      <c r="O45" s="41">
        <f t="shared" si="0"/>
        <v>0</v>
      </c>
      <c r="P45" s="44"/>
      <c r="R45" s="45"/>
      <c r="S45" s="103"/>
    </row>
    <row r="46" spans="1:20" x14ac:dyDescent="0.25">
      <c r="A46" s="98"/>
      <c r="B46" s="45"/>
      <c r="C46" s="45"/>
      <c r="D46" s="44"/>
      <c r="E46" s="44"/>
      <c r="F46" s="143"/>
      <c r="G46" s="143"/>
      <c r="H46" s="44"/>
      <c r="I46" s="44"/>
      <c r="K46" s="45"/>
      <c r="L46" s="45"/>
      <c r="M46" s="144"/>
      <c r="N46" s="44"/>
      <c r="O46" s="41">
        <f t="shared" si="0"/>
        <v>0</v>
      </c>
      <c r="P46" s="44"/>
      <c r="R46" s="45"/>
      <c r="S46" s="103"/>
    </row>
    <row r="47" spans="1:20" x14ac:dyDescent="0.25">
      <c r="A47" s="98"/>
      <c r="B47" s="45"/>
      <c r="C47" s="45"/>
      <c r="D47" s="44"/>
      <c r="E47" s="44"/>
      <c r="F47" s="143"/>
      <c r="G47" s="143"/>
      <c r="H47" s="44"/>
      <c r="I47" s="44"/>
      <c r="K47" s="45"/>
      <c r="L47" s="45"/>
      <c r="M47" s="144"/>
      <c r="N47" s="44"/>
      <c r="O47" s="41">
        <f t="shared" si="0"/>
        <v>0</v>
      </c>
      <c r="P47" s="44"/>
      <c r="R47" s="45"/>
      <c r="S47" s="103"/>
    </row>
    <row r="48" spans="1:20" x14ac:dyDescent="0.25">
      <c r="A48" s="98"/>
      <c r="B48" s="45"/>
      <c r="C48" s="45"/>
      <c r="D48" s="44"/>
      <c r="E48" s="44"/>
      <c r="F48" s="143"/>
      <c r="G48" s="143"/>
      <c r="H48" s="44"/>
      <c r="I48" s="44"/>
      <c r="K48" s="45"/>
      <c r="L48" s="45"/>
      <c r="M48" s="144"/>
      <c r="N48" s="44"/>
      <c r="O48" s="41">
        <f t="shared" si="0"/>
        <v>0</v>
      </c>
      <c r="P48" s="44"/>
      <c r="R48" s="45"/>
      <c r="S48" s="103"/>
    </row>
    <row r="49" spans="1:19" x14ac:dyDescent="0.25">
      <c r="A49" s="98"/>
      <c r="B49" s="45"/>
      <c r="C49" s="45"/>
      <c r="D49" s="44"/>
      <c r="E49" s="44"/>
      <c r="F49" s="143"/>
      <c r="G49" s="143"/>
      <c r="H49" s="44"/>
      <c r="I49" s="44"/>
      <c r="K49" s="45"/>
      <c r="L49" s="45"/>
      <c r="M49" s="144"/>
      <c r="N49" s="44"/>
      <c r="O49" s="41">
        <f t="shared" si="0"/>
        <v>0</v>
      </c>
      <c r="P49" s="44"/>
      <c r="R49" s="45"/>
      <c r="S49" s="103"/>
    </row>
    <row r="50" spans="1:19" x14ac:dyDescent="0.25">
      <c r="A50" s="98"/>
      <c r="B50" s="45"/>
      <c r="C50" s="45"/>
      <c r="D50" s="44"/>
      <c r="E50" s="44"/>
      <c r="F50" s="143"/>
      <c r="G50" s="143"/>
      <c r="H50" s="44"/>
      <c r="I50" s="44"/>
      <c r="K50" s="45"/>
      <c r="L50" s="45"/>
      <c r="M50" s="144"/>
      <c r="N50" s="44"/>
      <c r="O50" s="41">
        <f t="shared" si="0"/>
        <v>0</v>
      </c>
      <c r="P50" s="44"/>
      <c r="R50" s="45"/>
      <c r="S50" s="103"/>
    </row>
    <row r="51" spans="1:19" x14ac:dyDescent="0.25">
      <c r="A51" s="98"/>
      <c r="B51" s="45"/>
      <c r="C51" s="45"/>
      <c r="D51" s="44"/>
      <c r="E51" s="44"/>
      <c r="F51" s="143"/>
      <c r="G51" s="143"/>
      <c r="H51" s="44"/>
      <c r="I51" s="44"/>
      <c r="K51" s="45"/>
      <c r="L51" s="45"/>
      <c r="M51" s="144"/>
      <c r="N51" s="44"/>
      <c r="O51" s="41">
        <f t="shared" si="0"/>
        <v>0</v>
      </c>
      <c r="P51" s="44"/>
      <c r="R51" s="45"/>
      <c r="S51" s="103"/>
    </row>
    <row r="52" spans="1:19" x14ac:dyDescent="0.25">
      <c r="A52" s="98"/>
      <c r="B52" s="45"/>
      <c r="C52" s="45"/>
      <c r="D52" s="44"/>
      <c r="E52" s="44"/>
      <c r="F52" s="143"/>
      <c r="G52" s="143"/>
      <c r="H52" s="44"/>
      <c r="I52" s="44"/>
      <c r="K52" s="45"/>
      <c r="L52" s="45"/>
      <c r="M52" s="144"/>
      <c r="N52" s="44"/>
      <c r="O52" s="41">
        <f t="shared" si="0"/>
        <v>0</v>
      </c>
      <c r="P52" s="44"/>
      <c r="R52" s="45"/>
      <c r="S52" s="103"/>
    </row>
    <row r="53" spans="1:19" x14ac:dyDescent="0.25">
      <c r="A53" s="98"/>
      <c r="B53" s="45"/>
      <c r="C53" s="45"/>
      <c r="D53" s="44"/>
      <c r="E53" s="44"/>
      <c r="F53" s="143"/>
      <c r="G53" s="143"/>
      <c r="H53" s="44"/>
      <c r="I53" s="44"/>
      <c r="K53" s="45"/>
      <c r="L53" s="45"/>
      <c r="M53" s="144"/>
      <c r="N53" s="44"/>
      <c r="O53" s="41">
        <f t="shared" si="0"/>
        <v>0</v>
      </c>
      <c r="P53" s="44"/>
      <c r="R53" s="45"/>
      <c r="S53" s="103"/>
    </row>
    <row r="54" spans="1:19" x14ac:dyDescent="0.25">
      <c r="A54" s="98"/>
      <c r="B54" s="45"/>
      <c r="C54" s="45"/>
      <c r="D54" s="44"/>
      <c r="E54" s="44"/>
      <c r="F54" s="143"/>
      <c r="G54" s="143"/>
      <c r="H54" s="44"/>
      <c r="I54" s="44"/>
      <c r="K54" s="45"/>
      <c r="L54" s="45"/>
      <c r="M54" s="144"/>
      <c r="N54" s="44"/>
      <c r="O54" s="41">
        <f t="shared" si="0"/>
        <v>0</v>
      </c>
      <c r="P54" s="44"/>
      <c r="R54" s="45"/>
      <c r="S54" s="103"/>
    </row>
    <row r="55" spans="1:19" x14ac:dyDescent="0.25">
      <c r="A55" s="98"/>
      <c r="B55" s="45"/>
      <c r="C55" s="45"/>
      <c r="D55" s="44"/>
      <c r="E55" s="44"/>
      <c r="F55" s="143"/>
      <c r="G55" s="143"/>
      <c r="H55" s="44"/>
      <c r="I55" s="44"/>
      <c r="K55" s="45"/>
      <c r="L55" s="45"/>
      <c r="M55" s="144"/>
      <c r="N55" s="44"/>
      <c r="O55" s="41">
        <f t="shared" si="0"/>
        <v>0</v>
      </c>
      <c r="P55" s="44"/>
      <c r="R55" s="45"/>
      <c r="S55" s="103"/>
    </row>
    <row r="56" spans="1:19" x14ac:dyDescent="0.25">
      <c r="A56" s="98"/>
      <c r="B56" s="45"/>
      <c r="C56" s="45"/>
      <c r="D56" s="44"/>
      <c r="E56" s="44"/>
      <c r="F56" s="143"/>
      <c r="G56" s="143"/>
      <c r="H56" s="44"/>
      <c r="I56" s="44"/>
      <c r="K56" s="45"/>
      <c r="L56" s="45"/>
      <c r="M56" s="144"/>
      <c r="N56" s="44"/>
      <c r="O56" s="41">
        <f t="shared" si="0"/>
        <v>0</v>
      </c>
      <c r="P56" s="44"/>
      <c r="R56" s="45"/>
      <c r="S56" s="103"/>
    </row>
  </sheetData>
  <mergeCells count="7">
    <mergeCell ref="A1:D1"/>
    <mergeCell ref="B7:D7"/>
    <mergeCell ref="B2:C2"/>
    <mergeCell ref="B3:C3"/>
    <mergeCell ref="B4:C4"/>
    <mergeCell ref="B5:C5"/>
    <mergeCell ref="B6:C6"/>
  </mergeCells>
  <dataValidations count="2">
    <dataValidation type="list" allowBlank="1" showInputMessage="1" showErrorMessage="1" sqref="D17:E56" xr:uid="{00000000-0002-0000-0600-000000000000}">
      <formula1>SnowType</formula1>
    </dataValidation>
    <dataValidation type="list" allowBlank="1" showInputMessage="1" showErrorMessage="1" sqref="H17:H56" xr:uid="{00000000-0002-0000-0600-000001000000}">
      <formula1>SnowHardness</formula1>
    </dataValidation>
  </dataValidations>
  <pageMargins left="0.7" right="0.7" top="0.75" bottom="0.75" header="0.3" footer="0.3"/>
  <pageSetup paperSize="9" scale="43"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1DC2-0E58-4DC9-93FA-C101AA2B5ACB}">
  <sheetPr>
    <tabColor rgb="FF92D050"/>
  </sheetPr>
  <dimension ref="A1:F9"/>
  <sheetViews>
    <sheetView workbookViewId="0">
      <selection activeCell="E13" sqref="E13"/>
    </sheetView>
  </sheetViews>
  <sheetFormatPr defaultColWidth="11.5703125" defaultRowHeight="15" x14ac:dyDescent="0.25"/>
  <cols>
    <col min="1" max="1" width="21.140625" customWidth="1"/>
    <col min="3" max="3" width="18.42578125" style="2" customWidth="1"/>
    <col min="4" max="4" width="22.85546875" customWidth="1"/>
    <col min="5" max="5" width="13.140625" customWidth="1"/>
  </cols>
  <sheetData>
    <row r="1" spans="1:6" x14ac:dyDescent="0.25">
      <c r="A1" t="s">
        <v>324</v>
      </c>
    </row>
    <row r="2" spans="1:6" x14ac:dyDescent="0.25">
      <c r="A2" t="s">
        <v>330</v>
      </c>
    </row>
    <row r="3" spans="1:6" x14ac:dyDescent="0.25">
      <c r="A3" t="s">
        <v>235</v>
      </c>
    </row>
    <row r="5" spans="1:6" x14ac:dyDescent="0.25">
      <c r="A5" s="150" t="s">
        <v>234</v>
      </c>
      <c r="B5" s="150" t="s">
        <v>114</v>
      </c>
      <c r="C5" s="151" t="s">
        <v>236</v>
      </c>
      <c r="D5" s="150" t="s">
        <v>239</v>
      </c>
      <c r="E5" s="150" t="s">
        <v>237</v>
      </c>
      <c r="F5" s="150" t="s">
        <v>238</v>
      </c>
    </row>
    <row r="6" spans="1:6" x14ac:dyDescent="0.25">
      <c r="A6">
        <v>1</v>
      </c>
      <c r="B6" s="148" t="s">
        <v>331</v>
      </c>
      <c r="C6" s="148" t="s">
        <v>333</v>
      </c>
      <c r="D6">
        <v>1081</v>
      </c>
      <c r="E6" t="s">
        <v>334</v>
      </c>
      <c r="F6" t="s">
        <v>335</v>
      </c>
    </row>
    <row r="7" spans="1:6" x14ac:dyDescent="0.25">
      <c r="A7">
        <v>2</v>
      </c>
      <c r="B7" s="148" t="s">
        <v>332</v>
      </c>
      <c r="C7" s="148" t="s">
        <v>333</v>
      </c>
      <c r="D7">
        <v>1082</v>
      </c>
      <c r="E7" t="s">
        <v>336</v>
      </c>
      <c r="F7" t="s">
        <v>337</v>
      </c>
    </row>
    <row r="8" spans="1:6" x14ac:dyDescent="0.25">
      <c r="B8" s="149"/>
      <c r="C8" s="148"/>
    </row>
    <row r="9" spans="1:6" x14ac:dyDescent="0.25">
      <c r="B9" s="149"/>
      <c r="C9" s="148"/>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6AB6-2324-4A5A-AD40-3AB1114F1991}">
  <sheetPr>
    <tabColor rgb="FF92D050"/>
  </sheetPr>
  <dimension ref="A1:F11"/>
  <sheetViews>
    <sheetView workbookViewId="0">
      <selection activeCell="A16" sqref="A16"/>
    </sheetView>
  </sheetViews>
  <sheetFormatPr defaultColWidth="11.5703125" defaultRowHeight="15" x14ac:dyDescent="0.25"/>
  <cols>
    <col min="1" max="1" width="22" customWidth="1"/>
    <col min="3" max="3" width="18.7109375" customWidth="1"/>
    <col min="4" max="4" width="22.28515625" customWidth="1"/>
  </cols>
  <sheetData>
    <row r="1" spans="1:6" x14ac:dyDescent="0.25">
      <c r="A1" t="s">
        <v>324</v>
      </c>
    </row>
    <row r="2" spans="1:6" x14ac:dyDescent="0.25">
      <c r="A2" t="s">
        <v>325</v>
      </c>
    </row>
    <row r="3" spans="1:6" x14ac:dyDescent="0.25">
      <c r="A3" t="s">
        <v>240</v>
      </c>
    </row>
    <row r="4" spans="1:6" x14ac:dyDescent="0.25">
      <c r="A4" t="s">
        <v>243</v>
      </c>
    </row>
    <row r="6" spans="1:6" x14ac:dyDescent="0.25">
      <c r="A6" s="150" t="s">
        <v>241</v>
      </c>
      <c r="B6" s="150" t="s">
        <v>114</v>
      </c>
      <c r="C6" s="151" t="s">
        <v>236</v>
      </c>
      <c r="D6" s="150" t="s">
        <v>239</v>
      </c>
      <c r="E6" s="150" t="s">
        <v>237</v>
      </c>
      <c r="F6" s="150" t="s">
        <v>238</v>
      </c>
    </row>
    <row r="7" spans="1:6" x14ac:dyDescent="0.25">
      <c r="A7" t="s">
        <v>242</v>
      </c>
      <c r="B7" s="148" t="s">
        <v>326</v>
      </c>
      <c r="C7" s="148" t="s">
        <v>327</v>
      </c>
      <c r="D7">
        <v>1083</v>
      </c>
      <c r="E7" t="s">
        <v>328</v>
      </c>
    </row>
    <row r="8" spans="1:6" x14ac:dyDescent="0.25">
      <c r="B8" s="148"/>
      <c r="C8" s="148"/>
    </row>
    <row r="9" spans="1:6" x14ac:dyDescent="0.25">
      <c r="A9" t="s">
        <v>329</v>
      </c>
      <c r="B9" s="148"/>
      <c r="C9" s="148"/>
    </row>
    <row r="10" spans="1:6" x14ac:dyDescent="0.25">
      <c r="B10" s="148"/>
      <c r="C10" s="148"/>
    </row>
    <row r="11" spans="1:6" x14ac:dyDescent="0.25">
      <c r="B11" s="148"/>
      <c r="C11" s="1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D3C40-5F71-49DB-88A9-F964AA14077C}">
  <sheetPr>
    <tabColor rgb="FF92D050"/>
    <pageSetUpPr fitToPage="1"/>
  </sheetPr>
  <dimension ref="A1:H20"/>
  <sheetViews>
    <sheetView zoomScale="80" zoomScaleNormal="80" workbookViewId="0">
      <selection activeCell="I6" sqref="I6"/>
    </sheetView>
  </sheetViews>
  <sheetFormatPr defaultColWidth="9.140625" defaultRowHeight="15" x14ac:dyDescent="0.25"/>
  <cols>
    <col min="1" max="1" width="21.7109375" style="48" customWidth="1"/>
    <col min="2" max="4" width="15.7109375" style="48" customWidth="1"/>
    <col min="5" max="16384" width="9.140625" style="48"/>
  </cols>
  <sheetData>
    <row r="1" spans="1:8" ht="32.25" thickBot="1" x14ac:dyDescent="0.55000000000000004">
      <c r="A1" s="176" t="s">
        <v>216</v>
      </c>
      <c r="B1" s="176"/>
      <c r="C1" s="176"/>
      <c r="D1" s="113"/>
    </row>
    <row r="2" spans="1:8" x14ac:dyDescent="0.25">
      <c r="A2" s="32" t="s">
        <v>16</v>
      </c>
      <c r="B2" s="218" t="str">
        <f>CONCATENATE(ExpID,"-",StnNum,"-",StnDay)</f>
        <v>Polhavet2022-10-1</v>
      </c>
      <c r="C2" s="218"/>
      <c r="D2" s="73"/>
    </row>
    <row r="3" spans="1:8" x14ac:dyDescent="0.25">
      <c r="A3" s="33" t="s">
        <v>132</v>
      </c>
      <c r="B3" s="219"/>
      <c r="C3" s="219"/>
      <c r="D3" s="77"/>
    </row>
    <row r="4" spans="1:8" x14ac:dyDescent="0.25">
      <c r="A4" s="33" t="s">
        <v>4</v>
      </c>
      <c r="B4" s="194" t="str">
        <f>ObsDate</f>
        <v>17.08.2022</v>
      </c>
      <c r="C4" s="194"/>
      <c r="D4" s="77"/>
    </row>
    <row r="5" spans="1:8" x14ac:dyDescent="0.25">
      <c r="A5" s="34" t="s">
        <v>107</v>
      </c>
      <c r="B5" s="220"/>
      <c r="C5" s="220"/>
      <c r="D5" s="77"/>
    </row>
    <row r="6" spans="1:8" x14ac:dyDescent="0.25">
      <c r="A6" s="34" t="s">
        <v>121</v>
      </c>
      <c r="B6" s="224" t="s">
        <v>179</v>
      </c>
      <c r="C6" s="224"/>
      <c r="D6" s="77"/>
      <c r="E6" s="74"/>
      <c r="F6" s="74"/>
      <c r="G6" s="75"/>
      <c r="H6" s="76"/>
    </row>
    <row r="7" spans="1:8" ht="89.45" customHeight="1" thickBot="1" x14ac:dyDescent="0.3">
      <c r="A7" s="35" t="s">
        <v>15</v>
      </c>
      <c r="B7" s="215" t="s">
        <v>232</v>
      </c>
      <c r="C7" s="216"/>
      <c r="D7" s="217"/>
    </row>
    <row r="8" spans="1:8" x14ac:dyDescent="0.25">
      <c r="B8" s="48" t="s">
        <v>217</v>
      </c>
    </row>
    <row r="9" spans="1:8" x14ac:dyDescent="0.25">
      <c r="B9" s="48" t="s">
        <v>218</v>
      </c>
    </row>
    <row r="10" spans="1:8" x14ac:dyDescent="0.25">
      <c r="B10" s="48" t="s">
        <v>219</v>
      </c>
    </row>
    <row r="11" spans="1:8" x14ac:dyDescent="0.25">
      <c r="B11" s="48" t="s">
        <v>220</v>
      </c>
    </row>
    <row r="12" spans="1:8" x14ac:dyDescent="0.25">
      <c r="B12" s="48" t="s">
        <v>221</v>
      </c>
    </row>
    <row r="13" spans="1:8" x14ac:dyDescent="0.25">
      <c r="B13" s="48" t="s">
        <v>222</v>
      </c>
    </row>
    <row r="14" spans="1:8" x14ac:dyDescent="0.25">
      <c r="B14" s="48" t="s">
        <v>223</v>
      </c>
    </row>
    <row r="15" spans="1:8" x14ac:dyDescent="0.25">
      <c r="B15" s="48" t="s">
        <v>224</v>
      </c>
    </row>
    <row r="16" spans="1:8" x14ac:dyDescent="0.25">
      <c r="B16" s="48" t="s">
        <v>225</v>
      </c>
    </row>
    <row r="17" spans="2:2" x14ac:dyDescent="0.25">
      <c r="B17" s="48" t="s">
        <v>226</v>
      </c>
    </row>
    <row r="18" spans="2:2" x14ac:dyDescent="0.25">
      <c r="B18" s="48" t="s">
        <v>227</v>
      </c>
    </row>
    <row r="19" spans="2:2" x14ac:dyDescent="0.25">
      <c r="B19" s="48" t="s">
        <v>228</v>
      </c>
    </row>
    <row r="20" spans="2:2" x14ac:dyDescent="0.25">
      <c r="B20" s="48" t="s">
        <v>229</v>
      </c>
    </row>
  </sheetData>
  <mergeCells count="7">
    <mergeCell ref="B7:D7"/>
    <mergeCell ref="A1:C1"/>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H15"/>
  <sheetViews>
    <sheetView zoomScale="80" zoomScaleNormal="80" workbookViewId="0">
      <selection activeCell="L18" sqref="L18"/>
    </sheetView>
  </sheetViews>
  <sheetFormatPr defaultColWidth="9.140625" defaultRowHeight="15" x14ac:dyDescent="0.25"/>
  <cols>
    <col min="1" max="1" width="21.7109375" style="48" customWidth="1"/>
    <col min="2" max="4" width="15.7109375" style="48" customWidth="1"/>
    <col min="5" max="16384" width="9.140625" style="48"/>
  </cols>
  <sheetData>
    <row r="1" spans="1:8" ht="32.25" thickBot="1" x14ac:dyDescent="0.55000000000000004">
      <c r="A1" s="176" t="s">
        <v>73</v>
      </c>
      <c r="B1" s="176"/>
      <c r="C1" s="176"/>
      <c r="D1" s="113"/>
    </row>
    <row r="2" spans="1:8" x14ac:dyDescent="0.25">
      <c r="A2" s="32" t="s">
        <v>16</v>
      </c>
      <c r="B2" s="218" t="str">
        <f>CONCATENATE(ExpID,"-",StnNum,"-",StnDay)</f>
        <v>Polhavet2022-10-1</v>
      </c>
      <c r="C2" s="218"/>
      <c r="D2" s="73"/>
    </row>
    <row r="3" spans="1:8" x14ac:dyDescent="0.25">
      <c r="A3" s="33" t="s">
        <v>132</v>
      </c>
      <c r="B3" s="219"/>
      <c r="C3" s="219"/>
      <c r="D3" s="77"/>
    </row>
    <row r="4" spans="1:8" x14ac:dyDescent="0.25">
      <c r="A4" s="33" t="s">
        <v>4</v>
      </c>
      <c r="B4" s="194" t="str">
        <f>ObsDate</f>
        <v>17.08.2022</v>
      </c>
      <c r="C4" s="194"/>
      <c r="D4" s="77"/>
    </row>
    <row r="5" spans="1:8" x14ac:dyDescent="0.25">
      <c r="A5" s="34" t="s">
        <v>107</v>
      </c>
      <c r="B5" s="220"/>
      <c r="C5" s="220"/>
      <c r="D5" s="77"/>
    </row>
    <row r="6" spans="1:8" x14ac:dyDescent="0.25">
      <c r="A6" s="34" t="s">
        <v>121</v>
      </c>
      <c r="B6" s="224"/>
      <c r="C6" s="224"/>
      <c r="D6" s="77"/>
      <c r="E6" s="74"/>
      <c r="F6" s="74"/>
      <c r="G6" s="75"/>
      <c r="H6" s="76"/>
    </row>
    <row r="7" spans="1:8" ht="30" customHeight="1" thickBot="1" x14ac:dyDescent="0.3">
      <c r="A7" s="35" t="s">
        <v>15</v>
      </c>
      <c r="B7" s="215" t="s">
        <v>252</v>
      </c>
      <c r="C7" s="216"/>
      <c r="D7" s="217"/>
    </row>
    <row r="11" spans="1:8" x14ac:dyDescent="0.25">
      <c r="A11" s="48" t="s">
        <v>244</v>
      </c>
      <c r="B11" s="157" t="s">
        <v>249</v>
      </c>
      <c r="C11" s="157" t="s">
        <v>250</v>
      </c>
      <c r="D11" s="157" t="s">
        <v>251</v>
      </c>
      <c r="E11" s="157" t="s">
        <v>249</v>
      </c>
    </row>
    <row r="12" spans="1:8" x14ac:dyDescent="0.25">
      <c r="A12" s="115" t="s">
        <v>245</v>
      </c>
    </row>
    <row r="13" spans="1:8" x14ac:dyDescent="0.25">
      <c r="A13" s="115" t="s">
        <v>246</v>
      </c>
    </row>
    <row r="14" spans="1:8" x14ac:dyDescent="0.25">
      <c r="A14" s="115" t="s">
        <v>247</v>
      </c>
    </row>
    <row r="15" spans="1:8" x14ac:dyDescent="0.25">
      <c r="A15" s="115" t="s">
        <v>248</v>
      </c>
    </row>
  </sheetData>
  <mergeCells count="7">
    <mergeCell ref="A1:C1"/>
    <mergeCell ref="B7:D7"/>
    <mergeCell ref="B2:C2"/>
    <mergeCell ref="B3:C3"/>
    <mergeCell ref="B4:C4"/>
    <mergeCell ref="B5:C5"/>
    <mergeCell ref="B6:C6"/>
  </mergeCells>
  <pageMargins left="0.7" right="0.7" top="0.75" bottom="0.75" header="0.3" footer="0.3"/>
  <pageSetup paperSize="9" scale="77" fitToHeight="0" orientation="landscape"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rgb="FF7030A0"/>
    <pageSetUpPr fitToPage="1"/>
  </sheetPr>
  <dimension ref="A1:O27"/>
  <sheetViews>
    <sheetView workbookViewId="0">
      <selection activeCell="F22" sqref="F22"/>
    </sheetView>
  </sheetViews>
  <sheetFormatPr defaultColWidth="9.140625" defaultRowHeight="15" x14ac:dyDescent="0.25"/>
  <cols>
    <col min="1" max="1" width="22.7109375" bestFit="1" customWidth="1"/>
    <col min="2" max="2" width="24.7109375" bestFit="1" customWidth="1"/>
    <col min="3" max="3" width="62.28515625" bestFit="1" customWidth="1"/>
    <col min="4" max="4" width="14.42578125" bestFit="1" customWidth="1"/>
    <col min="5" max="5" width="12.42578125" customWidth="1"/>
    <col min="7" max="15" width="9.140625" style="2"/>
  </cols>
  <sheetData>
    <row r="1" spans="1:15" s="1" customFormat="1" x14ac:dyDescent="0.25">
      <c r="A1" s="3" t="s">
        <v>18</v>
      </c>
      <c r="B1" s="3" t="s">
        <v>19</v>
      </c>
      <c r="C1" s="3" t="s">
        <v>11</v>
      </c>
      <c r="D1" s="3" t="s">
        <v>85</v>
      </c>
      <c r="E1" s="3" t="s">
        <v>93</v>
      </c>
      <c r="F1" s="3" t="s">
        <v>162</v>
      </c>
      <c r="G1" s="22"/>
      <c r="H1" s="22"/>
      <c r="I1" s="22"/>
      <c r="J1" s="22"/>
      <c r="K1" s="2"/>
      <c r="L1" s="2"/>
      <c r="M1" s="2"/>
      <c r="N1" s="2"/>
      <c r="O1" s="2"/>
    </row>
    <row r="2" spans="1:15" x14ac:dyDescent="0.25">
      <c r="A2" t="s">
        <v>44</v>
      </c>
      <c r="B2" t="s">
        <v>21</v>
      </c>
      <c r="C2" t="s">
        <v>12</v>
      </c>
      <c r="D2" t="s">
        <v>86</v>
      </c>
      <c r="E2" t="s">
        <v>94</v>
      </c>
      <c r="F2" t="s">
        <v>163</v>
      </c>
    </row>
    <row r="3" spans="1:15" x14ac:dyDescent="0.25">
      <c r="A3" t="s">
        <v>45</v>
      </c>
      <c r="B3" t="s">
        <v>22</v>
      </c>
      <c r="C3" t="s">
        <v>23</v>
      </c>
      <c r="D3" t="s">
        <v>87</v>
      </c>
      <c r="E3" t="s">
        <v>95</v>
      </c>
      <c r="F3" t="s">
        <v>164</v>
      </c>
    </row>
    <row r="4" spans="1:15" x14ac:dyDescent="0.25">
      <c r="A4" t="s">
        <v>46</v>
      </c>
      <c r="B4" t="s">
        <v>10</v>
      </c>
      <c r="C4" t="s">
        <v>24</v>
      </c>
      <c r="D4" t="s">
        <v>88</v>
      </c>
      <c r="E4" t="s">
        <v>96</v>
      </c>
    </row>
    <row r="5" spans="1:15" x14ac:dyDescent="0.25">
      <c r="A5" t="s">
        <v>47</v>
      </c>
      <c r="B5" t="s">
        <v>25</v>
      </c>
      <c r="C5" t="s">
        <v>26</v>
      </c>
      <c r="D5" t="s">
        <v>89</v>
      </c>
      <c r="E5" t="s">
        <v>97</v>
      </c>
    </row>
    <row r="6" spans="1:15" x14ac:dyDescent="0.25">
      <c r="A6" t="s">
        <v>48</v>
      </c>
      <c r="C6" t="s">
        <v>27</v>
      </c>
      <c r="D6" t="s">
        <v>90</v>
      </c>
      <c r="E6" t="s">
        <v>98</v>
      </c>
    </row>
    <row r="7" spans="1:15" x14ac:dyDescent="0.25">
      <c r="A7" t="s">
        <v>49</v>
      </c>
      <c r="C7" t="s">
        <v>28</v>
      </c>
      <c r="D7" t="s">
        <v>91</v>
      </c>
      <c r="E7" t="s">
        <v>99</v>
      </c>
    </row>
    <row r="8" spans="1:15" x14ac:dyDescent="0.25">
      <c r="A8" t="s">
        <v>50</v>
      </c>
      <c r="C8" t="s">
        <v>29</v>
      </c>
      <c r="D8" t="s">
        <v>92</v>
      </c>
      <c r="E8" t="s">
        <v>100</v>
      </c>
    </row>
    <row r="9" spans="1:15" x14ac:dyDescent="0.25">
      <c r="A9" t="s">
        <v>51</v>
      </c>
      <c r="C9" t="s">
        <v>30</v>
      </c>
      <c r="D9" t="s">
        <v>106</v>
      </c>
      <c r="E9" t="s">
        <v>101</v>
      </c>
    </row>
    <row r="10" spans="1:15" x14ac:dyDescent="0.25">
      <c r="A10" t="s">
        <v>52</v>
      </c>
      <c r="C10" t="s">
        <v>31</v>
      </c>
      <c r="E10" t="s">
        <v>102</v>
      </c>
    </row>
    <row r="11" spans="1:15" x14ac:dyDescent="0.25">
      <c r="A11" t="s">
        <v>53</v>
      </c>
      <c r="C11" t="s">
        <v>32</v>
      </c>
      <c r="E11" t="s">
        <v>103</v>
      </c>
    </row>
    <row r="12" spans="1:15" x14ac:dyDescent="0.25">
      <c r="A12" t="s">
        <v>54</v>
      </c>
      <c r="C12" t="s">
        <v>33</v>
      </c>
      <c r="E12" t="s">
        <v>104</v>
      </c>
    </row>
    <row r="13" spans="1:15" x14ac:dyDescent="0.25">
      <c r="A13" t="s">
        <v>55</v>
      </c>
      <c r="C13" t="s">
        <v>34</v>
      </c>
      <c r="E13" t="s">
        <v>105</v>
      </c>
    </row>
    <row r="14" spans="1:15" x14ac:dyDescent="0.25">
      <c r="A14" s="1" t="s">
        <v>5</v>
      </c>
      <c r="C14" t="s">
        <v>35</v>
      </c>
    </row>
    <row r="15" spans="1:15" x14ac:dyDescent="0.25">
      <c r="A15" s="1" t="s">
        <v>67</v>
      </c>
      <c r="C15" t="s">
        <v>36</v>
      </c>
    </row>
    <row r="16" spans="1:15" x14ac:dyDescent="0.25">
      <c r="A16" s="1" t="s">
        <v>66</v>
      </c>
      <c r="C16" t="s">
        <v>37</v>
      </c>
    </row>
    <row r="17" spans="1:6" x14ac:dyDescent="0.25">
      <c r="A17" t="s">
        <v>56</v>
      </c>
    </row>
    <row r="18" spans="1:6" x14ac:dyDescent="0.25">
      <c r="A18" t="s">
        <v>57</v>
      </c>
    </row>
    <row r="19" spans="1:6" x14ac:dyDescent="0.25">
      <c r="A19" t="s">
        <v>58</v>
      </c>
    </row>
    <row r="20" spans="1:6" x14ac:dyDescent="0.25">
      <c r="A20" t="s">
        <v>59</v>
      </c>
    </row>
    <row r="21" spans="1:6" x14ac:dyDescent="0.25">
      <c r="A21" t="s">
        <v>60</v>
      </c>
    </row>
    <row r="22" spans="1:6" x14ac:dyDescent="0.25">
      <c r="A22" t="s">
        <v>61</v>
      </c>
    </row>
    <row r="23" spans="1:6" x14ac:dyDescent="0.25">
      <c r="A23" t="s">
        <v>62</v>
      </c>
    </row>
    <row r="24" spans="1:6" x14ac:dyDescent="0.25">
      <c r="A24" t="s">
        <v>63</v>
      </c>
    </row>
    <row r="25" spans="1:6" x14ac:dyDescent="0.25">
      <c r="A25" t="s">
        <v>64</v>
      </c>
    </row>
    <row r="26" spans="1:6" x14ac:dyDescent="0.25">
      <c r="A26" t="s">
        <v>65</v>
      </c>
    </row>
    <row r="27" spans="1:6" x14ac:dyDescent="0.25">
      <c r="F27" s="2"/>
    </row>
  </sheetData>
  <pageMargins left="0.7" right="0.7" top="0.75" bottom="0.75" header="0.3" footer="0.3"/>
  <pageSetup paperSize="9" scale="71"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ED8E88-428B-40CB-B2F1-3F79044F6C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22</vt:i4>
      </vt:variant>
    </vt:vector>
  </HeadingPairs>
  <TitlesOfParts>
    <vt:vector size="36" baseType="lpstr">
      <vt:lpstr>Station Overview</vt:lpstr>
      <vt:lpstr>Thickness Drilling</vt:lpstr>
      <vt:lpstr>Salinity Core</vt:lpstr>
      <vt:lpstr>Temperature Core</vt:lpstr>
      <vt:lpstr>Archive Core</vt:lpstr>
      <vt:lpstr>Density Core</vt:lpstr>
      <vt:lpstr>Chemistry core</vt:lpstr>
      <vt:lpstr>Texture Core</vt:lpstr>
      <vt:lpstr>Snow Pit</vt:lpstr>
      <vt:lpstr>Meltpond</vt:lpstr>
      <vt:lpstr>Under Ice Water</vt:lpstr>
      <vt:lpstr>Floe GPS survey</vt:lpstr>
      <vt:lpstr>CTD</vt:lpstr>
      <vt:lpstr>Lists</vt:lpstr>
      <vt:lpstr>asdfasdf</vt:lpstr>
      <vt:lpstr>ExpID</vt:lpstr>
      <vt:lpstr>GeneralConditions</vt:lpstr>
      <vt:lpstr>ObsDate</vt:lpstr>
      <vt:lpstr>'Archive Core'!Print_Area</vt:lpstr>
      <vt:lpstr>'Chemistry core'!Print_Area</vt:lpstr>
      <vt:lpstr>CTD!Print_Area</vt:lpstr>
      <vt:lpstr>'Density Core'!Print_Area</vt:lpstr>
      <vt:lpstr>'Floe GPS survey'!Print_Area</vt:lpstr>
      <vt:lpstr>'Salinity Core'!Print_Area</vt:lpstr>
      <vt:lpstr>'Snow Pit'!Print_Area</vt:lpstr>
      <vt:lpstr>'Station Overview'!Print_Area</vt:lpstr>
      <vt:lpstr>'Temperature Core'!Print_Area</vt:lpstr>
      <vt:lpstr>'Texture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 Bjørdal</dc:creator>
  <cp:lastModifiedBy>Evgenii Salganik</cp:lastModifiedBy>
  <cp:lastPrinted>2011-02-07T12:20:41Z</cp:lastPrinted>
  <dcterms:created xsi:type="dcterms:W3CDTF">2011-01-27T20:27:49Z</dcterms:created>
  <dcterms:modified xsi:type="dcterms:W3CDTF">2026-05-20T09:30:33Z</dcterms:modified>
  <cp:contentStatus>Rev. September 2011</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