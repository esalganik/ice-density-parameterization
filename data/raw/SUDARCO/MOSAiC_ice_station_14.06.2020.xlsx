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UDARCO\Data\"/>
    </mc:Choice>
  </mc:AlternateContent>
  <xr:revisionPtr revIDLastSave="0" documentId="13_ncr:1_{8D7BB21F-2315-43AB-B01C-BF3FF9C118F2}" xr6:coauthVersionLast="47" xr6:coauthVersionMax="47" xr10:uidLastSave="{00000000-0000-0000-0000-000000000000}"/>
  <bookViews>
    <workbookView xWindow="19095" yWindow="0" windowWidth="19410" windowHeight="20985" tabRatio="766" activeTab="2" xr2:uid="{00000000-000D-0000-FFFF-FFFF00000000}"/>
  </bookViews>
  <sheets>
    <sheet name="Station Overview" sheetId="1" r:id="rId1"/>
    <sheet name="Temperature Core" sheetId="15" r:id="rId2"/>
    <sheet name="Density Core" sheetId="14" r:id="rId3"/>
  </sheets>
  <externalReferences>
    <externalReference r:id="rId4"/>
  </externalReferences>
  <definedNames>
    <definedName name="asdfasdf">'Station Overview'!$B$16</definedName>
    <definedName name="EM_IDs">OFFSET(#REF!,0,0,[1]StationOverview!$J$8)</definedName>
    <definedName name="ExpID">'Station Overview'!$B$4</definedName>
    <definedName name="GeneralConditions">#REF!</definedName>
    <definedName name="ObsDate">'Station Overview'!$B$17</definedName>
    <definedName name="_xlnm.Print_Area" localSheetId="2">'Density Core'!$A$1:$I$36</definedName>
    <definedName name="_xlnm.Print_Area" localSheetId="0">'Station Overview'!$A$1:$F$37</definedName>
    <definedName name="_xlnm.Print_Area" localSheetId="1">'Temperature Core'!$A$1:$H$46</definedName>
    <definedName name="SnowHardness">#REF!</definedName>
    <definedName name="SnowType">#REF!</definedName>
    <definedName name="StationTypes">#REF!</definedName>
    <definedName name="StnDay">'Station Overview'!$B$6</definedName>
    <definedName name="StnNum">'Station Overview'!$B$5</definedName>
    <definedName name="TimeZones">#REF!</definedName>
    <definedName name="Yes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4" i="14" l="1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43" i="14"/>
  <c r="G42" i="14"/>
  <c r="G37" i="14"/>
  <c r="G38" i="14"/>
  <c r="G39" i="14"/>
  <c r="G40" i="14"/>
  <c r="G41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B2" i="15" l="1"/>
  <c r="B4" i="15"/>
  <c r="B4" i="14" l="1"/>
  <c r="B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F0268-E997-47FF-B388-3C34179CE737}" keepAlive="1" name="Query - 2022-08-05" description="Connection to the '2022-08-05' query in the workbook." type="5" refreshedVersion="0" background="1">
    <dbPr connection="Provider=Microsoft.Mashup.OleDb.1;Data Source=$Workbook$;Location=2022-08-05;Extended Properties=&quot;&quot;" command="SELECT * FROM [2022-08-05]"/>
  </connection>
</connections>
</file>

<file path=xl/sharedStrings.xml><?xml version="1.0" encoding="utf-8"?>
<sst xmlns="http://schemas.openxmlformats.org/spreadsheetml/2006/main" count="148" uniqueCount="124">
  <si>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</si>
  <si>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</si>
  <si>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</si>
  <si>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</si>
  <si>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</si>
  <si>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</si>
  <si>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</si>
  <si>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</si>
  <si>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</si>
  <si>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</si>
  <si>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</si>
  <si>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</si>
  <si>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Comments</t>
  </si>
  <si>
    <t>Explanation</t>
  </si>
  <si>
    <t>General comments</t>
  </si>
  <si>
    <t>Station</t>
  </si>
  <si>
    <t>Melting snow</t>
  </si>
  <si>
    <t>Starting Latitude</t>
  </si>
  <si>
    <t>Starting Longitude</t>
  </si>
  <si>
    <t>Ending Latitude</t>
  </si>
  <si>
    <t>Ending Longitude</t>
  </si>
  <si>
    <t>Ending Date</t>
  </si>
  <si>
    <t>Ending Time</t>
  </si>
  <si>
    <t>Ice Station Name</t>
  </si>
  <si>
    <t>Starting Position</t>
  </si>
  <si>
    <t>Ending Position</t>
  </si>
  <si>
    <t>Station Description</t>
  </si>
  <si>
    <t>Temperatures:</t>
  </si>
  <si>
    <t>Time</t>
  </si>
  <si>
    <t>Temperature Core</t>
  </si>
  <si>
    <t>Thickness:</t>
  </si>
  <si>
    <t>Temperature [°C]</t>
  </si>
  <si>
    <t>Sampling box: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</si>
  <si>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</si>
  <si>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</si>
  <si>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</si>
  <si>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</si>
  <si>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</si>
  <si>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</si>
  <si>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</si>
  <si>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</si>
  <si>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</si>
  <si>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</si>
  <si>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</si>
  <si>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</si>
  <si>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</si>
  <si>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Site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</si>
  <si>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</si>
  <si>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</si>
  <si>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</si>
  <si>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</si>
  <si>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</si>
  <si>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</si>
  <si>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</si>
  <si>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</si>
  <si>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</si>
  <si>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</si>
  <si>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</si>
  <si>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</si>
  <si>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</si>
  <si>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</si>
  <si>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</si>
  <si>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</si>
  <si>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</si>
  <si>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Stn. Number</t>
  </si>
  <si>
    <t>Exp. ID</t>
  </si>
  <si>
    <t>Time zone used</t>
  </si>
  <si>
    <t>Starting Date</t>
  </si>
  <si>
    <t>Starting Time</t>
  </si>
  <si>
    <t>Associate with station</t>
  </si>
  <si>
    <t>Core Kept for Texture Analasis?</t>
  </si>
  <si>
    <t>Total core length [cm]</t>
  </si>
  <si>
    <t>Ice depth (from top) [cm]</t>
  </si>
  <si>
    <t>T water ship -1.5</t>
  </si>
  <si>
    <t>or 0.5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</si>
  <si>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</si>
  <si>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</si>
  <si>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</si>
  <si>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</si>
  <si>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</si>
  <si>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Rho parafin=</t>
  </si>
  <si>
    <t>T lab=</t>
  </si>
  <si>
    <t>conductivity and sample temperatures avaiable in the lab density logbook</t>
  </si>
  <si>
    <t>MOSAiC</t>
  </si>
  <si>
    <t>Benjamin Lange, Evgenii Salganik</t>
  </si>
  <si>
    <t>14.06.2020</t>
  </si>
  <si>
    <t>BL, ES</t>
  </si>
  <si>
    <t>D1</t>
  </si>
  <si>
    <t>D2</t>
  </si>
  <si>
    <t>D3</t>
  </si>
  <si>
    <t>D4</t>
  </si>
  <si>
    <t>D5</t>
  </si>
  <si>
    <t>D6</t>
  </si>
  <si>
    <t>D21</t>
  </si>
  <si>
    <t>D9</t>
  </si>
  <si>
    <t>D10</t>
  </si>
  <si>
    <t>D20</t>
  </si>
  <si>
    <t>D30</t>
  </si>
  <si>
    <t>D15</t>
  </si>
  <si>
    <t>D12</t>
  </si>
  <si>
    <t>D14</t>
  </si>
  <si>
    <t>D24</t>
  </si>
  <si>
    <t>D18</t>
  </si>
  <si>
    <t>D23</t>
  </si>
  <si>
    <t>D26</t>
  </si>
  <si>
    <t>D25</t>
  </si>
  <si>
    <t>D28</t>
  </si>
  <si>
    <t>D34</t>
  </si>
  <si>
    <t>D33</t>
  </si>
  <si>
    <t>D31</t>
  </si>
  <si>
    <t>D47</t>
  </si>
  <si>
    <t>D43</t>
  </si>
  <si>
    <t>D44</t>
  </si>
  <si>
    <t>D16</t>
  </si>
  <si>
    <t>D29</t>
  </si>
  <si>
    <t>D57</t>
  </si>
  <si>
    <t>D56</t>
  </si>
  <si>
    <t>D45</t>
  </si>
  <si>
    <t>D35</t>
  </si>
  <si>
    <t>D42</t>
  </si>
  <si>
    <t>D54</t>
  </si>
  <si>
    <t>D59</t>
  </si>
  <si>
    <t>D40</t>
  </si>
  <si>
    <t>D32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</si>
</sst>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#"/>
    <numFmt numFmtId="165" formatCode="dd/mm/yyyy;@"/>
    <numFmt numFmtId="166" formatCode="0.0000"/>
    <numFmt numFmtId="167" formatCode="hh:mm;@"/>
    <numFmt numFmtId="168" formatCode="0.0&quot; °C&quot;"/>
    <numFmt numFmtId="169" formatCode="&quot;Yes&quot;;&quot;Yes&quot;;&quot;No&quot;"/>
    <numFmt numFmtId="170" formatCode="0&quot; cm&quot;"/>
    <numFmt numFmtId="171" formatCode="0&quot; cm²&quot;"/>
    <numFmt numFmtId="172" formatCode="0.0&quot; cm&quot;"/>
    <numFmt numFmtId="173" formatCode="dd/mm/yy;@"/>
  </numFmts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7">
    <xf numFmtId="0" fontId="0" fillId="0" borderId="0" xfId="0"/>
    <xf numFmtId="166" fontId="0" fillId="3" borderId="4" xfId="0" applyNumberFormat="1" applyFill="1" applyBorder="1"/>
    <xf numFmtId="0" fontId="0" fillId="3" borderId="5" xfId="0" applyFill="1" applyBorder="1"/>
    <xf numFmtId="0" fontId="3" fillId="3" borderId="4" xfId="0" applyFont="1" applyFill="1" applyBorder="1" applyAlignment="1">
      <alignment horizontal="center" wrapText="1"/>
    </xf>
    <xf numFmtId="49" fontId="0" fillId="3" borderId="9" xfId="0" applyNumberFormat="1" applyFill="1" applyBorder="1" applyAlignment="1">
      <alignment wrapText="1"/>
    </xf>
    <xf numFmtId="49" fontId="0" fillId="3" borderId="11" xfId="0" applyNumberFormat="1" applyFill="1" applyBorder="1" applyAlignment="1">
      <alignment wrapText="1"/>
    </xf>
    <xf numFmtId="49" fontId="0" fillId="3" borderId="14" xfId="0" applyNumberFormat="1" applyFill="1" applyBorder="1" applyAlignment="1">
      <alignment wrapText="1"/>
    </xf>
    <xf numFmtId="0" fontId="3" fillId="3" borderId="18" xfId="0" applyFont="1" applyFill="1" applyBorder="1" applyAlignment="1">
      <alignment vertical="top" wrapText="1"/>
    </xf>
    <xf numFmtId="0" fontId="0" fillId="3" borderId="6" xfId="0" applyFill="1" applyBorder="1"/>
    <xf numFmtId="0" fontId="0" fillId="3" borderId="9" xfId="0" applyFill="1" applyBorder="1"/>
    <xf numFmtId="0" fontId="0" fillId="3" borderId="15" xfId="0" applyFill="1" applyBorder="1"/>
    <xf numFmtId="0" fontId="0" fillId="3" borderId="11" xfId="0" applyFill="1" applyBorder="1"/>
    <xf numFmtId="166" fontId="0" fillId="3" borderId="12" xfId="0" applyNumberFormat="1" applyFill="1" applyBorder="1"/>
    <xf numFmtId="0" fontId="0" fillId="3" borderId="9" xfId="0" applyFill="1" applyBorder="1" applyAlignment="1">
      <alignment vertical="top"/>
    </xf>
    <xf numFmtId="0" fontId="0" fillId="3" borderId="11" xfId="0" applyFill="1" applyBorder="1" applyAlignment="1">
      <alignment vertical="top"/>
    </xf>
    <xf numFmtId="0" fontId="5" fillId="3" borderId="6" xfId="0" applyFont="1" applyFill="1" applyBorder="1"/>
    <xf numFmtId="0" fontId="5" fillId="3" borderId="9" xfId="0" applyFont="1" applyFill="1" applyBorder="1"/>
    <xf numFmtId="0" fontId="5" fillId="3" borderId="24" xfId="0" applyFont="1" applyFill="1" applyBorder="1"/>
    <xf numFmtId="0" fontId="5" fillId="3" borderId="11" xfId="0" applyFont="1" applyFill="1" applyBorder="1" applyAlignment="1">
      <alignment vertical="top"/>
    </xf>
    <xf numFmtId="170" fontId="0" fillId="3" borderId="13" xfId="0" applyNumberFormat="1" applyFill="1" applyBorder="1"/>
    <xf numFmtId="0" fontId="3" fillId="3" borderId="16" xfId="0" applyFont="1" applyFill="1" applyBorder="1"/>
    <xf numFmtId="0" fontId="3" fillId="3" borderId="18" xfId="0" applyFont="1" applyFill="1" applyBorder="1"/>
    <xf numFmtId="0" fontId="3" fillId="3" borderId="17" xfId="0" applyFont="1" applyFill="1" applyBorder="1"/>
    <xf numFmtId="49" fontId="5" fillId="4" borderId="2" xfId="0" applyNumberFormat="1" applyFont="1" applyFill="1" applyBorder="1" applyAlignment="1" applyProtection="1">
      <alignment horizontal="right"/>
      <protection locked="0"/>
    </xf>
    <xf numFmtId="0" fontId="0" fillId="4" borderId="4" xfId="0" applyFill="1" applyBorder="1"/>
    <xf numFmtId="170" fontId="0" fillId="4" borderId="4" xfId="0" applyNumberFormat="1" applyFill="1" applyBorder="1" applyAlignment="1">
      <alignment horizontal="right"/>
    </xf>
    <xf numFmtId="0" fontId="0" fillId="4" borderId="4" xfId="0" applyFill="1" applyBorder="1" applyProtection="1">
      <protection locked="0"/>
    </xf>
    <xf numFmtId="0" fontId="0" fillId="5" borderId="16" xfId="0" applyFill="1" applyBorder="1"/>
    <xf numFmtId="0" fontId="2" fillId="6" borderId="0" xfId="0" applyFont="1" applyFill="1"/>
    <xf numFmtId="0" fontId="0" fillId="6" borderId="0" xfId="0" applyFill="1"/>
    <xf numFmtId="0" fontId="4" fillId="6" borderId="0" xfId="1" applyFont="1" applyFill="1" applyBorder="1"/>
    <xf numFmtId="0" fontId="3" fillId="6" borderId="0" xfId="0" applyFont="1" applyFill="1"/>
    <xf numFmtId="0" fontId="2" fillId="6" borderId="0" xfId="0" applyFont="1" applyFill="1" applyAlignment="1">
      <alignment wrapText="1"/>
    </xf>
    <xf numFmtId="0" fontId="0" fillId="6" borderId="9" xfId="0" applyFill="1" applyBorder="1"/>
    <xf numFmtId="0" fontId="0" fillId="6" borderId="0" xfId="0" applyFill="1" applyAlignment="1">
      <alignment vertical="top"/>
    </xf>
    <xf numFmtId="0" fontId="0" fillId="6" borderId="0" xfId="0" applyFill="1" applyAlignment="1">
      <alignment vertical="top" wrapText="1"/>
    </xf>
    <xf numFmtId="0" fontId="0" fillId="6" borderId="20" xfId="0" applyFill="1" applyBorder="1"/>
    <xf numFmtId="0" fontId="0" fillId="6" borderId="21" xfId="0" applyFill="1" applyBorder="1"/>
    <xf numFmtId="20" fontId="0" fillId="6" borderId="21" xfId="0" applyNumberFormat="1" applyFill="1" applyBorder="1"/>
    <xf numFmtId="0" fontId="0" fillId="6" borderId="4" xfId="0" applyFill="1" applyBorder="1"/>
    <xf numFmtId="167" fontId="0" fillId="6" borderId="0" xfId="0" applyNumberFormat="1" applyFill="1"/>
    <xf numFmtId="20" fontId="0" fillId="6" borderId="0" xfId="0" applyNumberFormat="1" applyFill="1"/>
    <xf numFmtId="164" fontId="0" fillId="6" borderId="0" xfId="0" applyNumberFormat="1" applyFill="1"/>
    <xf numFmtId="49" fontId="0" fillId="6" borderId="0" xfId="0" quotePrefix="1" applyNumberFormat="1" applyFill="1"/>
    <xf numFmtId="0" fontId="0" fillId="6" borderId="16" xfId="0" applyFill="1" applyBorder="1" applyAlignment="1">
      <alignment vertical="top"/>
    </xf>
    <xf numFmtId="0" fontId="0" fillId="6" borderId="0" xfId="0" applyFill="1" applyProtection="1">
      <protection locked="0"/>
    </xf>
    <xf numFmtId="167" fontId="0" fillId="4" borderId="1" xfId="0" applyNumberFormat="1" applyFill="1" applyBorder="1" applyProtection="1">
      <protection locked="0"/>
    </xf>
    <xf numFmtId="0" fontId="0" fillId="4" borderId="10" xfId="0" applyFill="1" applyBorder="1" applyProtection="1">
      <protection locked="0"/>
    </xf>
    <xf numFmtId="0" fontId="0" fillId="4" borderId="12" xfId="0" applyFill="1" applyBorder="1" applyProtection="1">
      <protection locked="0"/>
    </xf>
    <xf numFmtId="0" fontId="0" fillId="4" borderId="13" xfId="0" applyFill="1" applyBorder="1" applyProtection="1">
      <protection locked="0"/>
    </xf>
    <xf numFmtId="0" fontId="0" fillId="4" borderId="15" xfId="0" applyFill="1" applyBorder="1" applyAlignment="1" applyProtection="1">
      <alignment horizontal="left" wrapText="1"/>
      <protection locked="0"/>
    </xf>
    <xf numFmtId="0" fontId="0" fillId="4" borderId="10" xfId="0" applyFill="1" applyBorder="1" applyAlignment="1" applyProtection="1">
      <alignment horizontal="left"/>
      <protection locked="0"/>
    </xf>
    <xf numFmtId="0" fontId="0" fillId="4" borderId="13" xfId="0" applyFill="1" applyBorder="1" applyAlignment="1" applyProtection="1">
      <alignment horizontal="left"/>
      <protection locked="0"/>
    </xf>
    <xf numFmtId="0" fontId="5" fillId="6" borderId="19" xfId="0" applyFont="1" applyFill="1" applyBorder="1" applyAlignment="1">
      <alignment vertical="top"/>
    </xf>
    <xf numFmtId="0" fontId="5" fillId="6" borderId="0" xfId="0" applyFont="1" applyFill="1" applyAlignment="1">
      <alignment vertical="top" wrapText="1"/>
    </xf>
    <xf numFmtId="0" fontId="5" fillId="6" borderId="0" xfId="0" applyFont="1" applyFill="1" applyAlignment="1">
      <alignment horizontal="right"/>
    </xf>
    <xf numFmtId="0" fontId="5" fillId="6" borderId="0" xfId="0" applyFont="1" applyFill="1"/>
    <xf numFmtId="0" fontId="5" fillId="6" borderId="23" xfId="0" applyFont="1" applyFill="1" applyBorder="1" applyAlignment="1">
      <alignment vertical="top"/>
    </xf>
    <xf numFmtId="0" fontId="0" fillId="4" borderId="5" xfId="0" applyFill="1" applyBorder="1" applyProtection="1">
      <protection locked="0"/>
    </xf>
    <xf numFmtId="169" fontId="5" fillId="6" borderId="0" xfId="0" applyNumberFormat="1" applyFont="1" applyFill="1" applyAlignment="1">
      <alignment vertical="top" wrapText="1"/>
    </xf>
    <xf numFmtId="0" fontId="0" fillId="6" borderId="7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2" xfId="0" applyFill="1" applyBorder="1"/>
    <xf numFmtId="168" fontId="0" fillId="4" borderId="8" xfId="0" applyNumberFormat="1" applyFill="1" applyBorder="1" applyAlignment="1" applyProtection="1">
      <alignment horizontal="right"/>
      <protection locked="0"/>
    </xf>
    <xf numFmtId="168" fontId="0" fillId="4" borderId="10" xfId="0" applyNumberFormat="1" applyFill="1" applyBorder="1" applyAlignment="1" applyProtection="1">
      <alignment horizontal="right"/>
      <protection locked="0"/>
    </xf>
    <xf numFmtId="168" fontId="0" fillId="4" borderId="13" xfId="0" applyNumberFormat="1" applyFill="1" applyBorder="1" applyAlignment="1" applyProtection="1">
      <alignment horizontal="right"/>
      <protection locked="0"/>
    </xf>
    <xf numFmtId="170" fontId="0" fillId="4" borderId="8" xfId="0" applyNumberFormat="1" applyFill="1" applyBorder="1" applyAlignment="1" applyProtection="1">
      <alignment horizontal="right"/>
      <protection locked="0"/>
    </xf>
    <xf numFmtId="170" fontId="0" fillId="4" borderId="10" xfId="0" applyNumberFormat="1" applyFill="1" applyBorder="1" applyAlignment="1" applyProtection="1">
      <alignment horizontal="right"/>
      <protection locked="0"/>
    </xf>
    <xf numFmtId="170" fontId="0" fillId="4" borderId="13" xfId="0" applyNumberFormat="1" applyFill="1" applyBorder="1" applyAlignment="1" applyProtection="1">
      <alignment horizontal="right"/>
      <protection locked="0"/>
    </xf>
    <xf numFmtId="170" fontId="0" fillId="4" borderId="7" xfId="0" applyNumberFormat="1" applyFill="1" applyBorder="1" applyAlignment="1" applyProtection="1">
      <alignment horizontal="right"/>
      <protection locked="0"/>
    </xf>
    <xf numFmtId="1" fontId="0" fillId="4" borderId="4" xfId="0" applyNumberFormat="1" applyFill="1" applyBorder="1" applyAlignment="1" applyProtection="1">
      <alignment horizontal="right"/>
      <protection locked="0"/>
    </xf>
    <xf numFmtId="0" fontId="0" fillId="4" borderId="5" xfId="0" applyFill="1" applyBorder="1" applyAlignment="1" applyProtection="1">
      <alignment horizontal="center"/>
      <protection locked="0"/>
    </xf>
    <xf numFmtId="170" fontId="0" fillId="4" borderId="5" xfId="0" applyNumberFormat="1" applyFill="1" applyBorder="1" applyAlignment="1" applyProtection="1">
      <alignment horizontal="right"/>
      <protection locked="0"/>
    </xf>
    <xf numFmtId="0" fontId="0" fillId="4" borderId="4" xfId="0" applyFill="1" applyBorder="1" applyAlignment="1" applyProtection="1">
      <alignment horizontal="center"/>
      <protection locked="0"/>
    </xf>
    <xf numFmtId="170" fontId="0" fillId="4" borderId="4" xfId="0" applyNumberFormat="1" applyFill="1" applyBorder="1" applyAlignment="1" applyProtection="1">
      <alignment horizontal="right"/>
      <protection locked="0"/>
    </xf>
    <xf numFmtId="168" fontId="0" fillId="4" borderId="4" xfId="0" applyNumberFormat="1" applyFill="1" applyBorder="1" applyAlignment="1" applyProtection="1">
      <alignment horizontal="right"/>
      <protection locked="0"/>
    </xf>
    <xf numFmtId="0" fontId="1" fillId="6" borderId="0" xfId="1" applyFill="1" applyBorder="1"/>
    <xf numFmtId="0" fontId="0" fillId="4" borderId="5" xfId="0" applyFill="1" applyBorder="1"/>
    <xf numFmtId="0" fontId="0" fillId="6" borderId="0" xfId="0" applyFill="1" applyAlignment="1">
      <alignment horizontal="left"/>
    </xf>
    <xf numFmtId="166" fontId="0" fillId="6" borderId="0" xfId="0" applyNumberFormat="1" applyFill="1" applyAlignment="1">
      <alignment horizontal="right"/>
    </xf>
    <xf numFmtId="0" fontId="3" fillId="6" borderId="0" xfId="0" applyFont="1" applyFill="1" applyAlignment="1">
      <alignment horizontal="center"/>
    </xf>
    <xf numFmtId="170" fontId="0" fillId="4" borderId="1" xfId="0" applyNumberFormat="1" applyFill="1" applyBorder="1" applyAlignment="1">
      <alignment horizontal="right"/>
    </xf>
    <xf numFmtId="170" fontId="0" fillId="4" borderId="5" xfId="0" applyNumberFormat="1" applyFill="1" applyBorder="1" applyAlignment="1">
      <alignment horizontal="right"/>
    </xf>
    <xf numFmtId="0" fontId="0" fillId="4" borderId="4" xfId="0" applyFill="1" applyBorder="1" applyAlignment="1">
      <alignment horizontal="left"/>
    </xf>
    <xf numFmtId="170" fontId="0" fillId="4" borderId="5" xfId="0" applyNumberFormat="1" applyFill="1" applyBorder="1"/>
    <xf numFmtId="0" fontId="0" fillId="3" borderId="30" xfId="0" applyFill="1" applyBorder="1"/>
    <xf numFmtId="170" fontId="0" fillId="4" borderId="8" xfId="0" applyNumberFormat="1" applyFill="1" applyBorder="1" applyAlignment="1">
      <alignment horizontal="right"/>
    </xf>
    <xf numFmtId="0" fontId="0" fillId="3" borderId="28" xfId="0" applyFill="1" applyBorder="1"/>
    <xf numFmtId="170" fontId="0" fillId="4" borderId="10" xfId="0" applyNumberFormat="1" applyFill="1" applyBorder="1" applyAlignment="1">
      <alignment horizontal="right"/>
    </xf>
    <xf numFmtId="0" fontId="0" fillId="3" borderId="31" xfId="0" applyFill="1" applyBorder="1"/>
    <xf numFmtId="170" fontId="0" fillId="4" borderId="13" xfId="0" applyNumberFormat="1" applyFill="1" applyBorder="1" applyAlignment="1">
      <alignment horizontal="right"/>
    </xf>
    <xf numFmtId="171" fontId="6" fillId="4" borderId="32" xfId="0" applyNumberFormat="1" applyFont="1" applyFill="1" applyBorder="1" applyAlignment="1">
      <alignment horizontal="right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2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center"/>
    </xf>
    <xf numFmtId="170" fontId="0" fillId="4" borderId="12" xfId="0" applyNumberFormat="1" applyFill="1" applyBorder="1" applyAlignment="1">
      <alignment horizontal="right"/>
    </xf>
    <xf numFmtId="0" fontId="0" fillId="4" borderId="13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168" fontId="0" fillId="4" borderId="7" xfId="0" applyNumberFormat="1" applyFill="1" applyBorder="1" applyAlignment="1" applyProtection="1">
      <alignment horizontal="right"/>
      <protection locked="0"/>
    </xf>
    <xf numFmtId="172" fontId="0" fillId="4" borderId="3" xfId="0" applyNumberFormat="1" applyFill="1" applyBorder="1" applyAlignment="1" applyProtection="1">
      <alignment horizontal="right"/>
      <protection locked="0"/>
    </xf>
    <xf numFmtId="172" fontId="0" fillId="4" borderId="1" xfId="0" applyNumberFormat="1" applyFill="1" applyBorder="1" applyAlignment="1" applyProtection="1">
      <alignment horizontal="right"/>
      <protection locked="0"/>
    </xf>
    <xf numFmtId="0" fontId="0" fillId="0" borderId="4" xfId="0" applyBorder="1"/>
    <xf numFmtId="2" fontId="0" fillId="4" borderId="5" xfId="0" applyNumberFormat="1" applyFill="1" applyBorder="1"/>
    <xf numFmtId="0" fontId="0" fillId="0" borderId="4" xfId="0" applyBorder="1" applyAlignment="1">
      <alignment horizontal="left"/>
    </xf>
    <xf numFmtId="170" fontId="0" fillId="0" borderId="4" xfId="0" applyNumberFormat="1" applyBorder="1"/>
    <xf numFmtId="173" fontId="0" fillId="6" borderId="22" xfId="0" applyNumberFormat="1" applyFill="1" applyBorder="1"/>
    <xf numFmtId="0" fontId="0" fillId="6" borderId="0" xfId="0" applyFill="1" applyBorder="1"/>
    <xf numFmtId="173" fontId="0" fillId="6" borderId="8" xfId="0" applyNumberFormat="1" applyFill="1" applyBorder="1"/>
    <xf numFmtId="167" fontId="0" fillId="4" borderId="10" xfId="0" applyNumberFormat="1" applyFill="1" applyBorder="1" applyProtection="1">
      <protection locked="0"/>
    </xf>
    <xf numFmtId="0" fontId="0" fillId="6" borderId="1" xfId="0" applyFill="1" applyBorder="1"/>
    <xf numFmtId="166" fontId="0" fillId="3" borderId="1" xfId="0" applyNumberFormat="1" applyFill="1" applyBorder="1"/>
    <xf numFmtId="166" fontId="0" fillId="3" borderId="25" xfId="0" applyNumberFormat="1" applyFill="1" applyBorder="1"/>
    <xf numFmtId="20" fontId="0" fillId="6" borderId="0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9" xfId="0" applyFill="1" applyBorder="1" applyProtection="1">
      <protection locked="0"/>
    </xf>
    <xf numFmtId="0" fontId="0" fillId="4" borderId="11" xfId="0" applyFill="1" applyBorder="1" applyProtection="1">
      <protection locked="0"/>
    </xf>
    <xf numFmtId="0" fontId="3" fillId="3" borderId="17" xfId="0" applyFont="1" applyFill="1" applyBorder="1" applyAlignment="1">
      <alignment horizontal="center" vertical="top" wrapText="1"/>
    </xf>
    <xf numFmtId="0" fontId="0" fillId="4" borderId="5" xfId="0" applyFill="1" applyBorder="1" applyAlignment="1" applyProtection="1">
      <alignment horizontal="right" wrapText="1"/>
      <protection locked="0"/>
    </xf>
    <xf numFmtId="0" fontId="0" fillId="4" borderId="4" xfId="0" applyFill="1" applyBorder="1" applyAlignment="1" applyProtection="1">
      <alignment horizontal="right"/>
      <protection locked="0"/>
    </xf>
    <xf numFmtId="0" fontId="0" fillId="4" borderId="12" xfId="0" applyFill="1" applyBorder="1" applyAlignment="1" applyProtection="1">
      <alignment horizontal="right"/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10" xfId="0" applyFill="1" applyBorder="1" applyAlignment="1" applyProtection="1">
      <alignment horizontal="left"/>
      <protection locked="0"/>
    </xf>
    <xf numFmtId="49" fontId="0" fillId="4" borderId="17" xfId="0" applyNumberFormat="1" applyFill="1" applyBorder="1" applyProtection="1">
      <protection locked="0"/>
    </xf>
    <xf numFmtId="49" fontId="0" fillId="4" borderId="18" xfId="0" applyNumberFormat="1" applyFill="1" applyBorder="1" applyProtection="1">
      <protection locked="0"/>
    </xf>
    <xf numFmtId="0" fontId="0" fillId="4" borderId="4" xfId="0" applyFill="1" applyBorder="1" applyAlignment="1" applyProtection="1">
      <alignment horizontal="center" vertical="top" wrapText="1"/>
      <protection locked="0"/>
    </xf>
    <xf numFmtId="0" fontId="0" fillId="4" borderId="10" xfId="0" applyFill="1" applyBorder="1" applyAlignment="1" applyProtection="1">
      <alignment horizontal="center" vertical="top" wrapText="1"/>
      <protection locked="0"/>
    </xf>
    <xf numFmtId="0" fontId="0" fillId="4" borderId="12" xfId="0" applyFill="1" applyBorder="1" applyAlignment="1" applyProtection="1">
      <alignment horizontal="center" vertical="top" wrapText="1"/>
      <protection locked="0"/>
    </xf>
    <xf numFmtId="0" fontId="0" fillId="4" borderId="13" xfId="0" applyFill="1" applyBorder="1" applyAlignment="1" applyProtection="1">
      <alignment horizontal="center" vertical="top" wrapText="1"/>
      <protection locked="0"/>
    </xf>
    <xf numFmtId="0" fontId="9" fillId="7" borderId="0" xfId="1" applyFont="1" applyFill="1" applyBorder="1" applyAlignment="1">
      <alignment horizontal="left"/>
    </xf>
    <xf numFmtId="0" fontId="0" fillId="4" borderId="7" xfId="0" applyFill="1" applyBorder="1" applyAlignment="1" applyProtection="1">
      <alignment horizontal="left"/>
      <protection locked="0"/>
    </xf>
    <xf numFmtId="0" fontId="0" fillId="4" borderId="8" xfId="0" applyFill="1" applyBorder="1" applyAlignment="1" applyProtection="1">
      <alignment horizontal="left"/>
      <protection locked="0"/>
    </xf>
    <xf numFmtId="49" fontId="0" fillId="4" borderId="7" xfId="0" applyNumberFormat="1" applyFill="1" applyBorder="1" applyAlignment="1" applyProtection="1">
      <alignment horizontal="right"/>
      <protection locked="0"/>
    </xf>
    <xf numFmtId="49" fontId="0" fillId="4" borderId="8" xfId="0" applyNumberFormat="1" applyFill="1" applyBorder="1" applyAlignment="1" applyProtection="1">
      <alignment horizontal="right"/>
      <protection locked="0"/>
    </xf>
    <xf numFmtId="1" fontId="0" fillId="4" borderId="4" xfId="0" applyNumberFormat="1" applyFill="1" applyBorder="1" applyAlignment="1" applyProtection="1">
      <alignment horizontal="right"/>
      <protection locked="0"/>
    </xf>
    <xf numFmtId="1" fontId="0" fillId="4" borderId="10" xfId="0" applyNumberFormat="1" applyFill="1" applyBorder="1" applyAlignment="1" applyProtection="1">
      <alignment horizontal="right"/>
      <protection locked="0"/>
    </xf>
    <xf numFmtId="49" fontId="0" fillId="4" borderId="12" xfId="0" applyNumberFormat="1" applyFill="1" applyBorder="1" applyAlignment="1" applyProtection="1">
      <alignment horizontal="right"/>
      <protection locked="0"/>
    </xf>
    <xf numFmtId="49" fontId="0" fillId="4" borderId="13" xfId="0" applyNumberFormat="1" applyFill="1" applyBorder="1" applyAlignment="1" applyProtection="1">
      <alignment horizontal="right"/>
      <protection locked="0"/>
    </xf>
    <xf numFmtId="49" fontId="5" fillId="4" borderId="25" xfId="0" applyNumberFormat="1" applyFont="1" applyFill="1" applyBorder="1" applyAlignment="1" applyProtection="1">
      <alignment horizontal="left" wrapText="1"/>
      <protection locked="0"/>
    </xf>
    <xf numFmtId="49" fontId="5" fillId="4" borderId="26" xfId="0" applyNumberFormat="1" applyFont="1" applyFill="1" applyBorder="1" applyAlignment="1" applyProtection="1">
      <alignment horizontal="left" wrapText="1"/>
      <protection locked="0"/>
    </xf>
    <xf numFmtId="49" fontId="5" fillId="4" borderId="27" xfId="0" applyNumberFormat="1" applyFont="1" applyFill="1" applyBorder="1" applyAlignment="1" applyProtection="1">
      <alignment horizontal="left" wrapText="1"/>
      <protection locked="0"/>
    </xf>
    <xf numFmtId="0" fontId="10" fillId="7" borderId="0" xfId="1" applyFont="1" applyFill="1" applyBorder="1" applyAlignment="1">
      <alignment horizontal="left"/>
    </xf>
    <xf numFmtId="49" fontId="5" fillId="3" borderId="7" xfId="0" applyNumberFormat="1" applyFont="1" applyFill="1" applyBorder="1" applyAlignment="1">
      <alignment horizontal="right"/>
    </xf>
    <xf numFmtId="0" fontId="5" fillId="4" borderId="4" xfId="0" applyFont="1" applyFill="1" applyBorder="1" applyAlignment="1" applyProtection="1">
      <alignment horizontal="right"/>
      <protection locked="0"/>
    </xf>
    <xf numFmtId="165" fontId="5" fillId="3" borderId="4" xfId="0" applyNumberFormat="1" applyFont="1" applyFill="1" applyBorder="1" applyAlignment="1">
      <alignment horizontal="right"/>
    </xf>
    <xf numFmtId="167" fontId="5" fillId="4" borderId="4" xfId="0" applyNumberFormat="1" applyFont="1" applyFill="1" applyBorder="1" applyAlignment="1" applyProtection="1">
      <alignment horizontal="right"/>
      <protection locked="0"/>
    </xf>
    <xf numFmtId="49" fontId="5" fillId="4" borderId="1" xfId="0" applyNumberFormat="1" applyFont="1" applyFill="1" applyBorder="1" applyAlignment="1" applyProtection="1">
      <alignment horizontal="right"/>
      <protection locked="0"/>
    </xf>
    <xf numFmtId="49" fontId="5" fillId="4" borderId="2" xfId="0" applyNumberFormat="1" applyFont="1" applyFill="1" applyBorder="1" applyAlignment="1" applyProtection="1">
      <alignment horizontal="right"/>
      <protection locked="0"/>
    </xf>
    <xf numFmtId="0" fontId="5" fillId="3" borderId="28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4" borderId="25" xfId="0" applyFont="1" applyFill="1" applyBorder="1" applyAlignment="1">
      <alignment wrapText="1"/>
    </xf>
    <xf numFmtId="0" fontId="5" fillId="4" borderId="26" xfId="0" applyFont="1" applyFill="1" applyBorder="1" applyAlignment="1">
      <alignment wrapText="1"/>
    </xf>
    <xf numFmtId="0" fontId="5" fillId="4" borderId="27" xfId="0" applyFont="1" applyFill="1" applyBorder="1" applyAlignment="1">
      <alignment wrapText="1"/>
    </xf>
    <xf numFmtId="0" fontId="5" fillId="3" borderId="7" xfId="0" applyFont="1" applyFill="1" applyBorder="1" applyAlignment="1">
      <alignment horizontal="right"/>
    </xf>
    <xf numFmtId="0" fontId="5" fillId="4" borderId="4" xfId="0" applyFont="1" applyFill="1" applyBorder="1" applyAlignment="1">
      <alignment horizontal="right"/>
    </xf>
    <xf numFmtId="167" fontId="5" fillId="4" borderId="4" xfId="0" applyNumberFormat="1" applyFont="1" applyFill="1" applyBorder="1" applyAlignment="1">
      <alignment horizontal="right"/>
    </xf>
    <xf numFmtId="167" fontId="5" fillId="4" borderId="1" xfId="0" applyNumberFormat="1" applyFont="1" applyFill="1" applyBorder="1" applyAlignment="1">
      <alignment horizontal="right"/>
    </xf>
    <xf numFmtId="167" fontId="5" fillId="4" borderId="2" xfId="0" applyNumberFormat="1" applyFont="1" applyFill="1" applyBorder="1" applyAlignment="1">
      <alignment horizontal="right"/>
    </xf>
    <xf numFmtId="0" fontId="0" fillId="0" borderId="4" xfId="0" applyFill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Core'!$G$27:$G$64</c:f>
              <c:numCache>
                <c:formatCode>0" cm"</c:formatCode>
                <c:ptCount val="38"/>
                <c:pt idx="0">
                  <c:v>22.5</c:v>
                </c:pt>
                <c:pt idx="1">
                  <c:v>27.5</c:v>
                </c:pt>
                <c:pt idx="2">
                  <c:v>32.5</c:v>
                </c:pt>
                <c:pt idx="3">
                  <c:v>37.5</c:v>
                </c:pt>
                <c:pt idx="4">
                  <c:v>42.5</c:v>
                </c:pt>
                <c:pt idx="5">
                  <c:v>47.5</c:v>
                </c:pt>
                <c:pt idx="6">
                  <c:v>52.5</c:v>
                </c:pt>
                <c:pt idx="7">
                  <c:v>57.5</c:v>
                </c:pt>
                <c:pt idx="8">
                  <c:v>62.5</c:v>
                </c:pt>
                <c:pt idx="9">
                  <c:v>67.5</c:v>
                </c:pt>
                <c:pt idx="10">
                  <c:v>72.5</c:v>
                </c:pt>
                <c:pt idx="11">
                  <c:v>77.5</c:v>
                </c:pt>
                <c:pt idx="12">
                  <c:v>82.5</c:v>
                </c:pt>
                <c:pt idx="13">
                  <c:v>87.5</c:v>
                </c:pt>
                <c:pt idx="14">
                  <c:v>92.5</c:v>
                </c:pt>
                <c:pt idx="15" formatCode="General">
                  <c:v>97.5</c:v>
                </c:pt>
                <c:pt idx="16" formatCode="General">
                  <c:v>102.5</c:v>
                </c:pt>
                <c:pt idx="17">
                  <c:v>107.5</c:v>
                </c:pt>
                <c:pt idx="18" formatCode="General">
                  <c:v>112.5</c:v>
                </c:pt>
                <c:pt idx="19" formatCode="General">
                  <c:v>117.5</c:v>
                </c:pt>
                <c:pt idx="20">
                  <c:v>122.5</c:v>
                </c:pt>
                <c:pt idx="21" formatCode="General">
                  <c:v>127.5</c:v>
                </c:pt>
                <c:pt idx="22" formatCode="General">
                  <c:v>132.5</c:v>
                </c:pt>
                <c:pt idx="23">
                  <c:v>137.5</c:v>
                </c:pt>
                <c:pt idx="24" formatCode="General">
                  <c:v>142.5</c:v>
                </c:pt>
                <c:pt idx="25" formatCode="General">
                  <c:v>147.5</c:v>
                </c:pt>
                <c:pt idx="26">
                  <c:v>152.5</c:v>
                </c:pt>
                <c:pt idx="27" formatCode="General">
                  <c:v>157.5</c:v>
                </c:pt>
                <c:pt idx="28" formatCode="General">
                  <c:v>162.5</c:v>
                </c:pt>
                <c:pt idx="29">
                  <c:v>167.5</c:v>
                </c:pt>
                <c:pt idx="30" formatCode="General">
                  <c:v>172</c:v>
                </c:pt>
                <c:pt idx="31" formatCode="General">
                  <c:v>176.5</c:v>
                </c:pt>
                <c:pt idx="32">
                  <c:v>181.5</c:v>
                </c:pt>
              </c:numCache>
            </c:numRef>
          </c:xVal>
          <c:yVal>
            <c:numRef>
              <c:f>'Density Core'!$H$27:$H$64</c:f>
              <c:numCache>
                <c:formatCode>General</c:formatCode>
                <c:ptCount val="38"/>
                <c:pt idx="0">
                  <c:v>0.9486</c:v>
                </c:pt>
                <c:pt idx="1">
                  <c:v>0.91639999999999999</c:v>
                </c:pt>
                <c:pt idx="2">
                  <c:v>0.88349999999999995</c:v>
                </c:pt>
                <c:pt idx="3">
                  <c:v>0.91139999999999999</c:v>
                </c:pt>
                <c:pt idx="4">
                  <c:v>0.9153</c:v>
                </c:pt>
                <c:pt idx="5">
                  <c:v>0.91089999999999993</c:v>
                </c:pt>
                <c:pt idx="6">
                  <c:v>0.91600000000000004</c:v>
                </c:pt>
                <c:pt idx="7">
                  <c:v>0.91710000000000003</c:v>
                </c:pt>
                <c:pt idx="8">
                  <c:v>0.90900000000000003</c:v>
                </c:pt>
                <c:pt idx="9">
                  <c:v>0.90639999999999998</c:v>
                </c:pt>
                <c:pt idx="10">
                  <c:v>0.91170000000000007</c:v>
                </c:pt>
                <c:pt idx="11">
                  <c:v>0.91810000000000003</c:v>
                </c:pt>
                <c:pt idx="12">
                  <c:v>0.9153</c:v>
                </c:pt>
                <c:pt idx="13">
                  <c:v>0.91600000000000004</c:v>
                </c:pt>
                <c:pt idx="14">
                  <c:v>0.91659999999999997</c:v>
                </c:pt>
                <c:pt idx="15">
                  <c:v>0.9143</c:v>
                </c:pt>
                <c:pt idx="16">
                  <c:v>0.91670000000000007</c:v>
                </c:pt>
                <c:pt idx="17">
                  <c:v>0.91810000000000003</c:v>
                </c:pt>
                <c:pt idx="18">
                  <c:v>0.91900000000000004</c:v>
                </c:pt>
                <c:pt idx="19">
                  <c:v>0.91979999999999995</c:v>
                </c:pt>
                <c:pt idx="20">
                  <c:v>0.9204</c:v>
                </c:pt>
                <c:pt idx="21">
                  <c:v>0.91870000000000007</c:v>
                </c:pt>
                <c:pt idx="22">
                  <c:v>0.91620000000000001</c:v>
                </c:pt>
                <c:pt idx="23">
                  <c:v>0.91779999999999995</c:v>
                </c:pt>
                <c:pt idx="24">
                  <c:v>0.91620000000000001</c:v>
                </c:pt>
                <c:pt idx="25">
                  <c:v>0.91739999999999999</c:v>
                </c:pt>
                <c:pt idx="26">
                  <c:v>0.9173</c:v>
                </c:pt>
                <c:pt idx="27">
                  <c:v>0.91670000000000007</c:v>
                </c:pt>
                <c:pt idx="28">
                  <c:v>0.91820000000000002</c:v>
                </c:pt>
                <c:pt idx="29">
                  <c:v>0.91570000000000007</c:v>
                </c:pt>
                <c:pt idx="30">
                  <c:v>0.91910000000000003</c:v>
                </c:pt>
                <c:pt idx="31">
                  <c:v>0.91839999999999999</c:v>
                </c:pt>
                <c:pt idx="32">
                  <c:v>0.95689999999999997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71-43E0-B961-B9A415DD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751455"/>
        <c:axId val="656068911"/>
      </c:scatterChart>
      <c:valAx>
        <c:axId val="8087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68911"/>
        <c:crosses val="autoZero"/>
        <c:crossBetween val="midCat"/>
      </c:valAx>
      <c:valAx>
        <c:axId val="6560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5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Core'!$G$23:$G$60</c:f>
              <c:numCache>
                <c:formatCode>0" cm"</c:formatCode>
                <c:ptCount val="3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 formatCode="General">
                  <c:v>97.5</c:v>
                </c:pt>
                <c:pt idx="20" formatCode="General">
                  <c:v>102.5</c:v>
                </c:pt>
                <c:pt idx="21">
                  <c:v>107.5</c:v>
                </c:pt>
                <c:pt idx="22" formatCode="General">
                  <c:v>112.5</c:v>
                </c:pt>
                <c:pt idx="23" formatCode="General">
                  <c:v>117.5</c:v>
                </c:pt>
                <c:pt idx="24">
                  <c:v>122.5</c:v>
                </c:pt>
                <c:pt idx="25" formatCode="General">
                  <c:v>127.5</c:v>
                </c:pt>
                <c:pt idx="26" formatCode="General">
                  <c:v>132.5</c:v>
                </c:pt>
                <c:pt idx="27">
                  <c:v>137.5</c:v>
                </c:pt>
                <c:pt idx="28" formatCode="General">
                  <c:v>142.5</c:v>
                </c:pt>
                <c:pt idx="29" formatCode="General">
                  <c:v>147.5</c:v>
                </c:pt>
                <c:pt idx="30">
                  <c:v>152.5</c:v>
                </c:pt>
                <c:pt idx="31" formatCode="General">
                  <c:v>157.5</c:v>
                </c:pt>
                <c:pt idx="32" formatCode="General">
                  <c:v>162.5</c:v>
                </c:pt>
                <c:pt idx="33">
                  <c:v>167.5</c:v>
                </c:pt>
                <c:pt idx="34" formatCode="General">
                  <c:v>172</c:v>
                </c:pt>
                <c:pt idx="35" formatCode="General">
                  <c:v>176.5</c:v>
                </c:pt>
                <c:pt idx="36">
                  <c:v>181.5</c:v>
                </c:pt>
              </c:numCache>
            </c:numRef>
          </c:xVal>
          <c:yVal>
            <c:numRef>
              <c:f>'Density Core'!$J$23:$J$60</c:f>
              <c:numCache>
                <c:formatCode>General</c:formatCode>
                <c:ptCount val="38"/>
                <c:pt idx="0">
                  <c:v>0.28000000000000003</c:v>
                </c:pt>
                <c:pt idx="1">
                  <c:v>0.31</c:v>
                </c:pt>
                <c:pt idx="2">
                  <c:v>0.61</c:v>
                </c:pt>
                <c:pt idx="3">
                  <c:v>1.28</c:v>
                </c:pt>
                <c:pt idx="4">
                  <c:v>1.87</c:v>
                </c:pt>
                <c:pt idx="5">
                  <c:v>2.36</c:v>
                </c:pt>
                <c:pt idx="6">
                  <c:v>2.54</c:v>
                </c:pt>
                <c:pt idx="7">
                  <c:v>3.02</c:v>
                </c:pt>
                <c:pt idx="8">
                  <c:v>2.91</c:v>
                </c:pt>
                <c:pt idx="9">
                  <c:v>2.69</c:v>
                </c:pt>
                <c:pt idx="10">
                  <c:v>3.11</c:v>
                </c:pt>
                <c:pt idx="11">
                  <c:v>3.23</c:v>
                </c:pt>
                <c:pt idx="12">
                  <c:v>2.72</c:v>
                </c:pt>
                <c:pt idx="13">
                  <c:v>3.83</c:v>
                </c:pt>
                <c:pt idx="14">
                  <c:v>4.16</c:v>
                </c:pt>
                <c:pt idx="15">
                  <c:v>3.79</c:v>
                </c:pt>
                <c:pt idx="16">
                  <c:v>2.57</c:v>
                </c:pt>
                <c:pt idx="17">
                  <c:v>3.13</c:v>
                </c:pt>
                <c:pt idx="18">
                  <c:v>0.33</c:v>
                </c:pt>
                <c:pt idx="19">
                  <c:v>3.1</c:v>
                </c:pt>
                <c:pt idx="20">
                  <c:v>3.09</c:v>
                </c:pt>
                <c:pt idx="21">
                  <c:v>2.87</c:v>
                </c:pt>
                <c:pt idx="22">
                  <c:v>3.71</c:v>
                </c:pt>
                <c:pt idx="23">
                  <c:v>3.24</c:v>
                </c:pt>
                <c:pt idx="24">
                  <c:v>3.82</c:v>
                </c:pt>
                <c:pt idx="25">
                  <c:v>3.44</c:v>
                </c:pt>
                <c:pt idx="26">
                  <c:v>3.49</c:v>
                </c:pt>
                <c:pt idx="27">
                  <c:v>2.89</c:v>
                </c:pt>
                <c:pt idx="28">
                  <c:v>3.12</c:v>
                </c:pt>
                <c:pt idx="29">
                  <c:v>3.17</c:v>
                </c:pt>
                <c:pt idx="30">
                  <c:v>3.19</c:v>
                </c:pt>
                <c:pt idx="31">
                  <c:v>3.14</c:v>
                </c:pt>
                <c:pt idx="32">
                  <c:v>2.66</c:v>
                </c:pt>
                <c:pt idx="33">
                  <c:v>3.7</c:v>
                </c:pt>
                <c:pt idx="34">
                  <c:v>4.37</c:v>
                </c:pt>
                <c:pt idx="35">
                  <c:v>5.08</c:v>
                </c:pt>
                <c:pt idx="36">
                  <c:v>6.14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39-41C3-A608-F0DCE95F4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672976"/>
        <c:axId val="718768800"/>
      </c:scatterChart>
      <c:valAx>
        <c:axId val="58667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8800"/>
        <c:crosses val="autoZero"/>
        <c:crossBetween val="midCat"/>
      </c:valAx>
      <c:valAx>
        <c:axId val="71876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456405</xdr:colOff>
      <xdr:row>49</xdr:row>
      <xdr:rowOff>69057</xdr:rowOff>
    </xdr:from>
    <xdr:to>
      <xdr:col>19</xdr:col>
      <xdr:colOff>603248</xdr:colOff>
      <xdr:row>64</xdr:row>
      <xdr:rowOff>73819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F1880-6E0B-AF26-6BB3-2D72DFAC1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353219</xdr:colOff>
      <xdr:row>50</xdr:row>
      <xdr:rowOff>33337</xdr:rowOff>
    </xdr:from>
    <xdr:to>
      <xdr:col>28</xdr:col>
      <xdr:colOff>436563</xdr:colOff>
      <xdr:row>65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AC59E0-7289-E457-1338-B880FE316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zoomScale="80" zoomScaleNormal="80" workbookViewId="0">
      <selection activeCell="B7" sqref="B7:C7"/>
    </sheetView>
  </sheetViews>
  <sheetFormatPr defaultColWidth="9.140625" defaultRowHeight="15" x14ac:dyDescent="0.25"/>
  <cols>
    <col min="1" max="1" width="22.7109375" style="29" customWidth="1"/>
    <col min="2" max="2" width="12.7109375" style="29" customWidth="1"/>
    <col min="3" max="5" width="10.7109375" style="29" customWidth="1"/>
    <col min="6" max="6" width="32.7109375" style="29" customWidth="1"/>
    <col min="7" max="7" width="9.140625" style="29"/>
    <col min="8" max="9" width="9.140625" style="29" customWidth="1"/>
    <col min="10" max="16384" width="9.140625" style="29"/>
  </cols>
  <sheetData>
    <row r="1" spans="1:9" ht="31.5" x14ac:dyDescent="0.5">
      <c r="A1" s="137" t="s">
        <v>0</v>
      </c>
      <c r="B1" s="137"/>
      <c r="C1" s="137"/>
      <c r="D1" s="137"/>
      <c r="E1" s="137"/>
      <c r="F1" s="28"/>
      <c r="G1" s="28"/>
      <c r="H1" s="28"/>
    </row>
    <row r="2" spans="1:9" ht="15.75" customHeight="1" x14ac:dyDescent="0.35">
      <c r="A2" s="30"/>
      <c r="D2" s="28"/>
      <c r="E2" s="28"/>
      <c r="F2" s="28"/>
      <c r="G2" s="28"/>
      <c r="H2" s="28"/>
    </row>
    <row r="3" spans="1:9" ht="15.75" thickBot="1" x14ac:dyDescent="0.3">
      <c r="A3" s="31" t="s">
        <v>23</v>
      </c>
      <c r="D3" s="28"/>
      <c r="E3" s="28"/>
    </row>
    <row r="4" spans="1:9" x14ac:dyDescent="0.25">
      <c r="A4" s="8" t="s">
        <v>1</v>
      </c>
      <c r="B4" s="140" t="s">
        <v>83</v>
      </c>
      <c r="C4" s="141"/>
      <c r="H4" s="32"/>
      <c r="I4" s="32"/>
    </row>
    <row r="5" spans="1:9" x14ac:dyDescent="0.25">
      <c r="A5" s="9" t="s">
        <v>2</v>
      </c>
      <c r="B5" s="142"/>
      <c r="C5" s="143"/>
      <c r="H5" s="32"/>
      <c r="I5" s="32"/>
    </row>
    <row r="6" spans="1:9" x14ac:dyDescent="0.25">
      <c r="A6" s="9" t="s">
        <v>3</v>
      </c>
      <c r="B6" s="142"/>
      <c r="C6" s="143"/>
    </row>
    <row r="7" spans="1:9" ht="15.75" thickBot="1" x14ac:dyDescent="0.3">
      <c r="A7" s="11" t="s">
        <v>39</v>
      </c>
      <c r="B7" s="144" t="s">
        <v>84</v>
      </c>
      <c r="C7" s="145"/>
    </row>
    <row r="9" spans="1:9" ht="15.75" thickBot="1" x14ac:dyDescent="0.3">
      <c r="A9" s="31" t="s">
        <v>26</v>
      </c>
    </row>
    <row r="10" spans="1:9" x14ac:dyDescent="0.25">
      <c r="A10" s="8" t="s">
        <v>9</v>
      </c>
      <c r="B10" s="138" t="s">
        <v>10</v>
      </c>
      <c r="C10" s="138"/>
      <c r="D10" s="138"/>
      <c r="E10" s="139"/>
    </row>
    <row r="11" spans="1:9" x14ac:dyDescent="0.25">
      <c r="A11" s="9" t="s">
        <v>11</v>
      </c>
      <c r="B11" s="129" t="s">
        <v>16</v>
      </c>
      <c r="C11" s="129"/>
      <c r="D11" s="129"/>
      <c r="E11" s="130"/>
    </row>
    <row r="12" spans="1:9" x14ac:dyDescent="0.25">
      <c r="A12" s="13" t="s">
        <v>12</v>
      </c>
      <c r="B12" s="133"/>
      <c r="C12" s="133"/>
      <c r="D12" s="133"/>
      <c r="E12" s="134"/>
    </row>
    <row r="13" spans="1:9" x14ac:dyDescent="0.25">
      <c r="A13" s="13"/>
      <c r="B13" s="133"/>
      <c r="C13" s="133"/>
      <c r="D13" s="133"/>
      <c r="E13" s="134"/>
    </row>
    <row r="14" spans="1:9" ht="52.5" customHeight="1" thickBot="1" x14ac:dyDescent="0.3">
      <c r="A14" s="14"/>
      <c r="B14" s="135"/>
      <c r="C14" s="135"/>
      <c r="D14" s="135"/>
      <c r="E14" s="136"/>
    </row>
    <row r="15" spans="1:9" x14ac:dyDescent="0.25">
      <c r="A15" s="34"/>
      <c r="B15" s="35"/>
      <c r="C15" s="35"/>
      <c r="D15" s="35"/>
      <c r="E15" s="35"/>
    </row>
    <row r="16" spans="1:9" ht="15.75" thickBot="1" x14ac:dyDescent="0.3">
      <c r="A16" s="31" t="s">
        <v>24</v>
      </c>
    </row>
    <row r="17" spans="1:6" x14ac:dyDescent="0.25">
      <c r="A17" s="8" t="s">
        <v>67</v>
      </c>
      <c r="B17" s="115" t="s">
        <v>85</v>
      </c>
      <c r="C17" s="114"/>
    </row>
    <row r="18" spans="1:6" ht="15.75" thickBot="1" x14ac:dyDescent="0.3">
      <c r="A18" s="9" t="s">
        <v>68</v>
      </c>
      <c r="B18" s="116">
        <v>0.41666666666666669</v>
      </c>
      <c r="C18" s="114"/>
      <c r="D18" s="114"/>
      <c r="E18" s="120"/>
    </row>
    <row r="19" spans="1:6" x14ac:dyDescent="0.25">
      <c r="A19" s="33"/>
      <c r="B19" s="117"/>
      <c r="C19" s="8" t="s">
        <v>6</v>
      </c>
      <c r="D19" s="121" t="s">
        <v>7</v>
      </c>
      <c r="E19" s="122" t="s">
        <v>8</v>
      </c>
    </row>
    <row r="20" spans="1:6" x14ac:dyDescent="0.25">
      <c r="A20" s="9" t="s">
        <v>17</v>
      </c>
      <c r="B20" s="118"/>
      <c r="C20" s="123">
        <v>82</v>
      </c>
      <c r="D20">
        <v>3.6</v>
      </c>
      <c r="E20" s="47"/>
    </row>
    <row r="21" spans="1:6" ht="15.75" thickBot="1" x14ac:dyDescent="0.3">
      <c r="A21" s="11" t="s">
        <v>18</v>
      </c>
      <c r="B21" s="119"/>
      <c r="C21" s="124">
        <v>7</v>
      </c>
      <c r="D21">
        <v>49.14</v>
      </c>
      <c r="E21" s="49"/>
    </row>
    <row r="23" spans="1:6" ht="15.75" thickBot="1" x14ac:dyDescent="0.3">
      <c r="A23" s="31" t="s">
        <v>25</v>
      </c>
      <c r="B23" s="40"/>
      <c r="E23" s="41"/>
    </row>
    <row r="24" spans="1:6" x14ac:dyDescent="0.25">
      <c r="A24" s="8" t="s">
        <v>21</v>
      </c>
      <c r="B24" s="113" t="s">
        <v>85</v>
      </c>
    </row>
    <row r="25" spans="1:6" ht="15.75" thickBot="1" x14ac:dyDescent="0.3">
      <c r="A25" s="9" t="s">
        <v>22</v>
      </c>
      <c r="B25" s="46">
        <v>0.41666666666666669</v>
      </c>
      <c r="C25" s="36"/>
      <c r="D25" s="37"/>
      <c r="E25" s="38"/>
    </row>
    <row r="26" spans="1:6" x14ac:dyDescent="0.25">
      <c r="A26" s="33"/>
      <c r="B26" s="39"/>
      <c r="C26" s="2" t="s">
        <v>6</v>
      </c>
      <c r="D26" s="2" t="s">
        <v>7</v>
      </c>
      <c r="E26" s="10" t="s">
        <v>8</v>
      </c>
    </row>
    <row r="27" spans="1:6" x14ac:dyDescent="0.25">
      <c r="A27" s="9" t="s">
        <v>19</v>
      </c>
      <c r="B27" s="1"/>
      <c r="C27" s="26">
        <v>82</v>
      </c>
      <c r="D27" s="26">
        <v>3.6</v>
      </c>
      <c r="E27" s="47"/>
    </row>
    <row r="28" spans="1:6" ht="15.75" thickBot="1" x14ac:dyDescent="0.3">
      <c r="A28" s="11" t="s">
        <v>20</v>
      </c>
      <c r="B28" s="12"/>
      <c r="C28" s="48">
        <v>7</v>
      </c>
      <c r="D28" s="48">
        <v>49.14</v>
      </c>
      <c r="E28" s="49"/>
    </row>
    <row r="29" spans="1:6" ht="15.75" thickBot="1" x14ac:dyDescent="0.3">
      <c r="B29" s="42"/>
      <c r="C29" s="43"/>
    </row>
    <row r="30" spans="1:6" ht="15.75" thickBot="1" x14ac:dyDescent="0.3">
      <c r="A30" s="27" t="s">
        <v>66</v>
      </c>
      <c r="B30" s="131" t="s">
        <v>5</v>
      </c>
      <c r="C30" s="131"/>
      <c r="D30" s="131"/>
      <c r="E30" s="132"/>
    </row>
    <row r="31" spans="1:6" ht="15.75" thickBot="1" x14ac:dyDescent="0.3"/>
    <row r="32" spans="1:6" ht="30" customHeight="1" thickBot="1" x14ac:dyDescent="0.3">
      <c r="A32" s="44"/>
      <c r="B32" s="125" t="s">
        <v>65</v>
      </c>
      <c r="C32" s="125"/>
      <c r="D32" s="125" t="s">
        <v>64</v>
      </c>
      <c r="E32" s="125"/>
      <c r="F32" s="7" t="s">
        <v>13</v>
      </c>
    </row>
    <row r="33" spans="1:6" ht="30" customHeight="1" x14ac:dyDescent="0.25">
      <c r="A33" s="6" t="s">
        <v>69</v>
      </c>
      <c r="B33" s="126"/>
      <c r="C33" s="126"/>
      <c r="D33" s="126"/>
      <c r="E33" s="126"/>
      <c r="F33" s="50"/>
    </row>
    <row r="34" spans="1:6" ht="30" customHeight="1" x14ac:dyDescent="0.25">
      <c r="A34" s="4" t="s">
        <v>69</v>
      </c>
      <c r="B34" s="127"/>
      <c r="C34" s="127"/>
      <c r="D34" s="127"/>
      <c r="E34" s="127"/>
      <c r="F34" s="51"/>
    </row>
    <row r="35" spans="1:6" ht="30" customHeight="1" x14ac:dyDescent="0.25">
      <c r="A35" s="4" t="s">
        <v>69</v>
      </c>
      <c r="B35" s="127"/>
      <c r="C35" s="127"/>
      <c r="D35" s="127"/>
      <c r="E35" s="127"/>
      <c r="F35" s="51"/>
    </row>
    <row r="36" spans="1:6" ht="30" customHeight="1" x14ac:dyDescent="0.25">
      <c r="A36" s="4" t="s">
        <v>69</v>
      </c>
      <c r="B36" s="127"/>
      <c r="C36" s="127"/>
      <c r="D36" s="127"/>
      <c r="E36" s="127"/>
      <c r="F36" s="51"/>
    </row>
    <row r="37" spans="1:6" ht="30" customHeight="1" thickBot="1" x14ac:dyDescent="0.3">
      <c r="A37" s="5" t="s">
        <v>69</v>
      </c>
      <c r="B37" s="128"/>
      <c r="C37" s="128"/>
      <c r="D37" s="128"/>
      <c r="E37" s="128"/>
      <c r="F37" s="52"/>
    </row>
    <row r="38" spans="1:6" x14ac:dyDescent="0.25">
      <c r="B38" s="45"/>
      <c r="C38" s="45"/>
      <c r="D38" s="45"/>
      <c r="E38" s="45"/>
      <c r="F38" s="45"/>
    </row>
    <row r="39" spans="1:6" x14ac:dyDescent="0.25">
      <c r="B39" s="45"/>
      <c r="C39" s="45"/>
      <c r="D39" s="45"/>
      <c r="E39" s="45"/>
      <c r="F39" s="45"/>
    </row>
    <row r="40" spans="1:6" x14ac:dyDescent="0.25">
      <c r="B40" s="45"/>
      <c r="C40" s="45"/>
      <c r="D40" s="45"/>
      <c r="E40" s="45"/>
      <c r="F40" s="45"/>
    </row>
    <row r="41" spans="1:6" x14ac:dyDescent="0.25">
      <c r="B41" s="45"/>
      <c r="C41" s="45"/>
      <c r="D41" s="45"/>
      <c r="E41" s="45"/>
      <c r="F41" s="45"/>
    </row>
    <row r="42" spans="1:6" x14ac:dyDescent="0.25">
      <c r="B42" s="45"/>
      <c r="C42" s="45"/>
      <c r="D42" s="45"/>
      <c r="E42" s="45"/>
      <c r="F42" s="45"/>
    </row>
    <row r="43" spans="1:6" x14ac:dyDescent="0.25">
      <c r="B43" s="45"/>
      <c r="C43" s="45"/>
      <c r="D43" s="45"/>
      <c r="E43" s="45"/>
      <c r="F43" s="45"/>
    </row>
    <row r="44" spans="1:6" x14ac:dyDescent="0.25">
      <c r="B44" s="45"/>
      <c r="C44" s="45"/>
      <c r="D44" s="45"/>
      <c r="E44" s="45"/>
      <c r="F44" s="45"/>
    </row>
    <row r="45" spans="1:6" x14ac:dyDescent="0.25">
      <c r="B45" s="45"/>
      <c r="C45" s="45"/>
      <c r="D45" s="45"/>
      <c r="E45" s="45"/>
      <c r="F45" s="45"/>
    </row>
    <row r="46" spans="1:6" x14ac:dyDescent="0.25">
      <c r="B46" s="45"/>
      <c r="C46" s="45"/>
      <c r="D46" s="45"/>
      <c r="E46" s="45"/>
      <c r="F46" s="45"/>
    </row>
  </sheetData>
  <mergeCells count="21">
    <mergeCell ref="B11:E11"/>
    <mergeCell ref="B30:E30"/>
    <mergeCell ref="B12:E14"/>
    <mergeCell ref="A1:E1"/>
    <mergeCell ref="B10:E10"/>
    <mergeCell ref="B4:C4"/>
    <mergeCell ref="B5:C5"/>
    <mergeCell ref="B6:C6"/>
    <mergeCell ref="B7:C7"/>
    <mergeCell ref="B35:C35"/>
    <mergeCell ref="B36:C36"/>
    <mergeCell ref="B37:C37"/>
    <mergeCell ref="D34:E34"/>
    <mergeCell ref="D35:E35"/>
    <mergeCell ref="D36:E36"/>
    <mergeCell ref="D37:E37"/>
    <mergeCell ref="D32:E32"/>
    <mergeCell ref="D33:E33"/>
    <mergeCell ref="B32:C32"/>
    <mergeCell ref="B33:C33"/>
    <mergeCell ref="B34:C34"/>
  </mergeCells>
  <dataValidations xWindow="316" yWindow="263" count="23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 B18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2"/>
  <sheetViews>
    <sheetView zoomScale="80" zoomScaleNormal="80" workbookViewId="0">
      <selection activeCell="E17" sqref="E17"/>
    </sheetView>
  </sheetViews>
  <sheetFormatPr defaultColWidth="9.140625" defaultRowHeight="15" x14ac:dyDescent="0.25"/>
  <cols>
    <col min="1" max="1" width="23.7109375" style="29" bestFit="1" customWidth="1"/>
    <col min="2" max="2" width="16.42578125" style="29" bestFit="1" customWidth="1"/>
    <col min="3" max="3" width="12.7109375" style="29" customWidth="1"/>
    <col min="4" max="4" width="29.42578125" style="29" bestFit="1" customWidth="1"/>
    <col min="5" max="5" width="18.7109375" style="29" customWidth="1"/>
    <col min="6" max="6" width="20.28515625" style="29" bestFit="1" customWidth="1"/>
    <col min="7" max="7" width="18.7109375" style="29" customWidth="1"/>
    <col min="8" max="8" width="36.7109375" style="29" customWidth="1"/>
    <col min="9" max="16384" width="9.140625" style="29"/>
  </cols>
  <sheetData>
    <row r="1" spans="1:9" ht="34.5" thickBot="1" x14ac:dyDescent="0.55000000000000004">
      <c r="A1" s="149" t="s">
        <v>29</v>
      </c>
      <c r="B1" s="149"/>
      <c r="C1" s="149"/>
      <c r="D1" s="149"/>
    </row>
    <row r="2" spans="1:9" x14ac:dyDescent="0.25">
      <c r="A2" s="15" t="s">
        <v>15</v>
      </c>
      <c r="B2" s="150" t="str">
        <f>CONCATENATE(ExpID,"-",StnNum,"-",StnDay)</f>
        <v>MOSAiC--</v>
      </c>
      <c r="C2" s="150"/>
      <c r="D2" s="53"/>
    </row>
    <row r="3" spans="1:9" x14ac:dyDescent="0.25">
      <c r="A3" s="16" t="s">
        <v>46</v>
      </c>
      <c r="B3" s="151"/>
      <c r="C3" s="151"/>
      <c r="D3" s="57"/>
    </row>
    <row r="4" spans="1:9" x14ac:dyDescent="0.25">
      <c r="A4" s="16" t="s">
        <v>4</v>
      </c>
      <c r="B4" s="152" t="str">
        <f>ObsDate</f>
        <v>14.06.2020</v>
      </c>
      <c r="C4" s="152"/>
      <c r="D4" s="57"/>
    </row>
    <row r="5" spans="1:9" x14ac:dyDescent="0.25">
      <c r="A5" s="17" t="s">
        <v>28</v>
      </c>
      <c r="B5" s="153"/>
      <c r="C5" s="153"/>
      <c r="D5" s="57"/>
    </row>
    <row r="6" spans="1:9" x14ac:dyDescent="0.25">
      <c r="A6" s="17" t="s">
        <v>39</v>
      </c>
      <c r="B6" s="154" t="s">
        <v>86</v>
      </c>
      <c r="C6" s="155"/>
      <c r="D6" s="57"/>
    </row>
    <row r="7" spans="1:9" x14ac:dyDescent="0.25">
      <c r="A7" s="156" t="s">
        <v>70</v>
      </c>
      <c r="B7" s="157"/>
      <c r="C7" s="23"/>
      <c r="D7" s="57"/>
      <c r="E7" s="59"/>
      <c r="F7" s="54"/>
      <c r="G7" s="54"/>
      <c r="H7" s="55"/>
      <c r="I7" s="56"/>
    </row>
    <row r="8" spans="1:9" ht="30" customHeight="1" thickBot="1" x14ac:dyDescent="0.3">
      <c r="A8" s="18" t="s">
        <v>14</v>
      </c>
      <c r="B8" s="146"/>
      <c r="C8" s="147"/>
      <c r="D8" s="148"/>
    </row>
    <row r="10" spans="1:9" ht="15.75" thickBot="1" x14ac:dyDescent="0.3">
      <c r="A10" s="31" t="s">
        <v>27</v>
      </c>
      <c r="D10" s="31" t="s">
        <v>30</v>
      </c>
    </row>
    <row r="11" spans="1:9" x14ac:dyDescent="0.25">
      <c r="A11" s="8" t="s">
        <v>40</v>
      </c>
      <c r="B11" s="64">
        <v>-2</v>
      </c>
      <c r="D11" s="8" t="s">
        <v>49</v>
      </c>
      <c r="E11" s="67"/>
    </row>
    <row r="12" spans="1:9" x14ac:dyDescent="0.25">
      <c r="A12" s="9" t="s">
        <v>41</v>
      </c>
      <c r="B12" s="65">
        <v>-0.4</v>
      </c>
      <c r="C12" s="29" t="s">
        <v>74</v>
      </c>
      <c r="D12" s="9" t="s">
        <v>50</v>
      </c>
      <c r="E12" s="68"/>
    </row>
    <row r="13" spans="1:9" x14ac:dyDescent="0.25">
      <c r="A13" s="9" t="s">
        <v>42</v>
      </c>
      <c r="B13" s="65">
        <v>-0.1</v>
      </c>
      <c r="D13" s="9" t="s">
        <v>51</v>
      </c>
      <c r="E13" s="68">
        <v>145</v>
      </c>
    </row>
    <row r="14" spans="1:9" ht="15.75" thickBot="1" x14ac:dyDescent="0.3">
      <c r="A14" s="11" t="s">
        <v>43</v>
      </c>
      <c r="B14" s="66">
        <v>-1.85</v>
      </c>
      <c r="C14" s="29" t="s">
        <v>73</v>
      </c>
      <c r="D14" s="9" t="s">
        <v>47</v>
      </c>
      <c r="E14" s="68">
        <v>37</v>
      </c>
    </row>
    <row r="15" spans="1:9" x14ac:dyDescent="0.25">
      <c r="D15" s="9" t="s">
        <v>48</v>
      </c>
      <c r="E15" s="68">
        <v>182</v>
      </c>
    </row>
    <row r="16" spans="1:9" ht="15.75" thickBot="1" x14ac:dyDescent="0.3">
      <c r="D16" s="11" t="s">
        <v>59</v>
      </c>
      <c r="E16" s="69">
        <v>5</v>
      </c>
    </row>
    <row r="17" spans="1:8" ht="15.75" thickBot="1" x14ac:dyDescent="0.3"/>
    <row r="18" spans="1:8" x14ac:dyDescent="0.25">
      <c r="D18" s="8" t="s">
        <v>71</v>
      </c>
      <c r="E18" s="70"/>
      <c r="F18" s="60"/>
      <c r="G18" s="61"/>
    </row>
    <row r="19" spans="1:8" x14ac:dyDescent="0.25">
      <c r="D19" s="9" t="s">
        <v>45</v>
      </c>
      <c r="E19" s="71"/>
      <c r="F19" s="39"/>
      <c r="G19" s="62"/>
    </row>
    <row r="20" spans="1:8" ht="15.75" thickBot="1" x14ac:dyDescent="0.3">
      <c r="D20" s="11" t="s">
        <v>44</v>
      </c>
      <c r="E20" s="63"/>
      <c r="F20" s="63"/>
      <c r="G20" s="19"/>
    </row>
    <row r="21" spans="1:8" ht="15.75" thickBot="1" x14ac:dyDescent="0.3"/>
    <row r="22" spans="1:8" ht="15.75" thickBot="1" x14ac:dyDescent="0.3">
      <c r="A22" s="20" t="s">
        <v>72</v>
      </c>
      <c r="B22" s="21" t="s">
        <v>31</v>
      </c>
      <c r="D22" s="20" t="s">
        <v>36</v>
      </c>
      <c r="E22" s="22" t="s">
        <v>52</v>
      </c>
      <c r="F22" s="22" t="s">
        <v>53</v>
      </c>
      <c r="G22" s="22" t="s">
        <v>54</v>
      </c>
      <c r="H22" s="21" t="s">
        <v>12</v>
      </c>
    </row>
    <row r="23" spans="1:8" x14ac:dyDescent="0.25">
      <c r="A23" s="107">
        <v>0</v>
      </c>
      <c r="B23" s="106">
        <v>-0.1</v>
      </c>
      <c r="D23" s="72"/>
      <c r="E23" s="73"/>
      <c r="F23" s="73"/>
      <c r="G23" s="73"/>
      <c r="H23" s="58"/>
    </row>
    <row r="24" spans="1:8" x14ac:dyDescent="0.25">
      <c r="A24" s="108">
        <v>2.5</v>
      </c>
      <c r="B24" s="76">
        <v>-0.5</v>
      </c>
      <c r="D24" s="74"/>
      <c r="E24" s="75"/>
      <c r="F24" s="75"/>
      <c r="G24" s="75"/>
      <c r="H24" s="26"/>
    </row>
    <row r="25" spans="1:8" x14ac:dyDescent="0.25">
      <c r="A25" s="108">
        <v>12.5</v>
      </c>
      <c r="B25" s="76">
        <v>-0.1</v>
      </c>
      <c r="D25" s="74"/>
      <c r="E25" s="75"/>
      <c r="F25" s="75"/>
      <c r="G25" s="75"/>
      <c r="H25" s="26"/>
    </row>
    <row r="26" spans="1:8" x14ac:dyDescent="0.25">
      <c r="A26" s="108">
        <v>22.5</v>
      </c>
      <c r="B26" s="76">
        <v>-0.3</v>
      </c>
      <c r="D26" s="74"/>
      <c r="E26" s="75"/>
      <c r="F26" s="75"/>
      <c r="G26" s="75"/>
      <c r="H26" s="26"/>
    </row>
    <row r="27" spans="1:8" x14ac:dyDescent="0.25">
      <c r="A27" s="107">
        <v>32.5</v>
      </c>
      <c r="B27" s="76">
        <v>-0.65</v>
      </c>
      <c r="D27" s="74"/>
      <c r="E27" s="75"/>
      <c r="F27" s="75"/>
      <c r="G27" s="75"/>
      <c r="H27" s="26"/>
    </row>
    <row r="28" spans="1:8" x14ac:dyDescent="0.25">
      <c r="A28" s="108">
        <v>45</v>
      </c>
      <c r="B28" s="76">
        <v>-1</v>
      </c>
      <c r="D28" s="74"/>
      <c r="E28" s="75"/>
      <c r="F28" s="75"/>
      <c r="G28" s="75"/>
      <c r="H28" s="26"/>
    </row>
    <row r="29" spans="1:8" x14ac:dyDescent="0.25">
      <c r="A29" s="108">
        <v>52.5</v>
      </c>
      <c r="B29" s="76">
        <v>-1.2</v>
      </c>
      <c r="D29" s="74"/>
      <c r="E29" s="75"/>
      <c r="F29" s="75"/>
      <c r="G29" s="75"/>
      <c r="H29" s="26"/>
    </row>
    <row r="30" spans="1:8" x14ac:dyDescent="0.25">
      <c r="A30" s="107">
        <v>62.5</v>
      </c>
      <c r="B30" s="76">
        <v>-1.4</v>
      </c>
      <c r="D30" s="74"/>
      <c r="E30" s="75"/>
      <c r="F30" s="75"/>
      <c r="G30" s="75"/>
      <c r="H30" s="26"/>
    </row>
    <row r="31" spans="1:8" x14ac:dyDescent="0.25">
      <c r="A31" s="108">
        <v>72.5</v>
      </c>
      <c r="B31" s="76">
        <v>-1.6</v>
      </c>
      <c r="D31" s="74"/>
      <c r="E31" s="75"/>
      <c r="F31" s="75"/>
      <c r="G31" s="75"/>
      <c r="H31" s="26"/>
    </row>
    <row r="32" spans="1:8" x14ac:dyDescent="0.25">
      <c r="A32" s="108">
        <v>82.5</v>
      </c>
      <c r="B32" s="76">
        <v>-1.7</v>
      </c>
      <c r="D32" s="74"/>
      <c r="E32" s="75"/>
      <c r="F32" s="75"/>
      <c r="G32" s="75"/>
      <c r="H32" s="26"/>
    </row>
    <row r="33" spans="1:8" x14ac:dyDescent="0.25">
      <c r="A33" s="107">
        <v>92.5</v>
      </c>
      <c r="B33" s="76">
        <v>-1.7</v>
      </c>
      <c r="D33" s="74"/>
      <c r="E33" s="75"/>
      <c r="F33" s="75"/>
      <c r="G33" s="75"/>
      <c r="H33" s="26"/>
    </row>
    <row r="34" spans="1:8" x14ac:dyDescent="0.25">
      <c r="A34" s="108">
        <v>100.5</v>
      </c>
      <c r="B34" s="76">
        <v>-1.9</v>
      </c>
      <c r="D34" s="74"/>
      <c r="E34" s="75"/>
      <c r="F34" s="75"/>
      <c r="G34" s="75"/>
      <c r="H34" s="26"/>
    </row>
    <row r="35" spans="1:8" x14ac:dyDescent="0.25">
      <c r="A35" s="108">
        <v>112.5</v>
      </c>
      <c r="B35" s="76">
        <v>-1.8</v>
      </c>
      <c r="D35" s="74"/>
      <c r="E35" s="75"/>
      <c r="F35" s="75"/>
      <c r="G35" s="75"/>
      <c r="H35" s="26"/>
    </row>
    <row r="36" spans="1:8" x14ac:dyDescent="0.25">
      <c r="A36" s="107">
        <v>122.5</v>
      </c>
      <c r="B36" s="76">
        <v>-2</v>
      </c>
      <c r="D36" s="74"/>
      <c r="E36" s="75"/>
      <c r="F36" s="75"/>
      <c r="G36" s="75"/>
      <c r="H36" s="26"/>
    </row>
    <row r="37" spans="1:8" x14ac:dyDescent="0.25">
      <c r="A37" s="108">
        <v>132.5</v>
      </c>
      <c r="B37" s="76">
        <v>-2</v>
      </c>
      <c r="D37" s="74"/>
      <c r="E37" s="75"/>
      <c r="F37" s="75"/>
      <c r="G37" s="75"/>
      <c r="H37" s="26"/>
    </row>
    <row r="38" spans="1:8" x14ac:dyDescent="0.25">
      <c r="A38" s="108">
        <v>142.5</v>
      </c>
      <c r="B38" s="76">
        <v>-1.9</v>
      </c>
      <c r="D38" s="74"/>
      <c r="E38" s="75"/>
      <c r="F38" s="75"/>
      <c r="G38" s="75"/>
      <c r="H38" s="26"/>
    </row>
    <row r="39" spans="1:8" x14ac:dyDescent="0.25">
      <c r="A39" s="107">
        <v>152.5</v>
      </c>
      <c r="B39" s="76">
        <v>-1.8</v>
      </c>
      <c r="D39" s="74"/>
      <c r="E39" s="75"/>
      <c r="F39" s="75"/>
      <c r="G39" s="75"/>
      <c r="H39" s="26"/>
    </row>
    <row r="40" spans="1:8" x14ac:dyDescent="0.25">
      <c r="A40" s="108">
        <v>162.5</v>
      </c>
      <c r="B40" s="76">
        <v>-1.8</v>
      </c>
      <c r="D40" s="74"/>
      <c r="E40" s="75"/>
      <c r="F40" s="75"/>
      <c r="G40" s="75"/>
      <c r="H40" s="26"/>
    </row>
    <row r="41" spans="1:8" x14ac:dyDescent="0.25">
      <c r="A41" s="108">
        <v>172.5</v>
      </c>
      <c r="B41" s="76">
        <v>-1.85</v>
      </c>
      <c r="D41" s="74"/>
      <c r="E41" s="75"/>
      <c r="F41" s="75"/>
      <c r="G41" s="75"/>
      <c r="H41" s="26"/>
    </row>
    <row r="42" spans="1:8" x14ac:dyDescent="0.25">
      <c r="A42" s="108">
        <v>179.5</v>
      </c>
      <c r="B42" s="76">
        <v>-1.85</v>
      </c>
      <c r="D42" s="74"/>
      <c r="E42" s="75"/>
      <c r="F42" s="75"/>
      <c r="G42" s="75"/>
      <c r="H42" s="26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disablePrompts="1"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M59"/>
  <sheetViews>
    <sheetView tabSelected="1" zoomScale="80" zoomScaleNormal="80" workbookViewId="0">
      <selection activeCell="G34" sqref="G34"/>
    </sheetView>
  </sheetViews>
  <sheetFormatPr defaultColWidth="9.140625" defaultRowHeight="15" x14ac:dyDescent="0.25"/>
  <cols>
    <col min="1" max="1" width="21.7109375" style="29" customWidth="1"/>
    <col min="2" max="3" width="15.7109375" style="29" customWidth="1"/>
    <col min="4" max="5" width="18.7109375" style="29" customWidth="1"/>
    <col min="6" max="6" width="19.5703125" style="29" bestFit="1" customWidth="1"/>
    <col min="7" max="7" width="19.85546875" style="29" bestFit="1" customWidth="1"/>
    <col min="8" max="8" width="19.5703125" style="29" bestFit="1" customWidth="1"/>
    <col min="9" max="9" width="36.7109375" style="79" customWidth="1"/>
    <col min="10" max="16384" width="9.140625" style="29"/>
  </cols>
  <sheetData>
    <row r="1" spans="1:9" ht="34.5" thickBot="1" x14ac:dyDescent="0.55000000000000004">
      <c r="A1" s="149" t="s">
        <v>38</v>
      </c>
      <c r="B1" s="149"/>
      <c r="C1" s="149"/>
      <c r="D1" s="77"/>
    </row>
    <row r="2" spans="1:9" x14ac:dyDescent="0.25">
      <c r="A2" s="15" t="s">
        <v>15</v>
      </c>
      <c r="B2" s="161" t="str">
        <f>CONCATENATE(ExpID,"-",StnNum,"-",StnDay)</f>
        <v>MOSAiC--</v>
      </c>
      <c r="C2" s="161"/>
      <c r="D2" s="53"/>
    </row>
    <row r="3" spans="1:9" x14ac:dyDescent="0.25">
      <c r="A3" s="16" t="s">
        <v>46</v>
      </c>
      <c r="B3" s="162"/>
      <c r="C3" s="162"/>
      <c r="D3" s="57"/>
    </row>
    <row r="4" spans="1:9" x14ac:dyDescent="0.25">
      <c r="A4" s="16" t="s">
        <v>4</v>
      </c>
      <c r="B4" s="152" t="str">
        <f>ObsDate</f>
        <v>14.06.2020</v>
      </c>
      <c r="C4" s="152"/>
      <c r="D4" s="57"/>
    </row>
    <row r="5" spans="1:9" x14ac:dyDescent="0.25">
      <c r="A5" s="17" t="s">
        <v>28</v>
      </c>
      <c r="B5" s="163"/>
      <c r="C5" s="163"/>
      <c r="D5" s="57"/>
    </row>
    <row r="6" spans="1:9" x14ac:dyDescent="0.25">
      <c r="A6" s="17" t="s">
        <v>39</v>
      </c>
      <c r="B6" s="164" t="s">
        <v>86</v>
      </c>
      <c r="C6" s="165"/>
      <c r="D6" s="57"/>
      <c r="E6" s="54"/>
      <c r="F6" s="54"/>
      <c r="G6" s="55"/>
      <c r="H6" s="56"/>
    </row>
    <row r="7" spans="1:9" ht="30" customHeight="1" thickBot="1" x14ac:dyDescent="0.3">
      <c r="A7" s="18" t="s">
        <v>14</v>
      </c>
      <c r="B7" s="158"/>
      <c r="C7" s="159"/>
      <c r="D7" s="160"/>
      <c r="F7" s="29" t="s">
        <v>80</v>
      </c>
      <c r="G7" s="29">
        <v>0.83</v>
      </c>
    </row>
    <row r="8" spans="1:9" x14ac:dyDescent="0.25">
      <c r="F8" s="29" t="s">
        <v>81</v>
      </c>
      <c r="G8" s="29">
        <v>-15</v>
      </c>
    </row>
    <row r="9" spans="1:9" ht="15.75" thickBot="1" x14ac:dyDescent="0.3">
      <c r="A9" s="31" t="s">
        <v>30</v>
      </c>
    </row>
    <row r="10" spans="1:9" x14ac:dyDescent="0.25">
      <c r="A10" s="86" t="s">
        <v>59</v>
      </c>
      <c r="B10" s="87">
        <v>5</v>
      </c>
      <c r="F10" s="93" t="s">
        <v>36</v>
      </c>
      <c r="G10" s="94" t="s">
        <v>57</v>
      </c>
      <c r="H10" s="94" t="s">
        <v>58</v>
      </c>
      <c r="I10" s="95" t="s">
        <v>12</v>
      </c>
    </row>
    <row r="11" spans="1:9" x14ac:dyDescent="0.25">
      <c r="A11" s="88" t="s">
        <v>48</v>
      </c>
      <c r="B11" s="89">
        <v>182</v>
      </c>
      <c r="F11" s="96"/>
      <c r="G11" s="82"/>
      <c r="H11" s="25"/>
      <c r="I11" s="97"/>
    </row>
    <row r="12" spans="1:9" x14ac:dyDescent="0.25">
      <c r="A12" s="88" t="s">
        <v>60</v>
      </c>
      <c r="B12" s="89">
        <v>150</v>
      </c>
      <c r="F12" s="96"/>
      <c r="G12" s="25"/>
      <c r="H12" s="83"/>
      <c r="I12" s="98"/>
    </row>
    <row r="13" spans="1:9" x14ac:dyDescent="0.25">
      <c r="A13" s="88" t="s">
        <v>47</v>
      </c>
      <c r="B13" s="89">
        <v>32</v>
      </c>
      <c r="F13" s="96"/>
      <c r="G13" s="25"/>
      <c r="H13" s="25"/>
      <c r="I13" s="98"/>
    </row>
    <row r="14" spans="1:9" ht="15.75" thickBot="1" x14ac:dyDescent="0.3">
      <c r="A14" s="90" t="s">
        <v>61</v>
      </c>
      <c r="B14" s="91"/>
      <c r="F14" s="96"/>
      <c r="G14" s="25"/>
      <c r="H14" s="25"/>
      <c r="I14" s="98"/>
    </row>
    <row r="15" spans="1:9" x14ac:dyDescent="0.25">
      <c r="F15" s="96"/>
      <c r="G15" s="25"/>
      <c r="H15" s="25"/>
      <c r="I15" s="98"/>
    </row>
    <row r="16" spans="1:9" ht="15.75" thickBot="1" x14ac:dyDescent="0.3">
      <c r="A16" s="31" t="s">
        <v>32</v>
      </c>
      <c r="F16" s="96"/>
      <c r="G16" s="25"/>
      <c r="H16" s="25"/>
      <c r="I16" s="98"/>
    </row>
    <row r="17" spans="1:13" x14ac:dyDescent="0.25">
      <c r="A17" s="86" t="s">
        <v>62</v>
      </c>
      <c r="B17" s="87">
        <v>7</v>
      </c>
      <c r="F17" s="96"/>
      <c r="G17" s="25"/>
      <c r="H17" s="25"/>
      <c r="I17" s="98"/>
    </row>
    <row r="18" spans="1:13" ht="15.75" thickBot="1" x14ac:dyDescent="0.3">
      <c r="A18" s="11" t="s">
        <v>63</v>
      </c>
      <c r="B18" s="92"/>
      <c r="F18" s="96"/>
      <c r="G18" s="25"/>
      <c r="H18" s="25"/>
      <c r="I18" s="98"/>
    </row>
    <row r="19" spans="1:13" ht="15.75" thickBot="1" x14ac:dyDescent="0.3">
      <c r="B19" s="80"/>
      <c r="F19" s="99"/>
      <c r="G19" s="100"/>
      <c r="H19" s="100"/>
      <c r="I19" s="101"/>
    </row>
    <row r="21" spans="1:13" ht="15.75" thickBot="1" x14ac:dyDescent="0.3"/>
    <row r="22" spans="1:13" s="81" customFormat="1" ht="45.75" thickBot="1" x14ac:dyDescent="0.3">
      <c r="A22" s="103" t="s">
        <v>55</v>
      </c>
      <c r="B22" s="104" t="s">
        <v>56</v>
      </c>
      <c r="C22" s="104" t="s">
        <v>37</v>
      </c>
      <c r="D22" s="104" t="s">
        <v>75</v>
      </c>
      <c r="E22" s="104" t="s">
        <v>76</v>
      </c>
      <c r="F22" s="104" t="s">
        <v>77</v>
      </c>
      <c r="G22" s="104" t="s">
        <v>78</v>
      </c>
      <c r="H22" s="104" t="s">
        <v>79</v>
      </c>
      <c r="I22" s="105" t="s">
        <v>12</v>
      </c>
      <c r="J22" s="3" t="s">
        <v>33</v>
      </c>
      <c r="K22" s="3" t="s">
        <v>34</v>
      </c>
      <c r="L22" s="3" t="s">
        <v>35</v>
      </c>
    </row>
    <row r="23" spans="1:13" x14ac:dyDescent="0.25">
      <c r="A23" s="85">
        <v>0</v>
      </c>
      <c r="B23" s="85">
        <v>5</v>
      </c>
      <c r="C23" s="78"/>
      <c r="D23" s="78"/>
      <c r="E23" s="110"/>
      <c r="F23" s="85" t="s">
        <v>87</v>
      </c>
      <c r="G23" s="85">
        <f>AVERAGE(A23:B23)</f>
        <v>2.5</v>
      </c>
      <c r="H23" s="78">
        <v>0.83620000000000005</v>
      </c>
      <c r="I23" s="102"/>
      <c r="J23" s="166">
        <v>0.28000000000000003</v>
      </c>
      <c r="K23" s="166"/>
      <c r="L23" s="166">
        <v>15</v>
      </c>
      <c r="M23" s="29" t="s">
        <v>82</v>
      </c>
    </row>
    <row r="24" spans="1:13" x14ac:dyDescent="0.25">
      <c r="A24" s="24">
        <v>5</v>
      </c>
      <c r="B24" s="24">
        <v>10</v>
      </c>
      <c r="C24" s="24"/>
      <c r="D24" s="24"/>
      <c r="E24" s="24"/>
      <c r="F24" s="24" t="s">
        <v>88</v>
      </c>
      <c r="G24" s="85">
        <f t="shared" ref="G24:G59" si="0">AVERAGE(A24:B24)</f>
        <v>7.5</v>
      </c>
      <c r="H24" s="78">
        <v>0.81910000000000005</v>
      </c>
      <c r="I24" s="102"/>
      <c r="J24" s="166">
        <v>0.31</v>
      </c>
      <c r="K24" s="166"/>
      <c r="L24" s="166">
        <v>15</v>
      </c>
    </row>
    <row r="25" spans="1:13" x14ac:dyDescent="0.25">
      <c r="A25" s="24">
        <v>10</v>
      </c>
      <c r="B25" s="24">
        <v>15</v>
      </c>
      <c r="C25" s="24"/>
      <c r="D25" s="24"/>
      <c r="E25" s="24"/>
      <c r="F25" s="85" t="s">
        <v>89</v>
      </c>
      <c r="G25" s="85">
        <f t="shared" si="0"/>
        <v>12.5</v>
      </c>
      <c r="H25" s="78">
        <v>0.84320000000000006</v>
      </c>
      <c r="I25" s="84"/>
      <c r="J25" s="166">
        <v>0.61</v>
      </c>
      <c r="K25" s="166"/>
      <c r="L25" s="166">
        <v>15</v>
      </c>
    </row>
    <row r="26" spans="1:13" x14ac:dyDescent="0.25">
      <c r="A26" s="24">
        <v>15</v>
      </c>
      <c r="B26" s="24">
        <v>20</v>
      </c>
      <c r="C26" s="24"/>
      <c r="D26" s="24"/>
      <c r="E26" s="24"/>
      <c r="F26" s="24" t="s">
        <v>90</v>
      </c>
      <c r="G26" s="85">
        <f t="shared" si="0"/>
        <v>17.5</v>
      </c>
      <c r="H26" s="78">
        <v>0.94010000000000005</v>
      </c>
      <c r="I26" s="84"/>
      <c r="J26" s="166">
        <v>1.28</v>
      </c>
      <c r="K26" s="166"/>
      <c r="L26" s="166">
        <v>15</v>
      </c>
    </row>
    <row r="27" spans="1:13" x14ac:dyDescent="0.25">
      <c r="A27" s="24">
        <v>20</v>
      </c>
      <c r="B27" s="24">
        <v>25</v>
      </c>
      <c r="C27" s="24"/>
      <c r="D27" s="24"/>
      <c r="E27" s="24"/>
      <c r="F27" s="85" t="s">
        <v>91</v>
      </c>
      <c r="G27" s="85">
        <f t="shared" si="0"/>
        <v>22.5</v>
      </c>
      <c r="H27" s="78">
        <v>0.9486</v>
      </c>
      <c r="I27" s="84"/>
      <c r="J27" s="166">
        <v>1.87</v>
      </c>
      <c r="K27" s="166"/>
      <c r="L27" s="166">
        <v>15</v>
      </c>
    </row>
    <row r="28" spans="1:13" x14ac:dyDescent="0.25">
      <c r="A28" s="24">
        <v>25</v>
      </c>
      <c r="B28" s="24">
        <v>30</v>
      </c>
      <c r="C28" s="24"/>
      <c r="D28" s="24"/>
      <c r="E28" s="24"/>
      <c r="F28" s="24" t="s">
        <v>92</v>
      </c>
      <c r="G28" s="85">
        <f t="shared" si="0"/>
        <v>27.5</v>
      </c>
      <c r="H28" s="78">
        <v>0.91639999999999999</v>
      </c>
      <c r="I28" s="84"/>
      <c r="J28" s="166">
        <v>2.36</v>
      </c>
      <c r="K28" s="166"/>
      <c r="L28" s="166">
        <v>15</v>
      </c>
    </row>
    <row r="29" spans="1:13" x14ac:dyDescent="0.25">
      <c r="A29" s="24">
        <v>30</v>
      </c>
      <c r="B29" s="24">
        <v>35</v>
      </c>
      <c r="C29" s="24"/>
      <c r="D29" s="24"/>
      <c r="E29" s="24"/>
      <c r="F29" s="85" t="s">
        <v>93</v>
      </c>
      <c r="G29" s="85">
        <f t="shared" si="0"/>
        <v>32.5</v>
      </c>
      <c r="H29" s="78">
        <v>0.88349999999999995</v>
      </c>
      <c r="I29" s="84"/>
      <c r="J29" s="166">
        <v>2.54</v>
      </c>
      <c r="K29" s="166"/>
      <c r="L29" s="166">
        <v>15</v>
      </c>
    </row>
    <row r="30" spans="1:13" x14ac:dyDescent="0.25">
      <c r="A30" s="24">
        <v>35</v>
      </c>
      <c r="B30" s="24">
        <v>40</v>
      </c>
      <c r="C30" s="24"/>
      <c r="D30" s="24"/>
      <c r="E30" s="24"/>
      <c r="F30" s="24" t="s">
        <v>94</v>
      </c>
      <c r="G30" s="85">
        <f t="shared" si="0"/>
        <v>37.5</v>
      </c>
      <c r="H30" s="78">
        <v>0.91139999999999999</v>
      </c>
      <c r="I30" s="84"/>
      <c r="J30" s="166">
        <v>3.02</v>
      </c>
      <c r="K30" s="166"/>
      <c r="L30" s="166">
        <v>15</v>
      </c>
    </row>
    <row r="31" spans="1:13" x14ac:dyDescent="0.25">
      <c r="A31" s="24">
        <v>40</v>
      </c>
      <c r="B31" s="24">
        <v>45</v>
      </c>
      <c r="C31" s="24"/>
      <c r="D31" s="24"/>
      <c r="E31" s="24"/>
      <c r="F31" s="85" t="s">
        <v>95</v>
      </c>
      <c r="G31" s="85">
        <f t="shared" si="0"/>
        <v>42.5</v>
      </c>
      <c r="H31" s="24">
        <v>0.9153</v>
      </c>
      <c r="I31" s="84"/>
      <c r="J31" s="166">
        <v>2.91</v>
      </c>
      <c r="K31" s="166"/>
      <c r="L31" s="166">
        <v>15</v>
      </c>
    </row>
    <row r="32" spans="1:13" x14ac:dyDescent="0.25">
      <c r="A32" s="24">
        <v>45</v>
      </c>
      <c r="B32" s="24">
        <v>50</v>
      </c>
      <c r="C32" s="24"/>
      <c r="D32" s="24"/>
      <c r="E32" s="24"/>
      <c r="F32" s="24" t="s">
        <v>96</v>
      </c>
      <c r="G32" s="85">
        <f t="shared" si="0"/>
        <v>47.5</v>
      </c>
      <c r="H32" s="24">
        <v>0.91089999999999993</v>
      </c>
      <c r="I32" s="84"/>
      <c r="J32" s="166">
        <v>2.69</v>
      </c>
      <c r="K32" s="166"/>
      <c r="L32" s="166">
        <v>15</v>
      </c>
    </row>
    <row r="33" spans="1:12" x14ac:dyDescent="0.25">
      <c r="A33" s="24">
        <v>50</v>
      </c>
      <c r="B33" s="24">
        <v>55</v>
      </c>
      <c r="C33" s="24"/>
      <c r="D33" s="24"/>
      <c r="E33" s="24"/>
      <c r="F33" s="85" t="s">
        <v>97</v>
      </c>
      <c r="G33" s="85">
        <f t="shared" si="0"/>
        <v>52.5</v>
      </c>
      <c r="H33" s="24">
        <v>0.91600000000000004</v>
      </c>
      <c r="I33" s="84"/>
      <c r="J33" s="166">
        <v>3.11</v>
      </c>
      <c r="K33" s="166"/>
      <c r="L33" s="166">
        <v>15</v>
      </c>
    </row>
    <row r="34" spans="1:12" x14ac:dyDescent="0.25">
      <c r="A34" s="24">
        <v>55</v>
      </c>
      <c r="B34" s="24">
        <v>60</v>
      </c>
      <c r="C34" s="24"/>
      <c r="D34" s="24"/>
      <c r="E34" s="24"/>
      <c r="F34" s="24" t="s">
        <v>98</v>
      </c>
      <c r="G34" s="85">
        <f t="shared" si="0"/>
        <v>57.5</v>
      </c>
      <c r="H34" s="24">
        <v>0.91710000000000003</v>
      </c>
      <c r="I34" s="84"/>
      <c r="J34" s="166">
        <v>3.23</v>
      </c>
      <c r="K34" s="166"/>
      <c r="L34" s="166">
        <v>15</v>
      </c>
    </row>
    <row r="35" spans="1:12" x14ac:dyDescent="0.25">
      <c r="A35" s="24">
        <v>60</v>
      </c>
      <c r="B35" s="24">
        <v>65</v>
      </c>
      <c r="C35" s="24"/>
      <c r="D35" s="24"/>
      <c r="E35" s="24"/>
      <c r="F35" s="85" t="s">
        <v>99</v>
      </c>
      <c r="G35" s="85">
        <f t="shared" si="0"/>
        <v>62.5</v>
      </c>
      <c r="H35" s="24">
        <v>0.90900000000000003</v>
      </c>
      <c r="I35" s="84"/>
      <c r="J35" s="166">
        <v>2.72</v>
      </c>
      <c r="K35" s="166"/>
      <c r="L35" s="166">
        <v>15</v>
      </c>
    </row>
    <row r="36" spans="1:12" x14ac:dyDescent="0.25">
      <c r="A36" s="24">
        <v>65</v>
      </c>
      <c r="B36" s="24">
        <v>70</v>
      </c>
      <c r="C36" s="24"/>
      <c r="D36" s="24"/>
      <c r="E36" s="24"/>
      <c r="F36" s="24" t="s">
        <v>100</v>
      </c>
      <c r="G36" s="85">
        <f t="shared" si="0"/>
        <v>67.5</v>
      </c>
      <c r="H36" s="24">
        <v>0.90639999999999998</v>
      </c>
      <c r="I36" s="84"/>
      <c r="J36" s="166">
        <v>3.83</v>
      </c>
      <c r="K36" s="166"/>
      <c r="L36" s="166">
        <v>15</v>
      </c>
    </row>
    <row r="37" spans="1:12" x14ac:dyDescent="0.25">
      <c r="A37" s="24">
        <v>70</v>
      </c>
      <c r="B37" s="24">
        <v>75</v>
      </c>
      <c r="C37" s="24"/>
      <c r="D37" s="24"/>
      <c r="E37" s="24"/>
      <c r="F37" s="85" t="s">
        <v>101</v>
      </c>
      <c r="G37" s="85">
        <f>AVERAGE(A37:B37)</f>
        <v>72.5</v>
      </c>
      <c r="H37" s="24">
        <v>0.91170000000000007</v>
      </c>
      <c r="I37" s="84"/>
      <c r="J37" s="166">
        <v>4.16</v>
      </c>
      <c r="K37" s="166"/>
      <c r="L37" s="166">
        <v>15</v>
      </c>
    </row>
    <row r="38" spans="1:12" x14ac:dyDescent="0.25">
      <c r="A38" s="24">
        <v>75</v>
      </c>
      <c r="B38" s="24">
        <v>80</v>
      </c>
      <c r="C38" s="24"/>
      <c r="D38" s="24"/>
      <c r="E38" s="24"/>
      <c r="F38" s="24" t="s">
        <v>102</v>
      </c>
      <c r="G38" s="85">
        <f t="shared" si="0"/>
        <v>77.5</v>
      </c>
      <c r="H38" s="24">
        <v>0.91810000000000003</v>
      </c>
      <c r="I38" s="84"/>
      <c r="J38" s="166">
        <v>3.79</v>
      </c>
      <c r="K38" s="166"/>
      <c r="L38" s="166">
        <v>15</v>
      </c>
    </row>
    <row r="39" spans="1:12" x14ac:dyDescent="0.25">
      <c r="A39" s="24">
        <v>80</v>
      </c>
      <c r="B39" s="24">
        <v>85</v>
      </c>
      <c r="C39" s="24"/>
      <c r="D39" s="24"/>
      <c r="E39" s="24"/>
      <c r="F39" s="85" t="s">
        <v>103</v>
      </c>
      <c r="G39" s="85">
        <f t="shared" si="0"/>
        <v>82.5</v>
      </c>
      <c r="H39" s="24">
        <v>0.9153</v>
      </c>
      <c r="I39" s="84"/>
      <c r="J39" s="166">
        <v>2.57</v>
      </c>
      <c r="K39" s="166"/>
      <c r="L39" s="166">
        <v>15</v>
      </c>
    </row>
    <row r="40" spans="1:12" x14ac:dyDescent="0.25">
      <c r="A40" s="24">
        <v>85</v>
      </c>
      <c r="B40" s="24">
        <v>90</v>
      </c>
      <c r="C40" s="24"/>
      <c r="D40" s="24"/>
      <c r="E40" s="24"/>
      <c r="F40" s="24" t="s">
        <v>104</v>
      </c>
      <c r="G40" s="85">
        <f t="shared" si="0"/>
        <v>87.5</v>
      </c>
      <c r="H40" s="24">
        <v>0.91600000000000004</v>
      </c>
      <c r="I40" s="84"/>
      <c r="J40" s="166">
        <v>3.13</v>
      </c>
      <c r="K40" s="166"/>
      <c r="L40" s="166">
        <v>15</v>
      </c>
    </row>
    <row r="41" spans="1:12" x14ac:dyDescent="0.25">
      <c r="A41" s="24">
        <v>90</v>
      </c>
      <c r="B41" s="24">
        <v>95</v>
      </c>
      <c r="C41" s="24"/>
      <c r="D41" s="24"/>
      <c r="E41" s="24"/>
      <c r="F41" s="24" t="s">
        <v>105</v>
      </c>
      <c r="G41" s="85">
        <f t="shared" si="0"/>
        <v>92.5</v>
      </c>
      <c r="H41" s="24">
        <v>0.91659999999999997</v>
      </c>
      <c r="I41" s="84"/>
      <c r="J41" s="166">
        <v>0.33</v>
      </c>
      <c r="K41" s="166"/>
      <c r="L41" s="166">
        <v>15</v>
      </c>
    </row>
    <row r="42" spans="1:12" x14ac:dyDescent="0.25">
      <c r="A42" s="109">
        <v>95</v>
      </c>
      <c r="B42" s="109">
        <v>100</v>
      </c>
      <c r="C42" s="109"/>
      <c r="D42" s="109"/>
      <c r="E42" s="109"/>
      <c r="F42" s="109" t="s">
        <v>106</v>
      </c>
      <c r="G42" s="109">
        <f t="shared" si="0"/>
        <v>97.5</v>
      </c>
      <c r="H42" s="109">
        <v>0.9143</v>
      </c>
      <c r="I42" s="111"/>
      <c r="J42" s="166">
        <v>3.1</v>
      </c>
      <c r="K42" s="166"/>
      <c r="L42" s="166">
        <v>15</v>
      </c>
    </row>
    <row r="43" spans="1:12" x14ac:dyDescent="0.25">
      <c r="A43" s="109">
        <v>100</v>
      </c>
      <c r="B43" s="109">
        <v>105</v>
      </c>
      <c r="C43" s="109"/>
      <c r="D43" s="109"/>
      <c r="E43" s="109"/>
      <c r="F43" s="109" t="s">
        <v>107</v>
      </c>
      <c r="G43" s="109">
        <f t="shared" si="0"/>
        <v>102.5</v>
      </c>
      <c r="H43" s="109">
        <v>0.91670000000000007</v>
      </c>
      <c r="I43" s="111"/>
      <c r="J43" s="166">
        <v>3.09</v>
      </c>
      <c r="K43" s="166"/>
      <c r="L43" s="166">
        <v>15</v>
      </c>
    </row>
    <row r="44" spans="1:12" x14ac:dyDescent="0.25">
      <c r="A44" s="109">
        <v>105</v>
      </c>
      <c r="B44" s="109">
        <v>110</v>
      </c>
      <c r="C44" s="109"/>
      <c r="D44" s="109"/>
      <c r="E44" s="109"/>
      <c r="F44" s="109" t="s">
        <v>108</v>
      </c>
      <c r="G44" s="112">
        <f t="shared" si="0"/>
        <v>107.5</v>
      </c>
      <c r="H44" s="109">
        <v>0.91810000000000003</v>
      </c>
      <c r="I44" s="111"/>
      <c r="J44" s="166">
        <v>2.87</v>
      </c>
      <c r="K44" s="166"/>
      <c r="L44" s="166">
        <v>15</v>
      </c>
    </row>
    <row r="45" spans="1:12" x14ac:dyDescent="0.25">
      <c r="A45" s="109">
        <v>110</v>
      </c>
      <c r="B45" s="109">
        <v>115</v>
      </c>
      <c r="C45" s="109"/>
      <c r="D45" s="109"/>
      <c r="E45" s="109"/>
      <c r="F45" s="109" t="s">
        <v>109</v>
      </c>
      <c r="G45" s="109">
        <f t="shared" si="0"/>
        <v>112.5</v>
      </c>
      <c r="H45" s="109">
        <v>0.91900000000000004</v>
      </c>
      <c r="I45" s="111"/>
      <c r="J45" s="166">
        <v>3.71</v>
      </c>
      <c r="K45" s="166"/>
      <c r="L45" s="166">
        <v>15</v>
      </c>
    </row>
    <row r="46" spans="1:12" x14ac:dyDescent="0.25">
      <c r="A46" s="109">
        <v>115</v>
      </c>
      <c r="B46" s="109">
        <v>120</v>
      </c>
      <c r="C46" s="109"/>
      <c r="D46" s="109"/>
      <c r="E46" s="109"/>
      <c r="F46" s="109" t="s">
        <v>110</v>
      </c>
      <c r="G46" s="109">
        <f t="shared" si="0"/>
        <v>117.5</v>
      </c>
      <c r="H46" s="109">
        <v>0.91979999999999995</v>
      </c>
      <c r="I46" s="111"/>
      <c r="J46" s="166">
        <v>3.24</v>
      </c>
      <c r="K46" s="166"/>
      <c r="L46" s="166">
        <v>15</v>
      </c>
    </row>
    <row r="47" spans="1:12" x14ac:dyDescent="0.25">
      <c r="A47" s="109">
        <v>120</v>
      </c>
      <c r="B47" s="109">
        <v>125</v>
      </c>
      <c r="C47" s="109"/>
      <c r="D47" s="109"/>
      <c r="E47" s="109"/>
      <c r="F47" s="109" t="s">
        <v>111</v>
      </c>
      <c r="G47" s="112">
        <f t="shared" si="0"/>
        <v>122.5</v>
      </c>
      <c r="H47" s="109">
        <v>0.9204</v>
      </c>
      <c r="I47" s="111"/>
      <c r="J47" s="166">
        <v>3.82</v>
      </c>
      <c r="K47" s="166"/>
      <c r="L47" s="166">
        <v>15</v>
      </c>
    </row>
    <row r="48" spans="1:12" x14ac:dyDescent="0.25">
      <c r="A48" s="109">
        <v>125</v>
      </c>
      <c r="B48" s="109">
        <v>130</v>
      </c>
      <c r="C48" s="109"/>
      <c r="D48" s="109"/>
      <c r="E48" s="109"/>
      <c r="F48" s="109" t="s">
        <v>112</v>
      </c>
      <c r="G48" s="109">
        <f t="shared" si="0"/>
        <v>127.5</v>
      </c>
      <c r="H48" s="109">
        <v>0.91870000000000007</v>
      </c>
      <c r="I48" s="111"/>
      <c r="J48" s="166">
        <v>3.44</v>
      </c>
      <c r="K48" s="166"/>
      <c r="L48" s="166">
        <v>15</v>
      </c>
    </row>
    <row r="49" spans="1:12" x14ac:dyDescent="0.25">
      <c r="A49" s="109">
        <v>130</v>
      </c>
      <c r="B49" s="109">
        <v>135</v>
      </c>
      <c r="C49" s="109"/>
      <c r="D49" s="109"/>
      <c r="E49" s="109"/>
      <c r="F49" s="109" t="s">
        <v>113</v>
      </c>
      <c r="G49" s="109">
        <f t="shared" si="0"/>
        <v>132.5</v>
      </c>
      <c r="H49" s="109">
        <v>0.91620000000000001</v>
      </c>
      <c r="I49" s="111"/>
      <c r="J49" s="166">
        <v>3.49</v>
      </c>
      <c r="K49" s="166"/>
      <c r="L49" s="166">
        <v>15</v>
      </c>
    </row>
    <row r="50" spans="1:12" x14ac:dyDescent="0.25">
      <c r="A50" s="109">
        <v>135</v>
      </c>
      <c r="B50" s="109">
        <v>140</v>
      </c>
      <c r="C50" s="109"/>
      <c r="D50" s="109"/>
      <c r="E50" s="109"/>
      <c r="F50" s="109" t="s">
        <v>114</v>
      </c>
      <c r="G50" s="112">
        <f t="shared" si="0"/>
        <v>137.5</v>
      </c>
      <c r="H50" s="109">
        <v>0.91779999999999995</v>
      </c>
      <c r="I50" s="111"/>
      <c r="J50" s="166">
        <v>2.89</v>
      </c>
      <c r="K50" s="166"/>
      <c r="L50" s="166">
        <v>15</v>
      </c>
    </row>
    <row r="51" spans="1:12" x14ac:dyDescent="0.25">
      <c r="A51" s="109">
        <v>140</v>
      </c>
      <c r="B51" s="109">
        <v>145</v>
      </c>
      <c r="C51" s="109"/>
      <c r="D51" s="109"/>
      <c r="E51" s="109"/>
      <c r="F51" s="109" t="s">
        <v>115</v>
      </c>
      <c r="G51" s="109">
        <f t="shared" si="0"/>
        <v>142.5</v>
      </c>
      <c r="H51" s="109">
        <v>0.91620000000000001</v>
      </c>
      <c r="I51" s="111"/>
      <c r="J51" s="166">
        <v>3.12</v>
      </c>
      <c r="K51" s="166"/>
      <c r="L51" s="166">
        <v>15</v>
      </c>
    </row>
    <row r="52" spans="1:12" x14ac:dyDescent="0.25">
      <c r="A52" s="109">
        <v>145</v>
      </c>
      <c r="B52" s="109">
        <v>150</v>
      </c>
      <c r="C52" s="109"/>
      <c r="D52" s="109"/>
      <c r="E52" s="109"/>
      <c r="F52" s="109" t="s">
        <v>116</v>
      </c>
      <c r="G52" s="109">
        <f t="shared" si="0"/>
        <v>147.5</v>
      </c>
      <c r="H52" s="109">
        <v>0.91739999999999999</v>
      </c>
      <c r="I52" s="111"/>
      <c r="J52" s="166">
        <v>3.17</v>
      </c>
      <c r="K52" s="166"/>
      <c r="L52" s="166">
        <v>15</v>
      </c>
    </row>
    <row r="53" spans="1:12" x14ac:dyDescent="0.25">
      <c r="A53" s="109">
        <v>150</v>
      </c>
      <c r="B53" s="109">
        <v>155</v>
      </c>
      <c r="C53" s="109"/>
      <c r="D53" s="109"/>
      <c r="E53" s="109"/>
      <c r="F53" s="109" t="s">
        <v>117</v>
      </c>
      <c r="G53" s="112">
        <f t="shared" si="0"/>
        <v>152.5</v>
      </c>
      <c r="H53" s="109">
        <v>0.9173</v>
      </c>
      <c r="I53" s="111"/>
      <c r="J53" s="166">
        <v>3.19</v>
      </c>
      <c r="K53" s="166"/>
      <c r="L53" s="166">
        <v>15</v>
      </c>
    </row>
    <row r="54" spans="1:12" x14ac:dyDescent="0.25">
      <c r="A54" s="109">
        <v>155</v>
      </c>
      <c r="B54" s="109">
        <v>160</v>
      </c>
      <c r="C54" s="109"/>
      <c r="D54" s="109"/>
      <c r="E54" s="109"/>
      <c r="F54" s="109" t="s">
        <v>118</v>
      </c>
      <c r="G54" s="109">
        <f t="shared" si="0"/>
        <v>157.5</v>
      </c>
      <c r="H54" s="109">
        <v>0.91670000000000007</v>
      </c>
      <c r="I54" s="111"/>
      <c r="J54" s="166">
        <v>3.14</v>
      </c>
      <c r="K54" s="166"/>
      <c r="L54" s="166">
        <v>15</v>
      </c>
    </row>
    <row r="55" spans="1:12" x14ac:dyDescent="0.25">
      <c r="A55" s="109">
        <v>160</v>
      </c>
      <c r="B55" s="109">
        <v>165</v>
      </c>
      <c r="C55" s="109"/>
      <c r="D55" s="109"/>
      <c r="E55" s="109"/>
      <c r="F55" s="109" t="s">
        <v>119</v>
      </c>
      <c r="G55" s="109">
        <f t="shared" si="0"/>
        <v>162.5</v>
      </c>
      <c r="H55" s="109">
        <v>0.91820000000000002</v>
      </c>
      <c r="I55" s="111"/>
      <c r="J55" s="166">
        <v>2.66</v>
      </c>
      <c r="K55" s="166"/>
      <c r="L55" s="166">
        <v>15</v>
      </c>
    </row>
    <row r="56" spans="1:12" x14ac:dyDescent="0.25">
      <c r="A56" s="109">
        <v>165</v>
      </c>
      <c r="B56" s="109">
        <v>170</v>
      </c>
      <c r="C56" s="109"/>
      <c r="D56" s="109"/>
      <c r="E56" s="109"/>
      <c r="F56" s="109" t="s">
        <v>120</v>
      </c>
      <c r="G56" s="112">
        <f t="shared" si="0"/>
        <v>167.5</v>
      </c>
      <c r="H56" s="109">
        <v>0.91570000000000007</v>
      </c>
      <c r="I56" s="111"/>
      <c r="J56" s="166">
        <v>3.7</v>
      </c>
      <c r="K56" s="166"/>
      <c r="L56" s="166">
        <v>15</v>
      </c>
    </row>
    <row r="57" spans="1:12" x14ac:dyDescent="0.25">
      <c r="A57" s="109">
        <v>170</v>
      </c>
      <c r="B57" s="109">
        <v>174</v>
      </c>
      <c r="C57" s="109"/>
      <c r="D57" s="109"/>
      <c r="E57" s="109"/>
      <c r="F57" s="109" t="s">
        <v>121</v>
      </c>
      <c r="G57" s="109">
        <f t="shared" si="0"/>
        <v>172</v>
      </c>
      <c r="H57" s="109">
        <v>0.91910000000000003</v>
      </c>
      <c r="I57" s="111"/>
      <c r="J57" s="166">
        <v>4.37</v>
      </c>
      <c r="K57" s="166"/>
      <c r="L57" s="166">
        <v>15</v>
      </c>
    </row>
    <row r="58" spans="1:12" x14ac:dyDescent="0.25">
      <c r="A58" s="109">
        <v>174</v>
      </c>
      <c r="B58" s="109">
        <v>179</v>
      </c>
      <c r="C58" s="109"/>
      <c r="D58" s="109"/>
      <c r="E58" s="109"/>
      <c r="F58" s="109" t="s">
        <v>122</v>
      </c>
      <c r="G58" s="109">
        <f t="shared" si="0"/>
        <v>176.5</v>
      </c>
      <c r="H58" s="109">
        <v>0.91839999999999999</v>
      </c>
      <c r="I58" s="111"/>
      <c r="J58" s="166">
        <v>5.08</v>
      </c>
      <c r="K58" s="166"/>
      <c r="L58" s="166">
        <v>15</v>
      </c>
    </row>
    <row r="59" spans="1:12" x14ac:dyDescent="0.25">
      <c r="A59" s="109">
        <v>179</v>
      </c>
      <c r="B59" s="109">
        <v>184</v>
      </c>
      <c r="C59" s="109"/>
      <c r="D59" s="109"/>
      <c r="E59" s="109"/>
      <c r="F59" s="109" t="s">
        <v>123</v>
      </c>
      <c r="G59" s="112">
        <f t="shared" si="0"/>
        <v>181.5</v>
      </c>
      <c r="H59" s="109">
        <v>0.95689999999999997</v>
      </c>
      <c r="I59" s="111"/>
      <c r="J59" s="166">
        <v>6.14</v>
      </c>
      <c r="K59" s="166"/>
      <c r="L59" s="166">
        <v>15</v>
      </c>
    </row>
  </sheetData>
  <mergeCells count="7">
    <mergeCell ref="A1:C1"/>
    <mergeCell ref="B7:D7"/>
    <mergeCell ref="B2:C2"/>
    <mergeCell ref="B3:C3"/>
    <mergeCell ref="B4:C4"/>
    <mergeCell ref="B5:C5"/>
    <mergeCell ref="B6:C6"/>
  </mergeCells>
  <phoneticPr fontId="11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D8E88-428B-40CB-B2F1-3F79044F6C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Station Overview</vt:lpstr>
      <vt:lpstr>Temperature Core</vt:lpstr>
      <vt:lpstr>Density Core</vt:lpstr>
      <vt:lpstr>asdfasdf</vt:lpstr>
      <vt:lpstr>ExpID</vt:lpstr>
      <vt:lpstr>ObsDate</vt:lpstr>
      <vt:lpstr>'Density Core'!Print_Area</vt:lpstr>
      <vt:lpstr>'Station Overview'!Print_Area</vt:lpstr>
      <vt:lpstr>'Temperature Core'!Print_Area</vt:lpstr>
      <vt:lpstr>StnDay</vt:lpstr>
      <vt:lpstr>StnNum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Evgenii Salganik</cp:lastModifiedBy>
  <cp:lastPrinted>2011-02-07T12:20:41Z</cp:lastPrinted>
  <dcterms:created xsi:type="dcterms:W3CDTF">2011-01-27T20:27:49Z</dcterms:created>
  <dcterms:modified xsi:type="dcterms:W3CDTF">2026-05-17T19:44:51Z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