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UDARCO\Data\"/>
    </mc:Choice>
  </mc:AlternateContent>
  <xr:revisionPtr revIDLastSave="0" documentId="13_ncr:1_{0B7FA39E-0BC6-4485-A7ED-23DDB6FCA445}" xr6:coauthVersionLast="47" xr6:coauthVersionMax="47" xr10:uidLastSave="{00000000-0000-0000-0000-000000000000}"/>
  <bookViews>
    <workbookView xWindow="0" yWindow="0" windowWidth="19410" windowHeight="20880" tabRatio="766" activeTab="4" xr2:uid="{00000000-000D-0000-FFFF-FFFF00000000}"/>
  </bookViews>
  <sheets>
    <sheet name="Station Overview" sheetId="1" r:id="rId1"/>
    <sheet name="Salinity Core" sheetId="4" r:id="rId2"/>
    <sheet name="Temperature Core" sheetId="15" r:id="rId3"/>
    <sheet name="Chemistry core" sheetId="17" r:id="rId4"/>
    <sheet name="Density Core" sheetId="14" r:id="rId5"/>
    <sheet name="Archive Core" sheetId="16" r:id="rId6"/>
    <sheet name="Backup core" sheetId="18" r:id="rId7"/>
    <sheet name="Snow Pit" sheetId="5" r:id="rId8"/>
    <sheet name="CTD" sheetId="12" r:id="rId9"/>
    <sheet name="Lists" sheetId="13" r:id="rId10"/>
  </sheets>
  <externalReferences>
    <externalReference r:id="rId11"/>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5">'Archive Core'!$A$1:$H$46</definedName>
    <definedName name="_xlnm.Print_Area" localSheetId="6">'Backup core'!$A$1:$H$46</definedName>
    <definedName name="_xlnm.Print_Area" localSheetId="3">'Chemistry core'!$A$1:$H$46</definedName>
    <definedName name="_xlnm.Print_Area" localSheetId="8">CTD!$A$1:$M$32</definedName>
    <definedName name="_xlnm.Print_Area" localSheetId="4">'Density Core'!$A$1:$I$36</definedName>
    <definedName name="_xlnm.Print_Area" localSheetId="1">'Salinity Core'!$A$1:$N$41</definedName>
    <definedName name="_xlnm.Print_Area" localSheetId="7">'Snow Pit'!$A$1:$S$48</definedName>
    <definedName name="_xlnm.Print_Area" localSheetId="0">'Station Overview'!$A$1:$F$37</definedName>
    <definedName name="_xlnm.Print_Area" localSheetId="2">'Temperature Core'!$A$1:$H$46</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5" i="14" l="1"/>
  <c r="G46" i="14"/>
  <c r="G47" i="14"/>
  <c r="G48" i="14"/>
  <c r="G49" i="14"/>
  <c r="G50" i="14"/>
  <c r="G51" i="14"/>
  <c r="G52" i="14"/>
  <c r="H52" i="14"/>
  <c r="H51" i="14"/>
  <c r="H50" i="14"/>
  <c r="H49" i="14"/>
  <c r="H48" i="14"/>
  <c r="H47" i="14"/>
  <c r="H46" i="14"/>
  <c r="H45" i="14"/>
  <c r="H44" i="14"/>
  <c r="H43" i="14"/>
  <c r="H42" i="14"/>
  <c r="G44" i="14"/>
  <c r="G43" i="14"/>
  <c r="G42" i="14"/>
  <c r="G25" i="14"/>
  <c r="G26" i="14"/>
  <c r="G27" i="14"/>
  <c r="G28" i="14"/>
  <c r="G29" i="14"/>
  <c r="G30" i="14"/>
  <c r="G31" i="14"/>
  <c r="G32" i="14"/>
  <c r="G33" i="14"/>
  <c r="G34" i="14"/>
  <c r="G35" i="14"/>
  <c r="G36" i="14"/>
  <c r="G37" i="14"/>
  <c r="G38" i="14"/>
  <c r="G39" i="14"/>
  <c r="G40" i="14"/>
  <c r="G41" i="14"/>
  <c r="H25" i="14"/>
  <c r="H26" i="14"/>
  <c r="H27" i="14"/>
  <c r="H28" i="14"/>
  <c r="H29" i="14"/>
  <c r="H30" i="14"/>
  <c r="H31" i="14"/>
  <c r="H32" i="14"/>
  <c r="H33" i="14"/>
  <c r="H34" i="14"/>
  <c r="H35" i="14"/>
  <c r="H36" i="14"/>
  <c r="H37" i="14"/>
  <c r="H38" i="14"/>
  <c r="H39" i="14"/>
  <c r="H40" i="14"/>
  <c r="H41" i="14"/>
  <c r="H24" i="14"/>
  <c r="G24" i="14"/>
  <c r="H23" i="14"/>
  <c r="G23" i="14"/>
  <c r="O42" i="5" l="1"/>
  <c r="O41" i="5"/>
  <c r="O40" i="5"/>
  <c r="O39" i="5"/>
  <c r="O38" i="5"/>
  <c r="O37" i="5"/>
  <c r="O36" i="5"/>
  <c r="O35" i="5"/>
  <c r="O34" i="5"/>
  <c r="O33" i="5"/>
  <c r="O32" i="5"/>
  <c r="O31" i="5"/>
  <c r="O30" i="5"/>
  <c r="O29" i="5"/>
  <c r="O28" i="5"/>
  <c r="O27" i="5"/>
  <c r="O26" i="5"/>
  <c r="O25" i="5"/>
  <c r="O24" i="5"/>
  <c r="O23" i="5"/>
  <c r="O22" i="5"/>
  <c r="O21" i="5"/>
  <c r="O20" i="5"/>
  <c r="O19" i="5"/>
  <c r="O18" i="5"/>
  <c r="O17" i="5"/>
  <c r="B4" i="5"/>
  <c r="B2" i="5"/>
  <c r="D20" i="18"/>
  <c r="B4" i="18"/>
  <c r="B2" i="18"/>
  <c r="D20" i="17"/>
  <c r="B4" i="17"/>
  <c r="B2" i="17"/>
  <c r="O43" i="5"/>
  <c r="O44" i="5"/>
  <c r="O45" i="5"/>
  <c r="O46" i="5"/>
  <c r="O47" i="5"/>
  <c r="O48" i="5"/>
  <c r="O49" i="5"/>
  <c r="O50" i="5"/>
  <c r="O51" i="5"/>
  <c r="O52" i="5"/>
  <c r="O53" i="5"/>
  <c r="O54" i="5"/>
  <c r="O55" i="5"/>
  <c r="O56" i="5"/>
  <c r="D20" i="16"/>
  <c r="B4" i="16"/>
  <c r="B2" i="16"/>
  <c r="B2" i="15" l="1"/>
  <c r="B4" i="15"/>
  <c r="M12" i="4"/>
  <c r="G20" i="15"/>
  <c r="B2" i="14" l="1"/>
  <c r="B4" i="12" l="1"/>
  <c r="B2" i="12"/>
  <c r="B4" i="4"/>
  <c r="B2" i="4"/>
</calcChain>
</file>

<file path=xl/sharedStrings.xml><?xml version="1.0" encoding="utf-8"?>
<sst xmlns="http://schemas.openxmlformats.org/spreadsheetml/2006/main" count="485" uniqueCount="284">
  <si>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</si>
  <si>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</si>
  <si>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</si>
  <si>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</si>
  <si>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</si>
  <si>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</si>
  <si>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</si>
  <si>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</si>
  <si>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</si>
  <si>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</si>
  <si>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</si>
  <si>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</si>
  <si>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</si>
  <si>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</si>
  <si>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</si>
  <si>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</si>
  <si>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</si>
  <si>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</si>
  <si>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</si>
  <si>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</si>
  <si>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</si>
  <si>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</si>
  <si>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</si>
  <si>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</si>
  <si>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</si>
  <si>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</si>
  <si>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</si>
  <si>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</si>
  <si>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</si>
  <si>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</si>
  <si>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</si>
  <si>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</si>
  <si>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</si>
  <si>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</si>
  <si>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</si>
  <si>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</si>
  <si>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</si>
  <si>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</si>
  <si>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</si>
  <si>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</si>
  <si>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</si>
  <si>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</si>
  <si>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</si>
  <si>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</si>
  <si>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</si>
  <si>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</si>
  <si>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</si>
  <si>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</si>
  <si>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</si>
  <si>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</si>
  <si>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</si>
  <si>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</si>
  <si>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</si>
  <si>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</si>
  <si>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</si>
  <si>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</si>
  <si>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</si>
  <si>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</si>
  <si>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</si>
  <si>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</si>
  <si>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</si>
  <si>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</si>
  <si>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</si>
  <si>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</si>
  <si>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</si>
  <si>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</si>
  <si>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</si>
  <si>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</si>
  <si>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</si>
  <si>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</si>
  <si>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</si>
  <si>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</si>
  <si>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</si>
  <si>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</si>
  <si>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</si>
  <si>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</si>
  <si>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</si>
  <si>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</si>
  <si>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</si>
  <si>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</si>
  <si>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</si>
  <si>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</si>
  <si>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</si>
  <si>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</si>
  <si>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</si>
  <si>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</si>
  <si>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</si>
  <si>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</si>
  <si>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</si>
  <si>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</si>
  <si>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</si>
  <si>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</si>
  <si>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</si>
  <si>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</si>
  <si>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</si>
  <si>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</si>
  <si>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</si>
  <si>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</si>
  <si>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</si>
  <si>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</si>
  <si>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</si>
  <si>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</si>
  <si>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</si>
  <si>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</si>
  <si>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</si>
  <si>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</si>
  <si>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</si>
  <si>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</si>
  <si>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</si>
  <si>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</si>
  <si>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</si>
  <si>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</si>
  <si>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</si>
  <si>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</si>
  <si>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</si>
  <si>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</si>
  <si>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</si>
  <si>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</si>
  <si>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</si>
  <si>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</si>
  <si>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</si>
  <si>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</si>
  <si>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</si>
  <si>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</si>
  <si>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</si>
  <si>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</si>
  <si>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</si>
  <si>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</si>
  <si>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</si>
  <si>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</si>
  <si>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</si>
  <si>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Freeboard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</si>
  <si>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</si>
  <si>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</si>
  <si>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</si>
  <si>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</si>
  <si>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</si>
  <si>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</si>
  <si>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</si>
  <si>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</si>
  <si>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</si>
  <si>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</si>
  <si>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</si>
  <si>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</si>
  <si>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</si>
  <si>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</si>
  <si>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</si>
  <si>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</si>
  <si>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</si>
  <si>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</si>
  <si>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Stn. Number</t>
  </si>
  <si>
    <t>Exp. ID</t>
  </si>
  <si>
    <t>Time zone used</t>
  </si>
  <si>
    <t>Starting Date</t>
  </si>
  <si>
    <t>Starting Time</t>
  </si>
  <si>
    <t>Associate with station</t>
  </si>
  <si>
    <t>Yes_No</t>
  </si>
  <si>
    <t>Yes</t>
  </si>
  <si>
    <t>No</t>
  </si>
  <si>
    <t>Core Kept for Texture Analasis?</t>
  </si>
  <si>
    <t>[All distances measured from snow/ice interface]</t>
  </si>
  <si>
    <t>Total core length [cm]</t>
  </si>
  <si>
    <t>Depth Top [cm]</t>
  </si>
  <si>
    <t>Depth Bottom [cm]</t>
  </si>
  <si>
    <t>Depth [cm]</t>
  </si>
  <si>
    <t>Ice depth (from top) [cm]</t>
  </si>
  <si>
    <t>Epsilon value</t>
  </si>
  <si>
    <t>Original weight [g]</t>
  </si>
  <si>
    <t>Snow Density [g/cm³]</t>
  </si>
  <si>
    <t>AO2023-I</t>
  </si>
  <si>
    <t>Dmitry Divine, Cora Hoppe</t>
  </si>
  <si>
    <t>end of day 1 coring and snow work (more activity on the ice later in the day)</t>
  </si>
  <si>
    <t>DD, CH</t>
  </si>
  <si>
    <t>communal coring site</t>
  </si>
  <si>
    <t>A01</t>
  </si>
  <si>
    <t>A02</t>
  </si>
  <si>
    <t>A03</t>
  </si>
  <si>
    <t>A04</t>
  </si>
  <si>
    <t>A05</t>
  </si>
  <si>
    <t>A06</t>
  </si>
  <si>
    <t>A07</t>
  </si>
  <si>
    <t>A08</t>
  </si>
  <si>
    <t>A09</t>
  </si>
  <si>
    <t>A10</t>
  </si>
  <si>
    <t>A11</t>
  </si>
  <si>
    <t>A12</t>
  </si>
  <si>
    <t>A13</t>
  </si>
  <si>
    <t>A14</t>
  </si>
  <si>
    <t>A15</t>
  </si>
  <si>
    <t>A16</t>
  </si>
  <si>
    <t>coring site</t>
  </si>
  <si>
    <t>Core 5 archive/stratigraphy</t>
  </si>
  <si>
    <t>09.06.23</t>
  </si>
  <si>
    <t>mark 95 tracker, see GPS data files</t>
  </si>
  <si>
    <t>mark 102, see GPS data files, end of coring and other sampling activities on the ice. Oceanography team continued working after dinner.</t>
  </si>
  <si>
    <t>snow thickness 30,31,30,31</t>
  </si>
  <si>
    <t>break at 51, skeletal layer 2 cm thick</t>
  </si>
  <si>
    <t>DD,CH</t>
  </si>
  <si>
    <t>break at 29</t>
  </si>
  <si>
    <t>skeletal layer 2 cm, algies in the bottom</t>
  </si>
  <si>
    <t>Core 2 Temperature. Photos of the core were taken. Core packed as a Chemistry core in 2 sections of 101 and 50 cm long</t>
  </si>
  <si>
    <t>skeletal layer 1 cm, algies</t>
  </si>
  <si>
    <t>Chemistry Core</t>
  </si>
  <si>
    <t>Core 3 chemistry (ex T-core)</t>
  </si>
  <si>
    <t>Core 6 backup</t>
  </si>
  <si>
    <t>Backup Core</t>
  </si>
  <si>
    <t>Archive Core/Stratigraphy Core</t>
  </si>
  <si>
    <t>Ice station 2 on the ice floe of some 1000 by 800 m size in northern Fram Strait. Floe preferentially level FYI based on snow surface morphology, salty bottom snow layer and ice-snow interface. See radar image in the respective folders. Thick snow cover of some 30 cm thick around the coring site. IN some locations snow was very packed and not permeable for a showel. Some top 1 cm was a fresh snow from last night snowfall. On day 1 did snow survey (SWE), snow pit and coring.  Coring site GPS mark 100. All cores had a clear layer of algies at the very bottom in the skeletal layer.</t>
  </si>
  <si>
    <t>coring site mark 100, core 1 sliced for salinity. For snow properties see snow pit</t>
  </si>
  <si>
    <t>d18O vial</t>
  </si>
  <si>
    <t>12:45 – 13:35 UTC</t>
  </si>
  <si>
    <t>Cora Hoppe</t>
  </si>
  <si>
    <t>Tube volume  [cm³]</t>
  </si>
  <si>
    <t xml:space="preserve">Salinity : </t>
  </si>
  <si>
    <t>Temp [°C]</t>
  </si>
  <si>
    <t>Salinity  []</t>
  </si>
  <si>
    <r>
      <rPr>
        <sz val="11"/>
        <color theme="1"/>
        <rFont val="Calibri"/>
        <family val="2"/>
        <scheme val="minor"/>
      </rPr>
      <t>Conductivity [mS/cm</t>
    </r>
    <r>
      <rPr>
        <vertAlign val="superscript"/>
        <sz val="11"/>
        <color rgb="FF000000"/>
        <rFont val="Calibri"/>
        <family val="2"/>
        <charset val="1"/>
      </rPr>
      <t>3</t>
    </r>
    <r>
      <rPr>
        <sz val="11"/>
        <color theme="1"/>
        <rFont val="Calibri"/>
        <family val="2"/>
        <scheme val="minor"/>
      </rPr>
      <t>]</t>
    </r>
  </si>
  <si>
    <t>Fresh snow from the previous night</t>
  </si>
  <si>
    <t>AO2023-I-St2_10</t>
  </si>
  <si>
    <t>AO2023-I-St2_11</t>
  </si>
  <si>
    <t>AO2023-I-St2_12</t>
  </si>
  <si>
    <t>AO2023-I-St2_13</t>
  </si>
  <si>
    <t>AO2023-I-St2_14</t>
  </si>
  <si>
    <t>AO2023-I-St2_15</t>
  </si>
  <si>
    <t>AO2023-I-St2_1</t>
  </si>
  <si>
    <t>AO2023-I-St2_2</t>
  </si>
  <si>
    <t>AO2023-I-St2_3</t>
  </si>
  <si>
    <t>AO2023-I-St2_4</t>
  </si>
  <si>
    <t>AO2023-I-St2_5</t>
  </si>
  <si>
    <t>AO2023-I-St2_6</t>
  </si>
  <si>
    <t>AO2023-I-St2_7</t>
  </si>
  <si>
    <t>AO2023-I-St2_8</t>
  </si>
  <si>
    <t>AO2023-I-St2_9</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</si>
  <si>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</si>
  <si>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</si>
  <si>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</si>
  <si>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</si>
  <si>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</si>
  <si>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</si>
  <si>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</si>
  <si>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Core 4, packed for density measurements. Analyzed for density 22.05.2026 by D Divine</t>
  </si>
  <si>
    <t>break at 41</t>
  </si>
  <si>
    <t>J1</t>
  </si>
  <si>
    <t>J2</t>
  </si>
  <si>
    <t>J3</t>
  </si>
  <si>
    <t>J4</t>
  </si>
  <si>
    <t>J5</t>
  </si>
  <si>
    <t>J6</t>
  </si>
  <si>
    <t>J7</t>
  </si>
  <si>
    <t>J8</t>
  </si>
  <si>
    <t>J9</t>
  </si>
  <si>
    <t>J10</t>
  </si>
  <si>
    <t>J11</t>
  </si>
  <si>
    <t>J12</t>
  </si>
  <si>
    <t>J13</t>
  </si>
  <si>
    <t>J14</t>
  </si>
  <si>
    <t>J15</t>
  </si>
  <si>
    <t>J16</t>
  </si>
  <si>
    <t>J17</t>
  </si>
  <si>
    <t>J18</t>
  </si>
  <si>
    <t>J19</t>
  </si>
  <si>
    <t>big and small bubbles inside, bubbles out at immersion</t>
  </si>
  <si>
    <t>big and small bubbles inside</t>
  </si>
  <si>
    <t>small bubbles</t>
  </si>
  <si>
    <t>small bubbles and some bigger bubbles</t>
  </si>
  <si>
    <t>small bubbles and some channels</t>
  </si>
  <si>
    <t>measureed right after the measurement series</t>
  </si>
  <si>
    <t>break at 26; some signs of brine leakage after recovery (this frozen "ridge" made of leaked brine on the side)</t>
  </si>
  <si>
    <t>small bubbles and some thin channels</t>
  </si>
  <si>
    <t>C1</t>
  </si>
  <si>
    <t>C2</t>
  </si>
  <si>
    <t>C3</t>
  </si>
  <si>
    <t>C4</t>
  </si>
  <si>
    <t>C5</t>
  </si>
  <si>
    <t>C6</t>
  </si>
  <si>
    <t>C7</t>
  </si>
  <si>
    <t>C8</t>
  </si>
  <si>
    <t>C9</t>
  </si>
  <si>
    <t>C10</t>
  </si>
  <si>
    <t>C11</t>
  </si>
  <si>
    <t>break, small bubbles and some thin channels</t>
  </si>
  <si>
    <t xml:space="preserve">small bubbles and some thin channels, some bubbles out at eimmersion </t>
  </si>
  <si>
    <t>small bubbles and some thin channels, bubbles out (a bit)</t>
  </si>
  <si>
    <t>09.06.2023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</si>
</sst>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quot; cm&quot;"/>
    <numFmt numFmtId="174" formatCode="0&quot; cm²&quot;"/>
    <numFmt numFmtId="175" formatCode="0.0&quot; mm&quot;"/>
    <numFmt numFmtId="176" formatCode="#,##0.0000"/>
  </numFmts>
  <fonts count="18"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8"/>
      <name val="Calibri"/>
      <family val="2"/>
      <scheme val="minor"/>
    </font>
    <font>
      <sz val="11"/>
      <name val="Calibri"/>
      <family val="2"/>
      <charset val="1"/>
    </font>
    <font>
      <b/>
      <sz val="11"/>
      <color rgb="FF000000"/>
      <name val="Calibri"/>
      <family val="2"/>
      <charset val="1"/>
    </font>
    <font>
      <sz val="12"/>
      <color rgb="FF000000"/>
      <name val="Calibri"/>
      <family val="2"/>
      <charset val="1"/>
    </font>
    <font>
      <vertAlign val="superscript"/>
      <sz val="11"/>
      <color rgb="FF000000"/>
      <name val="Calibri"/>
      <family val="2"/>
      <charset val="1"/>
    </font>
  </fonts>
  <fills count="12">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2F2F2"/>
        <bgColor rgb="FFFFFFFF"/>
      </patternFill>
    </fill>
    <fill>
      <patternFill patternType="solid">
        <fgColor rgb="FFBFBFBF"/>
        <bgColor rgb="FFD9D9D9"/>
      </patternFill>
    </fill>
    <fill>
      <patternFill patternType="solid">
        <fgColor rgb="FFFFFFFF"/>
        <bgColor rgb="FFF2F2F2"/>
      </patternFill>
    </fill>
  </fills>
  <borders count="4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5">
    <xf numFmtId="0" fontId="0" fillId="0" borderId="0"/>
    <xf numFmtId="0" fontId="1" fillId="2" borderId="0" applyNumberFormat="0" applyBorder="0" applyAlignment="0" applyProtection="0"/>
    <xf numFmtId="0" fontId="6" fillId="4" borderId="8" applyNumberFormat="0" applyAlignment="0" applyProtection="0"/>
    <xf numFmtId="164" fontId="12" fillId="0" borderId="0" applyFont="0" applyFill="0" applyBorder="0" applyAlignment="0" applyProtection="0"/>
    <xf numFmtId="0" fontId="12" fillId="0" borderId="0"/>
  </cellStyleXfs>
  <cellXfs count="233">
    <xf numFmtId="0" fontId="0" fillId="0" borderId="0" xfId="0"/>
    <xf numFmtId="0" fontId="3" fillId="0" borderId="0" xfId="0" applyFont="1"/>
    <xf numFmtId="49" fontId="0" fillId="0" borderId="0" xfId="0" applyNumberFormat="1"/>
    <xf numFmtId="0" fontId="6"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6" fillId="4" borderId="8" xfId="2" applyNumberFormat="1"/>
    <xf numFmtId="0" fontId="5" fillId="3" borderId="12" xfId="0" applyFont="1" applyFill="1" applyBorder="1"/>
    <xf numFmtId="0" fontId="5" fillId="3" borderId="15" xfId="0" applyFont="1" applyFill="1" applyBorder="1"/>
    <xf numFmtId="0" fontId="5" fillId="3" borderId="29" xfId="0" applyFont="1" applyFill="1" applyBorder="1"/>
    <xf numFmtId="0" fontId="5" fillId="3" borderId="17" xfId="0" applyFont="1" applyFill="1" applyBorder="1" applyAlignment="1">
      <alignment vertical="top"/>
    </xf>
    <xf numFmtId="173"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3" fontId="0" fillId="5" borderId="9" xfId="0" applyNumberFormat="1" applyFill="1" applyBorder="1" applyAlignment="1">
      <alignment horizontal="right"/>
    </xf>
    <xf numFmtId="173" fontId="0" fillId="3" borderId="9" xfId="0" applyNumberFormat="1" applyFill="1" applyBorder="1"/>
    <xf numFmtId="0" fontId="0" fillId="5" borderId="9" xfId="0" applyFill="1" applyBorder="1" applyProtection="1">
      <protection locked="0"/>
    </xf>
    <xf numFmtId="173"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6" xfId="0" applyFill="1" applyBorder="1"/>
    <xf numFmtId="0" fontId="0" fillId="7" borderId="27" xfId="0" applyFill="1" applyBorder="1"/>
    <xf numFmtId="20" fontId="0" fillId="7" borderId="27"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5"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28" xfId="0" applyFont="1" applyFill="1" applyBorder="1" applyAlignment="1">
      <alignment vertical="top"/>
    </xf>
    <xf numFmtId="0" fontId="0" fillId="7" borderId="0" xfId="0" applyFill="1" applyAlignment="1">
      <alignment wrapText="1"/>
    </xf>
    <xf numFmtId="2" fontId="0" fillId="5" borderId="9" xfId="0" applyNumberFormat="1" applyFill="1" applyBorder="1" applyProtection="1">
      <protection locked="0"/>
    </xf>
    <xf numFmtId="0" fontId="3" fillId="7" borderId="0" xfId="0" applyFont="1" applyFill="1" applyAlignment="1">
      <alignment horizontal="center" wrapText="1"/>
    </xf>
    <xf numFmtId="0" fontId="0" fillId="5" borderId="11" xfId="0"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3" fontId="0" fillId="5" borderId="14" xfId="0" applyNumberFormat="1" applyFill="1" applyBorder="1" applyAlignment="1" applyProtection="1">
      <alignment horizontal="right"/>
      <protection locked="0"/>
    </xf>
    <xf numFmtId="173" fontId="0" fillId="5" borderId="16" xfId="0" applyNumberFormat="1" applyFill="1" applyBorder="1" applyAlignment="1" applyProtection="1">
      <alignment horizontal="right"/>
      <protection locked="0"/>
    </xf>
    <xf numFmtId="173" fontId="0" fillId="5" borderId="19" xfId="0" applyNumberFormat="1" applyFill="1" applyBorder="1" applyAlignment="1" applyProtection="1">
      <alignment horizontal="right"/>
      <protection locked="0"/>
    </xf>
    <xf numFmtId="173"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73" fontId="0" fillId="5" borderId="5" xfId="0" applyNumberFormat="1" applyFill="1" applyBorder="1" applyAlignment="1" applyProtection="1">
      <alignment horizontal="right"/>
      <protection locked="0"/>
    </xf>
    <xf numFmtId="173" fontId="0" fillId="5" borderId="2"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3"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3" fontId="0" fillId="5" borderId="9" xfId="0" applyNumberFormat="1" applyFill="1" applyBorder="1" applyAlignment="1" applyProtection="1">
      <alignment horizontal="right"/>
      <protection locked="0"/>
    </xf>
    <xf numFmtId="173"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170" fontId="0" fillId="5" borderId="9" xfId="0" applyNumberFormat="1" applyFill="1" applyBorder="1" applyAlignment="1" applyProtection="1">
      <alignment horizontal="right"/>
      <protection locked="0"/>
    </xf>
    <xf numFmtId="0" fontId="1" fillId="7" borderId="0" xfId="1"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3" fontId="0" fillId="5" borderId="2" xfId="0" applyNumberFormat="1" applyFill="1" applyBorder="1" applyAlignment="1">
      <alignment horizontal="right"/>
    </xf>
    <xf numFmtId="173" fontId="0" fillId="5" borderId="11" xfId="0" applyNumberFormat="1" applyFill="1" applyBorder="1" applyAlignment="1">
      <alignment horizontal="right"/>
    </xf>
    <xf numFmtId="0" fontId="0" fillId="3" borderId="36" xfId="0" applyFill="1" applyBorder="1"/>
    <xf numFmtId="173" fontId="0" fillId="5" borderId="14" xfId="0" applyNumberFormat="1" applyFill="1" applyBorder="1" applyAlignment="1">
      <alignment horizontal="right"/>
    </xf>
    <xf numFmtId="0" fontId="0" fillId="3" borderId="33" xfId="0" applyFill="1" applyBorder="1"/>
    <xf numFmtId="173" fontId="0" fillId="5" borderId="16" xfId="0" applyNumberFormat="1" applyFill="1" applyBorder="1" applyAlignment="1">
      <alignment horizontal="right"/>
    </xf>
    <xf numFmtId="0" fontId="0" fillId="3" borderId="37" xfId="0" applyFill="1" applyBorder="1"/>
    <xf numFmtId="173" fontId="0" fillId="5" borderId="19" xfId="0" applyNumberFormat="1" applyFill="1" applyBorder="1" applyAlignment="1">
      <alignment horizontal="right"/>
    </xf>
    <xf numFmtId="174" fontId="7" fillId="5" borderId="38"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5"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3" fontId="0" fillId="5" borderId="18" xfId="0" applyNumberFormat="1" applyFill="1" applyBorder="1" applyAlignment="1">
      <alignment horizontal="right"/>
    </xf>
    <xf numFmtId="0" fontId="0" fillId="5" borderId="19" xfId="0" applyFill="1" applyBorder="1" applyAlignment="1">
      <alignment horizontal="left"/>
    </xf>
    <xf numFmtId="170" fontId="0" fillId="5" borderId="13" xfId="0" applyNumberFormat="1" applyFill="1" applyBorder="1" applyAlignment="1" applyProtection="1">
      <alignment horizontal="right"/>
      <protection locked="0"/>
    </xf>
    <xf numFmtId="175" fontId="0" fillId="5" borderId="9" xfId="0" applyNumberFormat="1" applyFill="1" applyBorder="1" applyProtection="1">
      <protection locked="0"/>
    </xf>
    <xf numFmtId="169" fontId="0" fillId="5" borderId="9" xfId="0" applyNumberFormat="1" applyFill="1" applyBorder="1" applyProtection="1">
      <protection locked="0"/>
    </xf>
    <xf numFmtId="0" fontId="14" fillId="9" borderId="9" xfId="0" applyFont="1" applyFill="1" applyBorder="1"/>
    <xf numFmtId="0" fontId="14" fillId="10" borderId="6" xfId="0" applyFont="1" applyFill="1" applyBorder="1" applyAlignment="1">
      <alignment vertical="top"/>
    </xf>
    <xf numFmtId="0" fontId="0" fillId="10" borderId="0" xfId="0" applyFill="1"/>
    <xf numFmtId="0" fontId="14" fillId="10" borderId="7" xfId="0" applyFont="1" applyFill="1" applyBorder="1" applyAlignment="1">
      <alignment vertical="top"/>
    </xf>
    <xf numFmtId="0" fontId="14" fillId="9" borderId="10" xfId="0" applyFont="1" applyFill="1" applyBorder="1"/>
    <xf numFmtId="0" fontId="14" fillId="10" borderId="0" xfId="0" applyFont="1" applyFill="1" applyAlignment="1">
      <alignment vertical="top" wrapText="1"/>
    </xf>
    <xf numFmtId="0" fontId="14" fillId="9" borderId="9" xfId="0" applyFont="1" applyFill="1" applyBorder="1" applyAlignment="1">
      <alignment vertical="top"/>
    </xf>
    <xf numFmtId="0" fontId="15" fillId="10" borderId="0" xfId="0" applyFont="1" applyFill="1"/>
    <xf numFmtId="0" fontId="0" fillId="9" borderId="9" xfId="0" applyFill="1" applyBorder="1"/>
    <xf numFmtId="170" fontId="0" fillId="11" borderId="14" xfId="0" applyNumberFormat="1" applyFill="1" applyBorder="1" applyAlignment="1" applyProtection="1">
      <alignment horizontal="right"/>
      <protection locked="0"/>
    </xf>
    <xf numFmtId="171" fontId="0" fillId="11" borderId="9" xfId="0" applyNumberFormat="1" applyFill="1" applyBorder="1" applyAlignment="1" applyProtection="1">
      <alignment horizontal="right"/>
      <protection locked="0"/>
    </xf>
    <xf numFmtId="170" fontId="0" fillId="11" borderId="16" xfId="0" applyNumberFormat="1" applyFill="1" applyBorder="1" applyAlignment="1" applyProtection="1">
      <alignment horizontal="right"/>
      <protection locked="0"/>
    </xf>
    <xf numFmtId="169" fontId="0" fillId="11" borderId="9" xfId="0" applyNumberFormat="1" applyFill="1" applyBorder="1" applyAlignment="1" applyProtection="1">
      <alignment horizontal="right"/>
      <protection locked="0"/>
    </xf>
    <xf numFmtId="170" fontId="0" fillId="11" borderId="19" xfId="0" applyNumberFormat="1" applyFill="1" applyBorder="1" applyAlignment="1" applyProtection="1">
      <alignment horizontal="right"/>
      <protection locked="0"/>
    </xf>
    <xf numFmtId="0" fontId="16" fillId="10" borderId="0" xfId="0" applyFont="1" applyFill="1"/>
    <xf numFmtId="0" fontId="15" fillId="9" borderId="9" xfId="0" applyFont="1" applyFill="1" applyBorder="1" applyAlignment="1">
      <alignment horizontal="center" wrapText="1"/>
    </xf>
    <xf numFmtId="0" fontId="15" fillId="10" borderId="0" xfId="0" applyFont="1" applyFill="1" applyAlignment="1">
      <alignment horizontal="center" wrapText="1"/>
    </xf>
    <xf numFmtId="0" fontId="0" fillId="9" borderId="9" xfId="0" applyFill="1" applyBorder="1" applyAlignment="1">
      <alignment horizontal="center" wrapText="1"/>
    </xf>
    <xf numFmtId="0" fontId="0" fillId="10" borderId="0" xfId="0" applyFill="1" applyAlignment="1">
      <alignment horizontal="center" wrapText="1"/>
    </xf>
    <xf numFmtId="0" fontId="0" fillId="11" borderId="9" xfId="0" applyFill="1" applyBorder="1" applyAlignment="1" applyProtection="1">
      <alignment horizontal="center"/>
      <protection locked="0"/>
    </xf>
    <xf numFmtId="173" fontId="0" fillId="11" borderId="9" xfId="0" applyNumberFormat="1" applyFill="1" applyBorder="1" applyProtection="1">
      <protection locked="0"/>
    </xf>
    <xf numFmtId="0" fontId="0" fillId="11" borderId="9" xfId="0" applyFill="1" applyBorder="1" applyProtection="1">
      <protection locked="0"/>
    </xf>
    <xf numFmtId="175" fontId="0" fillId="11" borderId="9" xfId="0" applyNumberFormat="1" applyFill="1" applyBorder="1" applyProtection="1">
      <protection locked="0"/>
    </xf>
    <xf numFmtId="169" fontId="0" fillId="11" borderId="9" xfId="0" applyNumberFormat="1" applyFill="1" applyBorder="1" applyProtection="1">
      <protection locked="0"/>
    </xf>
    <xf numFmtId="0" fontId="0" fillId="11" borderId="9" xfId="0" applyFill="1" applyBorder="1"/>
    <xf numFmtId="170" fontId="0" fillId="11" borderId="9" xfId="0" applyNumberFormat="1" applyFill="1" applyBorder="1" applyProtection="1">
      <protection locked="0"/>
    </xf>
    <xf numFmtId="4" fontId="0" fillId="11" borderId="9" xfId="0" applyNumberFormat="1" applyFill="1" applyBorder="1" applyProtection="1">
      <protection locked="0"/>
    </xf>
    <xf numFmtId="176" fontId="0" fillId="11" borderId="9" xfId="0" applyNumberFormat="1" applyFill="1" applyBorder="1" applyProtection="1">
      <protection locked="0"/>
    </xf>
    <xf numFmtId="0" fontId="3" fillId="3" borderId="22" xfId="4" applyFont="1" applyFill="1" applyBorder="1" applyAlignment="1">
      <alignment horizontal="center"/>
    </xf>
    <xf numFmtId="0" fontId="3" fillId="3" borderId="23" xfId="4" applyFont="1" applyFill="1" applyBorder="1" applyAlignment="1">
      <alignment horizontal="center"/>
    </xf>
    <xf numFmtId="0" fontId="3" fillId="3" borderId="24" xfId="4" applyFont="1" applyFill="1" applyBorder="1" applyAlignment="1">
      <alignment horizontal="center"/>
    </xf>
    <xf numFmtId="0" fontId="3" fillId="3" borderId="9" xfId="4" applyFont="1" applyFill="1" applyBorder="1" applyAlignment="1">
      <alignment horizontal="center" wrapText="1"/>
    </xf>
    <xf numFmtId="173" fontId="12" fillId="5" borderId="11" xfId="4" applyNumberFormat="1" applyFill="1" applyBorder="1"/>
    <xf numFmtId="0" fontId="12" fillId="5" borderId="11" xfId="4" applyFill="1" applyBorder="1"/>
    <xf numFmtId="2" fontId="12" fillId="5" borderId="11" xfId="4" applyNumberFormat="1" applyFill="1" applyBorder="1"/>
    <xf numFmtId="0" fontId="12" fillId="7" borderId="0" xfId="4" applyFill="1"/>
    <xf numFmtId="0" fontId="12" fillId="5" borderId="9" xfId="4" applyFill="1" applyBorder="1"/>
    <xf numFmtId="0" fontId="0" fillId="5" borderId="10" xfId="0" applyFill="1" applyBorder="1"/>
    <xf numFmtId="0" fontId="12" fillId="5" borderId="10" xfId="4" applyFill="1" applyBorder="1"/>
    <xf numFmtId="173" fontId="12" fillId="5" borderId="40" xfId="4" applyNumberFormat="1" applyFill="1" applyBorder="1"/>
    <xf numFmtId="0" fontId="12" fillId="5" borderId="40" xfId="4" applyFill="1" applyBorder="1"/>
    <xf numFmtId="0" fontId="0" fillId="0" borderId="9" xfId="0" applyFill="1" applyBorder="1"/>
    <xf numFmtId="0" fontId="12" fillId="0" borderId="9" xfId="4" applyFill="1" applyBorder="1"/>
    <xf numFmtId="173" fontId="12" fillId="0" borderId="9" xfId="4" applyNumberFormat="1" applyFill="1" applyBorder="1"/>
    <xf numFmtId="0" fontId="0" fillId="0" borderId="9" xfId="0" applyFill="1" applyBorder="1" applyAlignment="1">
      <alignment horizontal="left"/>
    </xf>
    <xf numFmtId="0" fontId="12" fillId="0" borderId="11" xfId="4" applyFill="1" applyBorder="1" applyAlignment="1">
      <alignment horizontal="left"/>
    </xf>
    <xf numFmtId="0" fontId="12" fillId="0" borderId="0" xfId="4" applyFill="1"/>
    <xf numFmtId="0" fontId="12" fillId="0" borderId="9" xfId="4" applyFill="1" applyBorder="1" applyAlignment="1">
      <alignment horizontal="left"/>
    </xf>
    <xf numFmtId="0" fontId="0" fillId="0" borderId="0" xfId="0" applyFill="1"/>
    <xf numFmtId="0" fontId="0" fillId="0" borderId="10" xfId="0" applyFill="1" applyBorder="1" applyAlignment="1">
      <alignment horizontal="left"/>
    </xf>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0"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0" fontId="0" fillId="3" borderId="2" xfId="0" applyFill="1" applyBorder="1" applyAlignment="1">
      <alignment horizontal="left"/>
    </xf>
    <xf numFmtId="0" fontId="0" fillId="3" borderId="4" xfId="0" applyFill="1" applyBorder="1" applyAlignment="1">
      <alignment horizontal="left"/>
    </xf>
    <xf numFmtId="0" fontId="10"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0" fontId="5" fillId="5" borderId="9" xfId="0" applyFont="1" applyFill="1" applyBorder="1" applyAlignment="1" applyProtection="1">
      <alignment horizontal="right"/>
      <protection locked="0"/>
    </xf>
    <xf numFmtId="166" fontId="5" fillId="3" borderId="9" xfId="0" applyNumberFormat="1" applyFont="1" applyFill="1" applyBorder="1" applyAlignment="1">
      <alignment horizontal="right"/>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30" xfId="0" applyNumberFormat="1" applyFont="1" applyFill="1" applyBorder="1" applyAlignment="1" applyProtection="1">
      <alignment horizontal="left" wrapText="1"/>
      <protection locked="0"/>
    </xf>
    <xf numFmtId="49" fontId="5" fillId="5" borderId="31" xfId="0" applyNumberFormat="1" applyFont="1" applyFill="1" applyBorder="1" applyAlignment="1" applyProtection="1">
      <alignment horizontal="left" wrapText="1"/>
      <protection locked="0"/>
    </xf>
    <xf numFmtId="49" fontId="5" fillId="5" borderId="32" xfId="0" applyNumberFormat="1" applyFont="1" applyFill="1" applyBorder="1" applyAlignment="1" applyProtection="1">
      <alignment horizontal="left" wrapText="1"/>
      <protection locked="0"/>
    </xf>
    <xf numFmtId="0" fontId="11" fillId="8" borderId="0" xfId="1" applyFont="1" applyFill="1" applyBorder="1" applyAlignment="1">
      <alignment horizontal="left"/>
    </xf>
    <xf numFmtId="49" fontId="5" fillId="3" borderId="13" xfId="0" applyNumberFormat="1" applyFont="1" applyFill="1" applyBorder="1" applyAlignment="1">
      <alignment horizontal="right"/>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3" borderId="33"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4" xfId="0" applyFont="1" applyFill="1" applyBorder="1"/>
    <xf numFmtId="0" fontId="3" fillId="3" borderId="39" xfId="0" applyFont="1" applyFill="1" applyBorder="1"/>
    <xf numFmtId="49" fontId="0" fillId="5" borderId="11" xfId="0" applyNumberFormat="1" applyFill="1" applyBorder="1" applyAlignment="1" applyProtection="1">
      <alignment wrapText="1"/>
      <protection locked="0"/>
    </xf>
    <xf numFmtId="0" fontId="5" fillId="5" borderId="30" xfId="0" applyFont="1" applyFill="1" applyBorder="1" applyAlignment="1">
      <alignment wrapText="1"/>
    </xf>
    <xf numFmtId="0" fontId="5" fillId="5" borderId="31" xfId="0" applyFont="1" applyFill="1" applyBorder="1" applyAlignment="1">
      <alignment wrapText="1"/>
    </xf>
    <xf numFmtId="0" fontId="5" fillId="5" borderId="32"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49" fontId="14" fillId="11" borderId="9" xfId="0" applyNumberFormat="1" applyFont="1" applyFill="1" applyBorder="1" applyAlignment="1" applyProtection="1">
      <alignment horizontal="left" wrapText="1"/>
      <protection locked="0"/>
    </xf>
    <xf numFmtId="0" fontId="14" fillId="9" borderId="9" xfId="0" applyFont="1" applyFill="1" applyBorder="1" applyAlignment="1">
      <alignment horizontal="right"/>
    </xf>
    <xf numFmtId="0" fontId="14" fillId="11" borderId="9" xfId="0" applyFont="1" applyFill="1" applyBorder="1" applyAlignment="1" applyProtection="1">
      <alignment horizontal="right"/>
      <protection locked="0"/>
    </xf>
    <xf numFmtId="166" fontId="14" fillId="9" borderId="9" xfId="0" applyNumberFormat="1" applyFont="1" applyFill="1" applyBorder="1" applyAlignment="1">
      <alignment horizontal="right"/>
    </xf>
    <xf numFmtId="168" fontId="14" fillId="11" borderId="9" xfId="0" applyNumberFormat="1" applyFont="1" applyFill="1" applyBorder="1" applyAlignment="1" applyProtection="1">
      <alignment horizontal="right"/>
      <protection locked="0"/>
    </xf>
    <xf numFmtId="49" fontId="14" fillId="11" borderId="9" xfId="0" applyNumberFormat="1" applyFont="1" applyFill="1" applyBorder="1" applyAlignment="1" applyProtection="1">
      <alignment horizontal="right"/>
      <protection locked="0"/>
    </xf>
    <xf numFmtId="49" fontId="5" fillId="5" borderId="9" xfId="0" applyNumberFormat="1" applyFont="1" applyFill="1" applyBorder="1" applyAlignment="1">
      <alignment horizontal="right"/>
    </xf>
  </cellXfs>
  <cellStyles count="5">
    <cellStyle name="Calculation" xfId="2" builtinId="22"/>
    <cellStyle name="Comma" xfId="3" builtinId="3"/>
    <cellStyle name="Neutral" xfId="1" builtinId="28"/>
    <cellStyle name="Normal" xfId="0" builtinId="0"/>
    <cellStyle name="Normal 2" xfId="4" xr:uid="{F9E30BF6-8C72-47B1-9BEC-94F7A9E34CE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Ice density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Core'!$G$23:$G$52</c:f>
              <c:numCache>
                <c:formatCode>0" cm"</c:formatCode>
                <c:ptCount val="30"/>
                <c:pt idx="0">
                  <c:v>2.5</c:v>
                </c:pt>
                <c:pt idx="1">
                  <c:v>7.5</c:v>
                </c:pt>
                <c:pt idx="2">
                  <c:v>12.5</c:v>
                </c:pt>
                <c:pt idx="3">
                  <c:v>17.5</c:v>
                </c:pt>
                <c:pt idx="4">
                  <c:v>22.5</c:v>
                </c:pt>
                <c:pt idx="5">
                  <c:v>27.5</c:v>
                </c:pt>
                <c:pt idx="6">
                  <c:v>32.5</c:v>
                </c:pt>
                <c:pt idx="7">
                  <c:v>38</c:v>
                </c:pt>
                <c:pt idx="8">
                  <c:v>43</c:v>
                </c:pt>
                <c:pt idx="9">
                  <c:v>47.5</c:v>
                </c:pt>
                <c:pt idx="10">
                  <c:v>52.5</c:v>
                </c:pt>
                <c:pt idx="11">
                  <c:v>57.5</c:v>
                </c:pt>
                <c:pt idx="12">
                  <c:v>62.5</c:v>
                </c:pt>
                <c:pt idx="13">
                  <c:v>67.5</c:v>
                </c:pt>
                <c:pt idx="14">
                  <c:v>72.5</c:v>
                </c:pt>
                <c:pt idx="15">
                  <c:v>77.5</c:v>
                </c:pt>
                <c:pt idx="16">
                  <c:v>82.5</c:v>
                </c:pt>
                <c:pt idx="17">
                  <c:v>87.5</c:v>
                </c:pt>
                <c:pt idx="18">
                  <c:v>92</c:v>
                </c:pt>
                <c:pt idx="19" formatCode="General">
                  <c:v>97</c:v>
                </c:pt>
                <c:pt idx="20" formatCode="General">
                  <c:v>102.5</c:v>
                </c:pt>
                <c:pt idx="21" formatCode="General">
                  <c:v>107.5</c:v>
                </c:pt>
                <c:pt idx="22" formatCode="General">
                  <c:v>112.5</c:v>
                </c:pt>
                <c:pt idx="23" formatCode="General">
                  <c:v>117.5</c:v>
                </c:pt>
                <c:pt idx="24" formatCode="General">
                  <c:v>122.5</c:v>
                </c:pt>
                <c:pt idx="25" formatCode="General">
                  <c:v>127.5</c:v>
                </c:pt>
                <c:pt idx="26" formatCode="General">
                  <c:v>132.5</c:v>
                </c:pt>
                <c:pt idx="27" formatCode="General">
                  <c:v>137.5</c:v>
                </c:pt>
                <c:pt idx="28" formatCode="General">
                  <c:v>142.5</c:v>
                </c:pt>
                <c:pt idx="29" formatCode="General">
                  <c:v>147</c:v>
                </c:pt>
              </c:numCache>
            </c:numRef>
          </c:xVal>
          <c:yVal>
            <c:numRef>
              <c:f>'Density Core'!$H$23:$H$52</c:f>
              <c:numCache>
                <c:formatCode>General</c:formatCode>
                <c:ptCount val="30"/>
                <c:pt idx="0">
                  <c:v>0.88307871238838442</c:v>
                </c:pt>
                <c:pt idx="1">
                  <c:v>0.91342447629547951</c:v>
                </c:pt>
                <c:pt idx="2">
                  <c:v>0.91776671599623305</c:v>
                </c:pt>
                <c:pt idx="3">
                  <c:v>0.91844589019358935</c:v>
                </c:pt>
                <c:pt idx="4">
                  <c:v>0.91757471947979863</c:v>
                </c:pt>
                <c:pt idx="5">
                  <c:v>0.91856872264226019</c:v>
                </c:pt>
                <c:pt idx="6">
                  <c:v>0.91821846029826681</c:v>
                </c:pt>
                <c:pt idx="7">
                  <c:v>0.91110656599445661</c:v>
                </c:pt>
                <c:pt idx="8">
                  <c:v>0.90956443971253653</c:v>
                </c:pt>
                <c:pt idx="9">
                  <c:v>0.91464664135996043</c:v>
                </c:pt>
                <c:pt idx="10">
                  <c:v>0.91767780340799165</c:v>
                </c:pt>
                <c:pt idx="11">
                  <c:v>0.91765892714171338</c:v>
                </c:pt>
                <c:pt idx="12">
                  <c:v>0.91825449932609204</c:v>
                </c:pt>
                <c:pt idx="13">
                  <c:v>0.91910327574075523</c:v>
                </c:pt>
                <c:pt idx="14">
                  <c:v>0.91729112018068704</c:v>
                </c:pt>
                <c:pt idx="15">
                  <c:v>0.91835638550403542</c:v>
                </c:pt>
                <c:pt idx="16">
                  <c:v>0.91559715621194859</c:v>
                </c:pt>
                <c:pt idx="17">
                  <c:v>0.91814132322753828</c:v>
                </c:pt>
                <c:pt idx="18">
                  <c:v>0.9174470837253057</c:v>
                </c:pt>
                <c:pt idx="19">
                  <c:v>0.91742785179293429</c:v>
                </c:pt>
                <c:pt idx="20">
                  <c:v>0.91716632057360026</c:v>
                </c:pt>
                <c:pt idx="21">
                  <c:v>0.91456272329492982</c:v>
                </c:pt>
                <c:pt idx="22">
                  <c:v>0.91709065635723908</c:v>
                </c:pt>
                <c:pt idx="23">
                  <c:v>0.91269002411091027</c:v>
                </c:pt>
                <c:pt idx="24">
                  <c:v>0.91711458470160689</c:v>
                </c:pt>
                <c:pt idx="25">
                  <c:v>0.91808601233179499</c:v>
                </c:pt>
                <c:pt idx="26">
                  <c:v>0.9155291841341503</c:v>
                </c:pt>
                <c:pt idx="27">
                  <c:v>0.91651605836560646</c:v>
                </c:pt>
                <c:pt idx="28">
                  <c:v>0.91493903548680611</c:v>
                </c:pt>
                <c:pt idx="29">
                  <c:v>0.91126209353096621</c:v>
                </c:pt>
              </c:numCache>
            </c:numRef>
          </c:yVal>
          <c:smooth val="1"/>
          <c:extLst>
            <c:ext xmlns:c16="http://schemas.microsoft.com/office/drawing/2014/chart" uri="{C3380CC4-5D6E-409C-BE32-E72D297353CC}">
              <c16:uniqueId val="{00000000-A054-4D07-B8F4-4E2E81944B38}"/>
            </c:ext>
          </c:extLst>
        </c:ser>
        <c:dLbls>
          <c:showLegendKey val="0"/>
          <c:showVal val="0"/>
          <c:showCatName val="0"/>
          <c:showSerName val="0"/>
          <c:showPercent val="0"/>
          <c:showBubbleSize val="0"/>
        </c:dLbls>
        <c:axId val="810934496"/>
        <c:axId val="810936416"/>
      </c:scatterChart>
      <c:valAx>
        <c:axId val="810934496"/>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36416"/>
        <c:crosses val="autoZero"/>
        <c:crossBetween val="midCat"/>
      </c:valAx>
      <c:valAx>
        <c:axId val="81093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34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200025</xdr:colOff>
      <xdr:row>52</xdr:row>
      <xdr:rowOff>100013</xdr:rowOff>
    </xdr:from>
    <xdr:to>
      <xdr:col>8</xdr:col>
      <xdr:colOff>723900</xdr:colOff>
      <xdr:row>67</xdr:row>
      <xdr:rowOff>128588</xdr:rowOff>
    </xdr:to>
    <xdr:graphicFrame macro="">
      <xdr:nvGraphicFramePr>
        <xdr:cNvPr id="2" name="Chart 1">
          <a:extLst>
            <a:ext uri="{FF2B5EF4-FFF2-40B4-BE49-F238E27FC236}">
              <a16:creationId xmlns:a16="http://schemas.microsoft.com/office/drawing/2014/main" id="{029020D6-FA7C-725A-1831-1C3BF1FF6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zoomScale="80" zoomScaleNormal="80" workbookViewId="0">
      <selection activeCell="F16" sqref="F16"/>
    </sheetView>
  </sheetViews>
  <sheetFormatPr defaultColWidth="9.140625" defaultRowHeight="15" x14ac:dyDescent="0.25"/>
  <cols>
    <col min="1" max="1" width="22.7109375" style="39" customWidth="1"/>
    <col min="2" max="2" width="12.7109375" style="39" customWidth="1"/>
    <col min="3" max="5" width="10.7109375" style="39" customWidth="1"/>
    <col min="6" max="6" width="32.7109375" style="39" customWidth="1"/>
    <col min="7" max="7" width="9.140625" style="39"/>
    <col min="8" max="9" width="9.140625" style="39" customWidth="1"/>
    <col min="10" max="16384" width="9.140625" style="39"/>
  </cols>
  <sheetData>
    <row r="1" spans="1:9" ht="31.5" x14ac:dyDescent="0.5">
      <c r="A1" s="181" t="s">
        <v>0</v>
      </c>
      <c r="B1" s="181"/>
      <c r="C1" s="181"/>
      <c r="D1" s="181"/>
      <c r="E1" s="181"/>
      <c r="F1" s="38"/>
      <c r="G1" s="38"/>
      <c r="H1" s="38"/>
    </row>
    <row r="2" spans="1:9" ht="15.75" customHeight="1" x14ac:dyDescent="0.35">
      <c r="A2" s="40"/>
      <c r="D2" s="38"/>
      <c r="E2" s="38"/>
      <c r="F2" s="38"/>
      <c r="G2" s="38"/>
      <c r="H2" s="38"/>
    </row>
    <row r="3" spans="1:9" ht="15.75" thickBot="1" x14ac:dyDescent="0.3">
      <c r="A3" s="41" t="s">
        <v>67</v>
      </c>
      <c r="D3" s="38"/>
      <c r="E3" s="38"/>
    </row>
    <row r="4" spans="1:9" x14ac:dyDescent="0.25">
      <c r="A4" s="15" t="s">
        <v>1</v>
      </c>
      <c r="B4" s="184" t="s">
        <v>169</v>
      </c>
      <c r="C4" s="185"/>
      <c r="H4" s="42"/>
      <c r="I4" s="42"/>
    </row>
    <row r="5" spans="1:9" x14ac:dyDescent="0.25">
      <c r="A5" s="16" t="s">
        <v>2</v>
      </c>
      <c r="B5" s="186">
        <v>2</v>
      </c>
      <c r="C5" s="187"/>
      <c r="H5" s="42"/>
      <c r="I5" s="42"/>
    </row>
    <row r="6" spans="1:9" x14ac:dyDescent="0.25">
      <c r="A6" s="16" t="s">
        <v>3</v>
      </c>
      <c r="B6" s="186">
        <v>1</v>
      </c>
      <c r="C6" s="187"/>
    </row>
    <row r="7" spans="1:9" ht="15.75" thickBot="1" x14ac:dyDescent="0.3">
      <c r="A7" s="18" t="s">
        <v>119</v>
      </c>
      <c r="B7" s="188" t="s">
        <v>170</v>
      </c>
      <c r="C7" s="189"/>
    </row>
    <row r="9" spans="1:9" ht="15.75" thickBot="1" x14ac:dyDescent="0.3">
      <c r="A9" s="41" t="s">
        <v>70</v>
      </c>
    </row>
    <row r="10" spans="1:9" x14ac:dyDescent="0.25">
      <c r="A10" s="15" t="s">
        <v>9</v>
      </c>
      <c r="B10" s="182" t="s">
        <v>24</v>
      </c>
      <c r="C10" s="182"/>
      <c r="D10" s="182"/>
      <c r="E10" s="183"/>
    </row>
    <row r="11" spans="1:9" x14ac:dyDescent="0.25">
      <c r="A11" s="16" t="s">
        <v>11</v>
      </c>
      <c r="B11" s="173" t="s">
        <v>12</v>
      </c>
      <c r="C11" s="173"/>
      <c r="D11" s="173"/>
      <c r="E11" s="174"/>
    </row>
    <row r="12" spans="1:9" x14ac:dyDescent="0.25">
      <c r="A12" s="20" t="s">
        <v>13</v>
      </c>
      <c r="B12" s="177" t="s">
        <v>207</v>
      </c>
      <c r="C12" s="177"/>
      <c r="D12" s="177"/>
      <c r="E12" s="178"/>
    </row>
    <row r="13" spans="1:9" x14ac:dyDescent="0.25">
      <c r="A13" s="20"/>
      <c r="B13" s="177"/>
      <c r="C13" s="177"/>
      <c r="D13" s="177"/>
      <c r="E13" s="178"/>
    </row>
    <row r="14" spans="1:9" ht="15.75" thickBot="1" x14ac:dyDescent="0.3">
      <c r="A14" s="21"/>
      <c r="B14" s="179"/>
      <c r="C14" s="179"/>
      <c r="D14" s="179"/>
      <c r="E14" s="180"/>
    </row>
    <row r="15" spans="1:9" x14ac:dyDescent="0.25">
      <c r="A15" s="44"/>
      <c r="B15" s="45"/>
      <c r="C15" s="45"/>
      <c r="D15" s="45"/>
      <c r="E15" s="45"/>
    </row>
    <row r="16" spans="1:9" ht="15.75" thickBot="1" x14ac:dyDescent="0.3">
      <c r="A16" s="41" t="s">
        <v>68</v>
      </c>
    </row>
    <row r="17" spans="1:6" x14ac:dyDescent="0.25">
      <c r="A17" s="104" t="s">
        <v>153</v>
      </c>
      <c r="B17" s="32" t="s">
        <v>192</v>
      </c>
    </row>
    <row r="18" spans="1:6" ht="15.75" thickBot="1" x14ac:dyDescent="0.3">
      <c r="A18" s="16" t="s">
        <v>154</v>
      </c>
      <c r="B18" s="56">
        <v>0.35848379629629629</v>
      </c>
      <c r="C18" s="46"/>
      <c r="D18" s="47"/>
      <c r="E18" s="48"/>
    </row>
    <row r="19" spans="1:6" x14ac:dyDescent="0.25">
      <c r="A19" s="43"/>
      <c r="B19" s="49"/>
      <c r="C19" s="9" t="s">
        <v>6</v>
      </c>
      <c r="D19" s="9" t="s">
        <v>7</v>
      </c>
      <c r="E19" s="17" t="s">
        <v>8</v>
      </c>
    </row>
    <row r="20" spans="1:6" x14ac:dyDescent="0.25">
      <c r="A20" s="16" t="s">
        <v>37</v>
      </c>
      <c r="B20" s="8"/>
      <c r="C20" s="35">
        <v>80</v>
      </c>
      <c r="D20">
        <v>1.167</v>
      </c>
      <c r="E20" s="57"/>
      <c r="F20" s="39" t="s">
        <v>193</v>
      </c>
    </row>
    <row r="21" spans="1:6" ht="15.75" thickBot="1" x14ac:dyDescent="0.3">
      <c r="A21" s="18" t="s">
        <v>38</v>
      </c>
      <c r="B21" s="19"/>
      <c r="C21" s="58">
        <v>2</v>
      </c>
      <c r="D21">
        <v>46.052999999999997</v>
      </c>
      <c r="E21" s="59"/>
    </row>
    <row r="23" spans="1:6" ht="15.75" thickBot="1" x14ac:dyDescent="0.3">
      <c r="A23" s="41" t="s">
        <v>69</v>
      </c>
      <c r="B23" s="50"/>
      <c r="E23" s="51"/>
    </row>
    <row r="24" spans="1:6" x14ac:dyDescent="0.25">
      <c r="A24" s="104" t="s">
        <v>41</v>
      </c>
      <c r="B24" s="32" t="s">
        <v>192</v>
      </c>
      <c r="F24" s="39" t="s">
        <v>171</v>
      </c>
    </row>
    <row r="25" spans="1:6" ht="15.75" thickBot="1" x14ac:dyDescent="0.3">
      <c r="A25" s="16" t="s">
        <v>42</v>
      </c>
      <c r="B25" s="56">
        <v>0.57777777777777783</v>
      </c>
      <c r="C25" s="46"/>
      <c r="D25" s="47"/>
      <c r="E25" s="48"/>
    </row>
    <row r="26" spans="1:6" x14ac:dyDescent="0.25">
      <c r="A26" s="43"/>
      <c r="B26" s="49"/>
      <c r="C26" s="9" t="s">
        <v>6</v>
      </c>
      <c r="D26" s="9" t="s">
        <v>7</v>
      </c>
      <c r="E26" s="17" t="s">
        <v>8</v>
      </c>
      <c r="F26" s="39" t="s">
        <v>194</v>
      </c>
    </row>
    <row r="27" spans="1:6" x14ac:dyDescent="0.25">
      <c r="A27" s="16" t="s">
        <v>39</v>
      </c>
      <c r="B27" s="8"/>
      <c r="C27" s="35">
        <v>80.001197000000005</v>
      </c>
      <c r="D27" s="35"/>
      <c r="E27" s="57"/>
    </row>
    <row r="28" spans="1:6" ht="15.75" thickBot="1" x14ac:dyDescent="0.3">
      <c r="A28" s="18" t="s">
        <v>40</v>
      </c>
      <c r="B28" s="19"/>
      <c r="C28" s="58">
        <v>2.682693</v>
      </c>
      <c r="D28" s="58"/>
      <c r="E28" s="59"/>
    </row>
    <row r="29" spans="1:6" ht="15.75" thickBot="1" x14ac:dyDescent="0.3">
      <c r="B29" s="52"/>
      <c r="C29" s="53"/>
    </row>
    <row r="30" spans="1:6" ht="15.75" thickBot="1" x14ac:dyDescent="0.3">
      <c r="A30" s="37" t="s">
        <v>152</v>
      </c>
      <c r="B30" s="175" t="s">
        <v>5</v>
      </c>
      <c r="C30" s="175"/>
      <c r="D30" s="175"/>
      <c r="E30" s="176"/>
    </row>
    <row r="31" spans="1:6" ht="15.75" thickBot="1" x14ac:dyDescent="0.3"/>
    <row r="32" spans="1:6" ht="30" customHeight="1" thickBot="1" x14ac:dyDescent="0.3">
      <c r="A32" s="54"/>
      <c r="B32" s="192" t="s">
        <v>151</v>
      </c>
      <c r="C32" s="192"/>
      <c r="D32" s="192" t="s">
        <v>150</v>
      </c>
      <c r="E32" s="192"/>
      <c r="F32" s="14" t="s">
        <v>14</v>
      </c>
    </row>
    <row r="33" spans="1:6" ht="30" customHeight="1" x14ac:dyDescent="0.25">
      <c r="A33" s="13" t="s">
        <v>155</v>
      </c>
      <c r="B33" s="193"/>
      <c r="C33" s="193"/>
      <c r="D33" s="193"/>
      <c r="E33" s="193"/>
      <c r="F33" s="60"/>
    </row>
    <row r="34" spans="1:6" ht="30" customHeight="1" x14ac:dyDescent="0.25">
      <c r="A34" s="11" t="s">
        <v>155</v>
      </c>
      <c r="B34" s="190"/>
      <c r="C34" s="190"/>
      <c r="D34" s="190"/>
      <c r="E34" s="190"/>
      <c r="F34" s="61"/>
    </row>
    <row r="35" spans="1:6" ht="30" customHeight="1" x14ac:dyDescent="0.25">
      <c r="A35" s="11" t="s">
        <v>155</v>
      </c>
      <c r="B35" s="190"/>
      <c r="C35" s="190"/>
      <c r="D35" s="190"/>
      <c r="E35" s="190"/>
      <c r="F35" s="61"/>
    </row>
    <row r="36" spans="1:6" ht="30" customHeight="1" x14ac:dyDescent="0.25">
      <c r="A36" s="11" t="s">
        <v>155</v>
      </c>
      <c r="B36" s="190"/>
      <c r="C36" s="190"/>
      <c r="D36" s="190"/>
      <c r="E36" s="190"/>
      <c r="F36" s="61"/>
    </row>
    <row r="37" spans="1:6" ht="30" customHeight="1" thickBot="1" x14ac:dyDescent="0.3">
      <c r="A37" s="12" t="s">
        <v>155</v>
      </c>
      <c r="B37" s="191"/>
      <c r="C37" s="191"/>
      <c r="D37" s="191"/>
      <c r="E37" s="191"/>
      <c r="F37" s="62"/>
    </row>
    <row r="38" spans="1:6" x14ac:dyDescent="0.25">
      <c r="B38" s="55"/>
      <c r="C38" s="55"/>
      <c r="D38" s="55"/>
      <c r="E38" s="55"/>
      <c r="F38" s="55"/>
    </row>
    <row r="39" spans="1:6" x14ac:dyDescent="0.25">
      <c r="B39" s="55"/>
      <c r="C39" s="55"/>
      <c r="D39" s="55"/>
      <c r="E39" s="55"/>
      <c r="F39" s="55"/>
    </row>
    <row r="40" spans="1:6" x14ac:dyDescent="0.25">
      <c r="B40" s="55"/>
      <c r="C40" s="55"/>
      <c r="D40" s="55"/>
      <c r="E40" s="55"/>
      <c r="F40" s="55"/>
    </row>
    <row r="41" spans="1:6" x14ac:dyDescent="0.25">
      <c r="B41" s="55"/>
      <c r="C41" s="55"/>
      <c r="D41" s="55"/>
      <c r="E41" s="55"/>
      <c r="F41" s="55"/>
    </row>
    <row r="42" spans="1:6" x14ac:dyDescent="0.25">
      <c r="B42" s="55"/>
      <c r="C42" s="55"/>
      <c r="D42" s="55"/>
      <c r="E42" s="55"/>
      <c r="F42" s="55"/>
    </row>
    <row r="43" spans="1:6" x14ac:dyDescent="0.25">
      <c r="B43" s="55"/>
      <c r="C43" s="55"/>
      <c r="D43" s="55"/>
      <c r="E43" s="55"/>
      <c r="F43" s="55"/>
    </row>
    <row r="44" spans="1:6" x14ac:dyDescent="0.25">
      <c r="B44" s="55"/>
      <c r="C44" s="55"/>
      <c r="D44" s="55"/>
      <c r="E44" s="55"/>
      <c r="F44" s="55"/>
    </row>
    <row r="45" spans="1:6" x14ac:dyDescent="0.25">
      <c r="B45" s="55"/>
      <c r="C45" s="55"/>
      <c r="D45" s="55"/>
      <c r="E45" s="55"/>
      <c r="F45" s="55"/>
    </row>
    <row r="46" spans="1:6" x14ac:dyDescent="0.25">
      <c r="B46" s="55"/>
      <c r="C46" s="55"/>
      <c r="D46" s="55"/>
      <c r="E46" s="55"/>
      <c r="F46" s="55"/>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16" yWindow="263"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topLeftCell="A2" zoomScale="80" zoomScaleNormal="80" workbookViewId="0">
      <selection activeCell="J18" sqref="J18"/>
    </sheetView>
  </sheetViews>
  <sheetFormatPr defaultColWidth="9.140625" defaultRowHeight="15" x14ac:dyDescent="0.25"/>
  <cols>
    <col min="1" max="1" width="29.42578125" style="39" bestFit="1" customWidth="1"/>
    <col min="2" max="8" width="15.7109375" style="39" customWidth="1"/>
    <col min="9" max="9" width="36.7109375" style="39" customWidth="1"/>
    <col min="10" max="13" width="15.7109375" style="39" customWidth="1"/>
    <col min="14" max="14" width="36.7109375" style="39" customWidth="1"/>
    <col min="15" max="16384" width="9.140625" style="39"/>
  </cols>
  <sheetData>
    <row r="1" spans="1:13" ht="31.5" x14ac:dyDescent="0.5">
      <c r="A1" s="196" t="s">
        <v>109</v>
      </c>
      <c r="B1" s="196"/>
      <c r="C1" s="196"/>
      <c r="D1" s="196"/>
    </row>
    <row r="2" spans="1:13" x14ac:dyDescent="0.25">
      <c r="A2" s="4" t="s">
        <v>16</v>
      </c>
      <c r="B2" s="200" t="str">
        <f>CONCATENATE(ExpID,"-",StnNum,"-",StnDay)</f>
        <v>AO2023-I-2-1</v>
      </c>
      <c r="C2" s="200"/>
      <c r="D2" s="95"/>
    </row>
    <row r="3" spans="1:13" x14ac:dyDescent="0.25">
      <c r="A3" s="4" t="s">
        <v>130</v>
      </c>
      <c r="B3" s="201" t="s">
        <v>173</v>
      </c>
      <c r="C3" s="201"/>
      <c r="D3" s="96"/>
    </row>
    <row r="4" spans="1:13" x14ac:dyDescent="0.25">
      <c r="A4" s="4" t="s">
        <v>4</v>
      </c>
      <c r="B4" s="202" t="str">
        <f>ObsDate</f>
        <v>09.06.23</v>
      </c>
      <c r="C4" s="202"/>
      <c r="D4" s="96"/>
    </row>
    <row r="5" spans="1:13" x14ac:dyDescent="0.25">
      <c r="A5" s="5" t="s">
        <v>105</v>
      </c>
      <c r="B5" s="203">
        <v>0.4826388888888889</v>
      </c>
      <c r="C5" s="203"/>
      <c r="D5" s="96"/>
    </row>
    <row r="6" spans="1:13" x14ac:dyDescent="0.25">
      <c r="A6" s="5" t="s">
        <v>119</v>
      </c>
      <c r="B6" s="204" t="s">
        <v>172</v>
      </c>
      <c r="C6" s="204"/>
      <c r="D6" s="96"/>
      <c r="E6" s="64"/>
    </row>
    <row r="7" spans="1:13" ht="30" customHeight="1" x14ac:dyDescent="0.25">
      <c r="A7" s="6" t="s">
        <v>15</v>
      </c>
      <c r="B7" s="197" t="s">
        <v>208</v>
      </c>
      <c r="C7" s="198"/>
      <c r="D7" s="199"/>
    </row>
    <row r="9" spans="1:13" x14ac:dyDescent="0.25">
      <c r="A9" s="41" t="s">
        <v>107</v>
      </c>
    </row>
    <row r="10" spans="1:13" x14ac:dyDescent="0.25">
      <c r="A10" s="7" t="s">
        <v>133</v>
      </c>
      <c r="B10" s="91"/>
      <c r="K10" s="194" t="s">
        <v>161</v>
      </c>
      <c r="L10" s="195"/>
      <c r="M10" s="36">
        <v>148</v>
      </c>
    </row>
    <row r="11" spans="1:13" x14ac:dyDescent="0.25">
      <c r="A11" s="7" t="s">
        <v>134</v>
      </c>
      <c r="B11" s="91">
        <v>148</v>
      </c>
      <c r="K11" s="194" t="s">
        <v>125</v>
      </c>
      <c r="L11" s="195"/>
      <c r="M11" s="35">
        <v>2</v>
      </c>
    </row>
    <row r="12" spans="1:13" x14ac:dyDescent="0.25">
      <c r="A12" s="7" t="s">
        <v>135</v>
      </c>
      <c r="B12" s="91">
        <v>143</v>
      </c>
      <c r="K12" s="7" t="s">
        <v>124</v>
      </c>
      <c r="L12" s="7"/>
      <c r="M12" s="34">
        <f>SUM(M18:M50)</f>
        <v>148</v>
      </c>
    </row>
    <row r="13" spans="1:13" x14ac:dyDescent="0.25">
      <c r="A13" s="7" t="s">
        <v>131</v>
      </c>
      <c r="B13" s="91">
        <v>5</v>
      </c>
    </row>
    <row r="14" spans="1:13" x14ac:dyDescent="0.25">
      <c r="A14" s="7" t="s">
        <v>132</v>
      </c>
      <c r="B14" s="91">
        <v>148</v>
      </c>
    </row>
    <row r="15" spans="1:13" x14ac:dyDescent="0.25">
      <c r="A15" s="7" t="s">
        <v>144</v>
      </c>
      <c r="B15" s="91">
        <v>30.5</v>
      </c>
      <c r="C15" s="39" t="s">
        <v>195</v>
      </c>
    </row>
    <row r="17" spans="1:14" s="68" customFormat="1" ht="45" x14ac:dyDescent="0.25">
      <c r="A17" s="10" t="s">
        <v>111</v>
      </c>
      <c r="B17" s="10" t="s">
        <v>139</v>
      </c>
      <c r="C17" s="10" t="s">
        <v>140</v>
      </c>
      <c r="D17" s="10" t="s">
        <v>112</v>
      </c>
      <c r="E17" s="10" t="s">
        <v>113</v>
      </c>
      <c r="F17" s="10" t="s">
        <v>114</v>
      </c>
      <c r="G17" s="10" t="s">
        <v>141</v>
      </c>
      <c r="H17" s="10" t="s">
        <v>115</v>
      </c>
      <c r="I17" s="10" t="s">
        <v>13</v>
      </c>
      <c r="J17" s="68" t="s">
        <v>209</v>
      </c>
      <c r="K17" s="10" t="s">
        <v>116</v>
      </c>
      <c r="L17" s="10" t="s">
        <v>142</v>
      </c>
      <c r="M17" s="10" t="s">
        <v>143</v>
      </c>
      <c r="N17" s="10" t="s">
        <v>13</v>
      </c>
    </row>
    <row r="18" spans="1:14" x14ac:dyDescent="0.25">
      <c r="A18" s="92" t="s">
        <v>174</v>
      </c>
      <c r="B18" s="91">
        <v>0</v>
      </c>
      <c r="C18" s="91">
        <v>10</v>
      </c>
      <c r="D18" s="69">
        <v>5.6</v>
      </c>
      <c r="E18" s="69">
        <v>10.01</v>
      </c>
      <c r="F18" s="93">
        <v>15.7</v>
      </c>
      <c r="G18" s="91"/>
      <c r="H18" s="69"/>
      <c r="I18" s="94"/>
      <c r="J18" s="39" t="s">
        <v>218</v>
      </c>
      <c r="K18" s="92">
        <v>1</v>
      </c>
      <c r="L18" s="91"/>
      <c r="M18" s="91">
        <v>54</v>
      </c>
      <c r="N18" s="94"/>
    </row>
    <row r="19" spans="1:14" x14ac:dyDescent="0.25">
      <c r="A19" s="92" t="s">
        <v>175</v>
      </c>
      <c r="B19" s="91">
        <v>10</v>
      </c>
      <c r="C19" s="91">
        <v>20</v>
      </c>
      <c r="D19" s="69">
        <v>4.0999999999999996</v>
      </c>
      <c r="E19" s="69">
        <v>7.5</v>
      </c>
      <c r="F19" s="93">
        <v>15.7</v>
      </c>
      <c r="G19" s="91"/>
      <c r="H19" s="69"/>
      <c r="I19" s="94"/>
      <c r="J19" s="39" t="s">
        <v>219</v>
      </c>
      <c r="K19" s="92">
        <v>2</v>
      </c>
      <c r="L19" s="91"/>
      <c r="M19" s="91">
        <v>94</v>
      </c>
      <c r="N19" s="94" t="s">
        <v>196</v>
      </c>
    </row>
    <row r="20" spans="1:14" x14ac:dyDescent="0.25">
      <c r="A20" s="92" t="s">
        <v>176</v>
      </c>
      <c r="B20" s="91">
        <v>20</v>
      </c>
      <c r="C20" s="91">
        <v>30</v>
      </c>
      <c r="D20" s="69">
        <v>4.5999999999999996</v>
      </c>
      <c r="E20" s="69">
        <v>8.31</v>
      </c>
      <c r="F20" s="93">
        <v>15.6</v>
      </c>
      <c r="G20" s="91"/>
      <c r="H20" s="69"/>
      <c r="I20" s="94"/>
      <c r="J20" s="39" t="s">
        <v>220</v>
      </c>
      <c r="K20" s="92"/>
      <c r="L20" s="91"/>
      <c r="M20" s="91"/>
      <c r="N20" s="94"/>
    </row>
    <row r="21" spans="1:14" x14ac:dyDescent="0.25">
      <c r="A21" s="92" t="s">
        <v>177</v>
      </c>
      <c r="B21" s="91">
        <v>30</v>
      </c>
      <c r="C21" s="91">
        <v>40</v>
      </c>
      <c r="D21" s="69">
        <v>4.9000000000000004</v>
      </c>
      <c r="E21" s="69">
        <v>8.84</v>
      </c>
      <c r="F21" s="93">
        <v>15.6</v>
      </c>
      <c r="G21" s="91"/>
      <c r="H21" s="69"/>
      <c r="I21" s="94"/>
      <c r="J21" s="39" t="s">
        <v>221</v>
      </c>
      <c r="K21" s="92"/>
      <c r="L21" s="91"/>
      <c r="M21" s="91"/>
      <c r="N21" s="94"/>
    </row>
    <row r="22" spans="1:14" x14ac:dyDescent="0.25">
      <c r="A22" s="92" t="s">
        <v>178</v>
      </c>
      <c r="B22" s="91">
        <v>40</v>
      </c>
      <c r="C22" s="91">
        <v>50</v>
      </c>
      <c r="D22" s="69">
        <v>5</v>
      </c>
      <c r="E22" s="69">
        <v>9.1199999999999992</v>
      </c>
      <c r="F22" s="93">
        <v>15.6</v>
      </c>
      <c r="G22" s="91"/>
      <c r="H22" s="69"/>
      <c r="I22" s="94"/>
      <c r="J22" s="39" t="s">
        <v>222</v>
      </c>
      <c r="K22" s="92"/>
      <c r="L22" s="91"/>
      <c r="M22" s="91"/>
      <c r="N22" s="94"/>
    </row>
    <row r="23" spans="1:14" x14ac:dyDescent="0.25">
      <c r="A23" s="92" t="s">
        <v>179</v>
      </c>
      <c r="B23" s="91">
        <v>50</v>
      </c>
      <c r="C23" s="91">
        <v>60</v>
      </c>
      <c r="D23" s="69">
        <v>4.7</v>
      </c>
      <c r="E23" s="69">
        <v>8.5399999999999991</v>
      </c>
      <c r="F23" s="93">
        <v>15.7</v>
      </c>
      <c r="G23" s="91"/>
      <c r="H23" s="69"/>
      <c r="I23" s="94"/>
      <c r="J23" s="39" t="s">
        <v>223</v>
      </c>
      <c r="K23" s="92"/>
      <c r="L23" s="91"/>
      <c r="M23" s="91"/>
      <c r="N23" s="94"/>
    </row>
    <row r="24" spans="1:14" x14ac:dyDescent="0.25">
      <c r="A24" s="92" t="s">
        <v>180</v>
      </c>
      <c r="B24" s="91">
        <v>60</v>
      </c>
      <c r="C24" s="91">
        <v>70</v>
      </c>
      <c r="D24" s="69">
        <v>5.2</v>
      </c>
      <c r="E24" s="69">
        <v>9.3800000000000008</v>
      </c>
      <c r="F24" s="93">
        <v>15.7</v>
      </c>
      <c r="G24" s="91"/>
      <c r="H24" s="69"/>
      <c r="I24" s="94"/>
      <c r="K24" s="92"/>
      <c r="L24" s="91"/>
      <c r="M24" s="91"/>
      <c r="N24" s="94"/>
    </row>
    <row r="25" spans="1:14" x14ac:dyDescent="0.25">
      <c r="A25" s="92" t="s">
        <v>181</v>
      </c>
      <c r="B25" s="91">
        <v>70</v>
      </c>
      <c r="C25" s="91">
        <v>80</v>
      </c>
      <c r="D25" s="69">
        <v>5</v>
      </c>
      <c r="E25" s="69">
        <v>9.0299999999999994</v>
      </c>
      <c r="F25" s="93">
        <v>15.6</v>
      </c>
      <c r="G25" s="91"/>
      <c r="H25" s="69"/>
      <c r="I25" s="94"/>
      <c r="K25" s="92"/>
      <c r="L25" s="91"/>
      <c r="M25" s="91"/>
      <c r="N25" s="94"/>
    </row>
    <row r="26" spans="1:14" x14ac:dyDescent="0.25">
      <c r="A26" s="92" t="s">
        <v>182</v>
      </c>
      <c r="B26" s="91">
        <v>80</v>
      </c>
      <c r="C26" s="91">
        <v>90</v>
      </c>
      <c r="D26" s="69">
        <v>5.0999999999999996</v>
      </c>
      <c r="E26" s="69">
        <v>9.2100000000000009</v>
      </c>
      <c r="F26" s="93">
        <v>15.5</v>
      </c>
      <c r="G26" s="91"/>
      <c r="H26" s="69"/>
      <c r="I26" s="94"/>
      <c r="K26" s="92"/>
      <c r="L26" s="91"/>
      <c r="M26" s="91"/>
      <c r="N26" s="94"/>
    </row>
    <row r="27" spans="1:14" x14ac:dyDescent="0.25">
      <c r="A27" s="92" t="s">
        <v>183</v>
      </c>
      <c r="B27" s="91">
        <v>90</v>
      </c>
      <c r="C27" s="91">
        <v>100</v>
      </c>
      <c r="D27" s="69">
        <v>4.7</v>
      </c>
      <c r="E27" s="69">
        <v>8.5399999999999991</v>
      </c>
      <c r="F27" s="93">
        <v>15.6</v>
      </c>
      <c r="G27" s="91"/>
      <c r="H27" s="69"/>
      <c r="I27" s="94"/>
      <c r="K27" s="92"/>
      <c r="L27" s="91"/>
      <c r="M27" s="91"/>
      <c r="N27" s="94"/>
    </row>
    <row r="28" spans="1:14" x14ac:dyDescent="0.25">
      <c r="A28" s="92" t="s">
        <v>184</v>
      </c>
      <c r="B28" s="91">
        <v>100</v>
      </c>
      <c r="C28" s="91">
        <v>110</v>
      </c>
      <c r="D28" s="69">
        <v>5.3</v>
      </c>
      <c r="E28" s="69">
        <v>9.5500000000000007</v>
      </c>
      <c r="F28" s="93">
        <v>15.5</v>
      </c>
      <c r="G28" s="91"/>
      <c r="H28" s="69"/>
      <c r="I28" s="94"/>
      <c r="K28" s="92"/>
      <c r="L28" s="91"/>
      <c r="M28" s="91"/>
      <c r="N28" s="94"/>
    </row>
    <row r="29" spans="1:14" x14ac:dyDescent="0.25">
      <c r="A29" s="92" t="s">
        <v>185</v>
      </c>
      <c r="B29" s="91">
        <v>110</v>
      </c>
      <c r="C29" s="91">
        <v>120</v>
      </c>
      <c r="D29" s="69">
        <v>5.3</v>
      </c>
      <c r="E29" s="69">
        <v>9.5399999999999991</v>
      </c>
      <c r="F29" s="93">
        <v>15.4</v>
      </c>
      <c r="G29" s="91"/>
      <c r="H29" s="69"/>
      <c r="I29" s="94"/>
      <c r="K29" s="92"/>
      <c r="L29" s="91"/>
      <c r="M29" s="91"/>
      <c r="N29" s="94"/>
    </row>
    <row r="30" spans="1:14" x14ac:dyDescent="0.25">
      <c r="A30" s="92" t="s">
        <v>186</v>
      </c>
      <c r="B30" s="91">
        <v>120</v>
      </c>
      <c r="C30" s="91">
        <v>130</v>
      </c>
      <c r="D30" s="69">
        <v>5.0999999999999996</v>
      </c>
      <c r="E30" s="69">
        <v>9.14</v>
      </c>
      <c r="F30" s="93">
        <v>15.6</v>
      </c>
      <c r="G30" s="91"/>
      <c r="H30" s="69"/>
      <c r="I30" s="94"/>
      <c r="K30" s="92"/>
      <c r="L30" s="91"/>
      <c r="M30" s="91"/>
      <c r="N30" s="94"/>
    </row>
    <row r="31" spans="1:14" x14ac:dyDescent="0.25">
      <c r="A31" s="92" t="s">
        <v>187</v>
      </c>
      <c r="B31" s="91">
        <v>130</v>
      </c>
      <c r="C31" s="91">
        <v>140</v>
      </c>
      <c r="D31" s="69">
        <v>5.5</v>
      </c>
      <c r="E31" s="69">
        <v>9.83</v>
      </c>
      <c r="F31" s="93">
        <v>15.5</v>
      </c>
      <c r="G31" s="91"/>
      <c r="H31" s="69"/>
      <c r="I31" s="94"/>
      <c r="K31" s="92"/>
      <c r="L31" s="91"/>
      <c r="M31" s="91"/>
      <c r="N31" s="94"/>
    </row>
    <row r="32" spans="1:14" x14ac:dyDescent="0.25">
      <c r="A32" s="92" t="s">
        <v>188</v>
      </c>
      <c r="B32" s="91">
        <v>140</v>
      </c>
      <c r="C32" s="91">
        <v>146</v>
      </c>
      <c r="D32" s="69">
        <v>5</v>
      </c>
      <c r="E32" s="69">
        <v>9.1</v>
      </c>
      <c r="F32" s="93">
        <v>15.6</v>
      </c>
      <c r="G32" s="91"/>
      <c r="H32" s="69"/>
      <c r="I32" s="94"/>
      <c r="K32" s="92"/>
      <c r="L32" s="91"/>
      <c r="M32" s="91"/>
      <c r="N32" s="94"/>
    </row>
    <row r="33" spans="1:14" x14ac:dyDescent="0.25">
      <c r="A33" s="92" t="s">
        <v>189</v>
      </c>
      <c r="B33" s="91">
        <v>146</v>
      </c>
      <c r="C33" s="91">
        <v>151</v>
      </c>
      <c r="D33" s="69">
        <v>5</v>
      </c>
      <c r="E33" s="69">
        <v>9.08</v>
      </c>
      <c r="F33" s="93">
        <v>15.7</v>
      </c>
      <c r="G33" s="91"/>
      <c r="H33" s="69"/>
      <c r="I33" s="94"/>
      <c r="K33" s="92"/>
      <c r="L33" s="91"/>
      <c r="M33" s="91"/>
      <c r="N33" s="94"/>
    </row>
    <row r="34" spans="1:14" x14ac:dyDescent="0.25">
      <c r="A34" s="92"/>
      <c r="B34" s="91"/>
      <c r="C34" s="91"/>
      <c r="D34" s="69"/>
      <c r="E34" s="69"/>
      <c r="F34" s="93"/>
      <c r="G34" s="91"/>
      <c r="H34" s="69"/>
      <c r="I34" s="94"/>
      <c r="K34" s="92"/>
      <c r="L34" s="91"/>
      <c r="M34" s="91"/>
      <c r="N34" s="94"/>
    </row>
    <row r="35" spans="1:14" x14ac:dyDescent="0.25">
      <c r="A35" s="92"/>
      <c r="B35" s="91"/>
      <c r="C35" s="91"/>
      <c r="D35" s="69"/>
      <c r="E35" s="69"/>
      <c r="F35" s="93"/>
      <c r="G35" s="91"/>
      <c r="H35" s="69"/>
      <c r="I35" s="94"/>
      <c r="K35" s="92"/>
      <c r="L35" s="91"/>
      <c r="M35" s="91"/>
      <c r="N35" s="94"/>
    </row>
    <row r="36" spans="1:14" x14ac:dyDescent="0.25">
      <c r="A36" s="92"/>
      <c r="B36" s="91"/>
      <c r="C36" s="91"/>
      <c r="D36" s="69"/>
      <c r="E36" s="69"/>
      <c r="F36" s="93"/>
      <c r="G36" s="91"/>
      <c r="H36" s="69"/>
      <c r="I36" s="94"/>
      <c r="K36" s="92"/>
      <c r="L36" s="91"/>
      <c r="M36" s="91"/>
      <c r="N36" s="94"/>
    </row>
    <row r="37" spans="1:14" x14ac:dyDescent="0.25">
      <c r="A37" s="92"/>
      <c r="B37" s="91"/>
      <c r="C37" s="91"/>
      <c r="D37" s="69"/>
      <c r="E37" s="69"/>
      <c r="F37" s="93"/>
      <c r="G37" s="91"/>
      <c r="H37" s="69"/>
      <c r="I37" s="94"/>
      <c r="K37" s="92"/>
      <c r="L37" s="91"/>
      <c r="M37" s="91"/>
      <c r="N37" s="94"/>
    </row>
    <row r="38" spans="1:14" x14ac:dyDescent="0.25">
      <c r="A38" s="92"/>
      <c r="B38" s="91"/>
      <c r="C38" s="91"/>
      <c r="D38" s="69"/>
      <c r="E38" s="69"/>
      <c r="F38" s="93"/>
      <c r="G38" s="91"/>
      <c r="H38" s="69"/>
      <c r="I38" s="94"/>
      <c r="K38" s="92"/>
      <c r="L38" s="91"/>
      <c r="M38" s="91"/>
      <c r="N38" s="94"/>
    </row>
    <row r="39" spans="1:14" x14ac:dyDescent="0.25">
      <c r="A39" s="92"/>
      <c r="B39" s="91"/>
      <c r="C39" s="91"/>
      <c r="D39" s="69"/>
      <c r="E39" s="69"/>
      <c r="F39" s="93"/>
      <c r="G39" s="91"/>
      <c r="H39" s="69"/>
      <c r="I39" s="94"/>
      <c r="K39" s="92"/>
      <c r="L39" s="91"/>
      <c r="M39" s="91"/>
      <c r="N39" s="94"/>
    </row>
    <row r="40" spans="1:14" x14ac:dyDescent="0.25">
      <c r="A40" s="92"/>
      <c r="B40" s="91"/>
      <c r="C40" s="91"/>
      <c r="D40" s="69"/>
      <c r="E40" s="69"/>
      <c r="F40" s="93"/>
      <c r="G40" s="91"/>
      <c r="H40" s="69"/>
      <c r="I40" s="94"/>
      <c r="K40" s="92"/>
      <c r="L40" s="91"/>
      <c r="M40" s="91"/>
      <c r="N40" s="94"/>
    </row>
    <row r="41" spans="1:14" x14ac:dyDescent="0.25">
      <c r="A41" s="92"/>
      <c r="B41" s="91"/>
      <c r="C41" s="91"/>
      <c r="D41" s="69"/>
      <c r="E41" s="69"/>
      <c r="F41" s="93"/>
      <c r="G41" s="91"/>
      <c r="H41" s="69"/>
      <c r="I41" s="94"/>
      <c r="K41" s="92"/>
      <c r="L41" s="91"/>
      <c r="M41" s="91"/>
      <c r="N41" s="94"/>
    </row>
    <row r="42" spans="1:14" x14ac:dyDescent="0.25">
      <c r="A42" s="92"/>
      <c r="B42" s="91"/>
      <c r="C42" s="91"/>
      <c r="D42" s="69"/>
      <c r="E42" s="69"/>
      <c r="F42" s="93"/>
      <c r="G42" s="91"/>
      <c r="H42" s="69"/>
      <c r="I42" s="94"/>
      <c r="K42" s="92"/>
      <c r="L42" s="91"/>
      <c r="M42" s="91"/>
      <c r="N42" s="94"/>
    </row>
    <row r="43" spans="1:14" x14ac:dyDescent="0.25">
      <c r="A43" s="92"/>
      <c r="B43" s="91"/>
      <c r="C43" s="91"/>
      <c r="D43" s="69"/>
      <c r="E43" s="69"/>
      <c r="F43" s="93"/>
      <c r="G43" s="91"/>
      <c r="H43" s="69"/>
      <c r="I43" s="94"/>
      <c r="K43" s="92"/>
      <c r="L43" s="91"/>
      <c r="M43" s="91"/>
      <c r="N43" s="94"/>
    </row>
    <row r="44" spans="1:14" x14ac:dyDescent="0.25">
      <c r="A44" s="92"/>
      <c r="B44" s="91"/>
      <c r="C44" s="91"/>
      <c r="D44" s="69"/>
      <c r="E44" s="69"/>
      <c r="F44" s="93"/>
      <c r="G44" s="91"/>
      <c r="H44" s="69"/>
      <c r="I44" s="94"/>
      <c r="K44" s="92"/>
      <c r="L44" s="91"/>
      <c r="M44" s="91"/>
      <c r="N44" s="94"/>
    </row>
    <row r="45" spans="1:14" x14ac:dyDescent="0.25">
      <c r="A45" s="92"/>
      <c r="B45" s="91"/>
      <c r="C45" s="91"/>
      <c r="D45" s="69"/>
      <c r="E45" s="69"/>
      <c r="F45" s="93"/>
      <c r="G45" s="91"/>
      <c r="H45" s="69"/>
      <c r="I45" s="94"/>
      <c r="K45" s="92"/>
      <c r="L45" s="91"/>
      <c r="M45" s="91"/>
      <c r="N45" s="94"/>
    </row>
    <row r="46" spans="1:14" x14ac:dyDescent="0.25">
      <c r="A46" s="92"/>
      <c r="B46" s="91"/>
      <c r="C46" s="91"/>
      <c r="D46" s="69"/>
      <c r="E46" s="69"/>
      <c r="F46" s="93"/>
      <c r="G46" s="91"/>
      <c r="H46" s="69"/>
      <c r="I46" s="94"/>
      <c r="K46" s="92"/>
      <c r="L46" s="91"/>
      <c r="M46" s="91"/>
      <c r="N46" s="94"/>
    </row>
    <row r="47" spans="1:14" x14ac:dyDescent="0.25">
      <c r="A47" s="92"/>
      <c r="B47" s="91"/>
      <c r="C47" s="91"/>
      <c r="D47" s="69"/>
      <c r="E47" s="69"/>
      <c r="F47" s="93"/>
      <c r="G47" s="91"/>
      <c r="H47" s="69"/>
      <c r="I47" s="94"/>
      <c r="K47" s="92"/>
      <c r="L47" s="91"/>
      <c r="M47" s="91"/>
      <c r="N47" s="94"/>
    </row>
    <row r="48" spans="1:14" x14ac:dyDescent="0.25">
      <c r="A48" s="92"/>
      <c r="B48" s="91"/>
      <c r="C48" s="91"/>
      <c r="D48" s="69"/>
      <c r="E48" s="69"/>
      <c r="F48" s="93"/>
      <c r="G48" s="91"/>
      <c r="H48" s="69"/>
      <c r="I48" s="94"/>
      <c r="K48" s="92"/>
      <c r="L48" s="91"/>
      <c r="M48" s="91"/>
      <c r="N48" s="94"/>
    </row>
    <row r="49" spans="1:14" x14ac:dyDescent="0.25">
      <c r="A49" s="92"/>
      <c r="B49" s="91"/>
      <c r="C49" s="91"/>
      <c r="D49" s="69"/>
      <c r="E49" s="69"/>
      <c r="F49" s="93"/>
      <c r="G49" s="91"/>
      <c r="H49" s="69"/>
      <c r="I49" s="94"/>
      <c r="K49" s="92"/>
      <c r="L49" s="91"/>
      <c r="M49" s="91"/>
      <c r="N49" s="94"/>
    </row>
    <row r="50" spans="1:14" x14ac:dyDescent="0.25">
      <c r="A50" s="92"/>
      <c r="B50" s="91"/>
      <c r="C50" s="91"/>
      <c r="D50" s="69"/>
      <c r="E50" s="69"/>
      <c r="F50" s="93"/>
      <c r="G50" s="91"/>
      <c r="H50" s="69"/>
      <c r="I50" s="94"/>
      <c r="K50" s="92"/>
      <c r="L50" s="91"/>
      <c r="M50" s="91"/>
      <c r="N50" s="94"/>
    </row>
  </sheetData>
  <mergeCells count="9">
    <mergeCell ref="K11:L11"/>
    <mergeCell ref="K10:L10"/>
    <mergeCell ref="A1:D1"/>
    <mergeCell ref="B7:D7"/>
    <mergeCell ref="B2:C2"/>
    <mergeCell ref="B3:C3"/>
    <mergeCell ref="B4:C4"/>
    <mergeCell ref="B5:C5"/>
    <mergeCell ref="B6:C6"/>
  </mergeCells>
  <phoneticPr fontId="13" type="noConversion"/>
  <pageMargins left="0.7" right="0.7" top="0.75" bottom="0.75" header="0.3" footer="0.3"/>
  <pageSetup paperSize="9" scale="49"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zoomScale="80" zoomScaleNormal="80" workbookViewId="0">
      <selection activeCell="D62" sqref="D62"/>
    </sheetView>
  </sheetViews>
  <sheetFormatPr defaultColWidth="9.140625" defaultRowHeight="15" x14ac:dyDescent="0.25"/>
  <cols>
    <col min="1" max="1" width="23.7109375" style="39" bestFit="1" customWidth="1"/>
    <col min="2" max="2" width="16.42578125" style="39" bestFit="1" customWidth="1"/>
    <col min="3" max="3" width="12.7109375" style="39" customWidth="1"/>
    <col min="4" max="4" width="29.42578125" style="39" bestFit="1" customWidth="1"/>
    <col min="5" max="5" width="18.7109375" style="39" customWidth="1"/>
    <col min="6" max="6" width="20.28515625" style="39" bestFit="1" customWidth="1"/>
    <col min="7" max="7" width="18.7109375" style="39" customWidth="1"/>
    <col min="8" max="8" width="36.7109375" style="39" customWidth="1"/>
    <col min="9" max="16384" width="9.140625" style="39"/>
  </cols>
  <sheetData>
    <row r="1" spans="1:9" ht="34.5" thickBot="1" x14ac:dyDescent="0.55000000000000004">
      <c r="A1" s="208" t="s">
        <v>106</v>
      </c>
      <c r="B1" s="208"/>
      <c r="C1" s="208"/>
      <c r="D1" s="208"/>
    </row>
    <row r="2" spans="1:9" x14ac:dyDescent="0.25">
      <c r="A2" s="23" t="s">
        <v>16</v>
      </c>
      <c r="B2" s="209" t="str">
        <f>CONCATENATE(ExpID,"-",StnNum,"-",StnDay)</f>
        <v>AO2023-I-2-1</v>
      </c>
      <c r="C2" s="209"/>
      <c r="D2" s="63"/>
    </row>
    <row r="3" spans="1:9" x14ac:dyDescent="0.25">
      <c r="A3" s="24" t="s">
        <v>130</v>
      </c>
      <c r="B3" s="201"/>
      <c r="C3" s="201"/>
      <c r="D3" s="67"/>
    </row>
    <row r="4" spans="1:9" x14ac:dyDescent="0.25">
      <c r="A4" s="24" t="s">
        <v>4</v>
      </c>
      <c r="B4" s="202" t="str">
        <f>ObsDate</f>
        <v>09.06.23</v>
      </c>
      <c r="C4" s="202"/>
      <c r="D4" s="67"/>
    </row>
    <row r="5" spans="1:9" x14ac:dyDescent="0.25">
      <c r="A5" s="25" t="s">
        <v>105</v>
      </c>
      <c r="B5" s="203">
        <v>0.49652777777777773</v>
      </c>
      <c r="C5" s="203"/>
      <c r="D5" s="67"/>
    </row>
    <row r="6" spans="1:9" x14ac:dyDescent="0.25">
      <c r="A6" s="25" t="s">
        <v>119</v>
      </c>
      <c r="B6" s="210" t="s">
        <v>197</v>
      </c>
      <c r="C6" s="211"/>
      <c r="D6" s="67"/>
    </row>
    <row r="7" spans="1:9" x14ac:dyDescent="0.25">
      <c r="A7" s="212" t="s">
        <v>159</v>
      </c>
      <c r="B7" s="213"/>
      <c r="C7" s="31" t="s">
        <v>158</v>
      </c>
      <c r="D7" s="67"/>
      <c r="E7" s="72"/>
      <c r="F7" s="64"/>
      <c r="G7" s="64"/>
      <c r="H7" s="66"/>
      <c r="I7" s="65"/>
    </row>
    <row r="8" spans="1:9" ht="30" customHeight="1" thickBot="1" x14ac:dyDescent="0.3">
      <c r="A8" s="26" t="s">
        <v>15</v>
      </c>
      <c r="B8" s="205" t="s">
        <v>200</v>
      </c>
      <c r="C8" s="206"/>
      <c r="D8" s="207"/>
    </row>
    <row r="10" spans="1:9" ht="15.75" thickBot="1" x14ac:dyDescent="0.3">
      <c r="A10" s="41" t="s">
        <v>76</v>
      </c>
      <c r="D10" s="41" t="s">
        <v>107</v>
      </c>
    </row>
    <row r="11" spans="1:9" x14ac:dyDescent="0.25">
      <c r="A11" s="15" t="s">
        <v>120</v>
      </c>
      <c r="B11" s="77">
        <v>0.7</v>
      </c>
      <c r="D11" s="15" t="s">
        <v>133</v>
      </c>
      <c r="E11" s="80"/>
    </row>
    <row r="12" spans="1:9" x14ac:dyDescent="0.25">
      <c r="A12" s="16" t="s">
        <v>121</v>
      </c>
      <c r="B12" s="78">
        <v>-1.9</v>
      </c>
      <c r="D12" s="16" t="s">
        <v>134</v>
      </c>
      <c r="E12" s="81">
        <v>147</v>
      </c>
    </row>
    <row r="13" spans="1:9" x14ac:dyDescent="0.25">
      <c r="A13" s="16" t="s">
        <v>122</v>
      </c>
      <c r="B13" s="78">
        <v>-3.4</v>
      </c>
      <c r="D13" s="16" t="s">
        <v>135</v>
      </c>
      <c r="E13" s="81">
        <v>143</v>
      </c>
    </row>
    <row r="14" spans="1:9" ht="15.75" thickBot="1" x14ac:dyDescent="0.3">
      <c r="A14" s="18" t="s">
        <v>123</v>
      </c>
      <c r="B14" s="79">
        <v>-2</v>
      </c>
      <c r="D14" s="16" t="s">
        <v>131</v>
      </c>
      <c r="E14" s="81">
        <v>4</v>
      </c>
    </row>
    <row r="15" spans="1:9" x14ac:dyDescent="0.25">
      <c r="D15" s="16" t="s">
        <v>132</v>
      </c>
      <c r="E15" s="81">
        <v>147</v>
      </c>
    </row>
    <row r="16" spans="1:9" ht="15.75" thickBot="1" x14ac:dyDescent="0.3">
      <c r="D16" s="18" t="s">
        <v>144</v>
      </c>
      <c r="E16" s="82">
        <v>30.5</v>
      </c>
    </row>
    <row r="17" spans="1:8" ht="15.75" thickBot="1" x14ac:dyDescent="0.3"/>
    <row r="18" spans="1:8" x14ac:dyDescent="0.25">
      <c r="D18" s="15" t="s">
        <v>161</v>
      </c>
      <c r="E18" s="83">
        <v>151</v>
      </c>
      <c r="F18" s="73"/>
      <c r="G18" s="74"/>
    </row>
    <row r="19" spans="1:8" x14ac:dyDescent="0.25">
      <c r="D19" s="16" t="s">
        <v>125</v>
      </c>
      <c r="E19" s="84">
        <v>2</v>
      </c>
      <c r="F19" s="49"/>
      <c r="G19" s="75"/>
    </row>
    <row r="20" spans="1:8" ht="15.75" thickBot="1" x14ac:dyDescent="0.3">
      <c r="D20" s="18" t="s">
        <v>124</v>
      </c>
      <c r="E20" s="76"/>
      <c r="F20" s="76"/>
      <c r="G20" s="27">
        <f>SUM(G23:G52)</f>
        <v>151</v>
      </c>
    </row>
    <row r="21" spans="1:8" ht="15.75" thickBot="1" x14ac:dyDescent="0.3"/>
    <row r="22" spans="1:8" ht="15.75" thickBot="1" x14ac:dyDescent="0.3">
      <c r="A22" s="28" t="s">
        <v>165</v>
      </c>
      <c r="B22" s="29" t="s">
        <v>108</v>
      </c>
      <c r="D22" s="28" t="s">
        <v>116</v>
      </c>
      <c r="E22" s="30" t="s">
        <v>136</v>
      </c>
      <c r="F22" s="30" t="s">
        <v>137</v>
      </c>
      <c r="G22" s="30" t="s">
        <v>138</v>
      </c>
      <c r="H22" s="29" t="s">
        <v>13</v>
      </c>
    </row>
    <row r="23" spans="1:8" x14ac:dyDescent="0.25">
      <c r="A23" s="85">
        <v>1</v>
      </c>
      <c r="B23" s="120">
        <v>-2.6</v>
      </c>
      <c r="D23" s="87">
        <v>1</v>
      </c>
      <c r="E23" s="88"/>
      <c r="F23" s="88"/>
      <c r="G23" s="88">
        <v>101</v>
      </c>
      <c r="H23" s="71" t="s">
        <v>198</v>
      </c>
    </row>
    <row r="24" spans="1:8" x14ac:dyDescent="0.25">
      <c r="A24" s="85">
        <v>2.5</v>
      </c>
      <c r="B24" s="97">
        <v>-2.8</v>
      </c>
      <c r="D24" s="89">
        <v>2</v>
      </c>
      <c r="E24" s="90"/>
      <c r="F24" s="90"/>
      <c r="G24" s="90">
        <v>50</v>
      </c>
      <c r="H24" s="35" t="s">
        <v>199</v>
      </c>
    </row>
    <row r="25" spans="1:8" x14ac:dyDescent="0.25">
      <c r="A25" s="86">
        <v>10</v>
      </c>
      <c r="B25" s="97">
        <v>-3</v>
      </c>
      <c r="D25" s="89"/>
      <c r="E25" s="90"/>
      <c r="F25" s="90"/>
      <c r="G25" s="90"/>
      <c r="H25" s="35"/>
    </row>
    <row r="26" spans="1:8" x14ac:dyDescent="0.25">
      <c r="A26" s="86">
        <v>20</v>
      </c>
      <c r="B26" s="97">
        <v>-3.1</v>
      </c>
      <c r="D26" s="89"/>
      <c r="E26" s="90"/>
      <c r="F26" s="90"/>
      <c r="G26" s="90"/>
      <c r="H26" s="35"/>
    </row>
    <row r="27" spans="1:8" x14ac:dyDescent="0.25">
      <c r="A27" s="86">
        <v>30</v>
      </c>
      <c r="B27" s="97">
        <v>-3</v>
      </c>
      <c r="D27" s="89"/>
      <c r="E27" s="90"/>
      <c r="F27" s="90"/>
      <c r="G27" s="90"/>
      <c r="H27" s="35"/>
    </row>
    <row r="28" spans="1:8" x14ac:dyDescent="0.25">
      <c r="A28" s="86">
        <v>40</v>
      </c>
      <c r="B28" s="97">
        <v>-3.1</v>
      </c>
      <c r="D28" s="89"/>
      <c r="E28" s="90"/>
      <c r="F28" s="90"/>
      <c r="G28" s="90"/>
      <c r="H28" s="35"/>
    </row>
    <row r="29" spans="1:8" x14ac:dyDescent="0.25">
      <c r="A29" s="86">
        <v>50</v>
      </c>
      <c r="B29" s="97">
        <v>-3.2</v>
      </c>
      <c r="D29" s="89"/>
      <c r="E29" s="90"/>
      <c r="F29" s="90"/>
      <c r="G29" s="90"/>
      <c r="H29" s="35"/>
    </row>
    <row r="30" spans="1:8" x14ac:dyDescent="0.25">
      <c r="A30" s="86">
        <v>60</v>
      </c>
      <c r="B30" s="97">
        <v>-3.4</v>
      </c>
      <c r="D30" s="89"/>
      <c r="E30" s="90"/>
      <c r="F30" s="90"/>
      <c r="G30" s="90"/>
      <c r="H30" s="35"/>
    </row>
    <row r="31" spans="1:8" x14ac:dyDescent="0.25">
      <c r="A31" s="86">
        <v>70</v>
      </c>
      <c r="B31" s="97">
        <v>-2.7</v>
      </c>
      <c r="D31" s="89"/>
      <c r="E31" s="90"/>
      <c r="F31" s="90"/>
      <c r="G31" s="90"/>
      <c r="H31" s="35"/>
    </row>
    <row r="32" spans="1:8" x14ac:dyDescent="0.25">
      <c r="A32" s="86">
        <v>80</v>
      </c>
      <c r="B32" s="97">
        <v>-2.8</v>
      </c>
      <c r="D32" s="89"/>
      <c r="E32" s="90"/>
      <c r="F32" s="90"/>
      <c r="G32" s="90"/>
      <c r="H32" s="35"/>
    </row>
    <row r="33" spans="1:8" x14ac:dyDescent="0.25">
      <c r="A33" s="86">
        <v>90</v>
      </c>
      <c r="B33" s="97">
        <v>-2.6</v>
      </c>
      <c r="D33" s="89"/>
      <c r="E33" s="90"/>
      <c r="F33" s="90"/>
      <c r="G33" s="90"/>
      <c r="H33" s="35"/>
    </row>
    <row r="34" spans="1:8" x14ac:dyDescent="0.25">
      <c r="A34" s="86">
        <v>98</v>
      </c>
      <c r="B34" s="97">
        <v>-2.2000000000000002</v>
      </c>
      <c r="D34" s="89"/>
      <c r="E34" s="90"/>
      <c r="F34" s="90"/>
      <c r="G34" s="90"/>
      <c r="H34" s="35"/>
    </row>
    <row r="35" spans="1:8" x14ac:dyDescent="0.25">
      <c r="A35" s="86">
        <v>110</v>
      </c>
      <c r="B35" s="97">
        <v>-2.1</v>
      </c>
      <c r="D35" s="89"/>
      <c r="E35" s="90"/>
      <c r="F35" s="90"/>
      <c r="G35" s="90"/>
      <c r="H35" s="35"/>
    </row>
    <row r="36" spans="1:8" x14ac:dyDescent="0.25">
      <c r="A36" s="86">
        <v>120</v>
      </c>
      <c r="B36" s="97">
        <v>-2.2999999999999998</v>
      </c>
      <c r="D36" s="89"/>
      <c r="E36" s="90"/>
      <c r="F36" s="90"/>
      <c r="G36" s="90"/>
      <c r="H36" s="35"/>
    </row>
    <row r="37" spans="1:8" x14ac:dyDescent="0.25">
      <c r="A37" s="86">
        <v>130</v>
      </c>
      <c r="B37" s="97">
        <v>-1.8</v>
      </c>
      <c r="D37" s="89"/>
      <c r="E37" s="90"/>
      <c r="F37" s="90"/>
      <c r="G37" s="90"/>
      <c r="H37" s="35"/>
    </row>
    <row r="38" spans="1:8" x14ac:dyDescent="0.25">
      <c r="A38" s="86">
        <v>140</v>
      </c>
      <c r="B38" s="97">
        <v>-2</v>
      </c>
      <c r="D38" s="89"/>
      <c r="E38" s="90"/>
      <c r="F38" s="90"/>
      <c r="G38" s="90"/>
      <c r="H38" s="35"/>
    </row>
    <row r="39" spans="1:8" x14ac:dyDescent="0.25">
      <c r="A39" s="86">
        <v>145</v>
      </c>
      <c r="B39" s="97">
        <v>-1.8</v>
      </c>
      <c r="D39" s="89"/>
      <c r="E39" s="90"/>
      <c r="F39" s="90"/>
      <c r="G39" s="90"/>
      <c r="H39" s="35"/>
    </row>
    <row r="40" spans="1:8" x14ac:dyDescent="0.25">
      <c r="A40" s="86">
        <v>148</v>
      </c>
      <c r="B40" s="97">
        <v>-1.9</v>
      </c>
      <c r="D40" s="89"/>
      <c r="E40" s="90"/>
      <c r="F40" s="90"/>
      <c r="G40" s="90"/>
      <c r="H40" s="35"/>
    </row>
    <row r="41" spans="1:8" x14ac:dyDescent="0.25">
      <c r="A41" s="86">
        <v>151</v>
      </c>
      <c r="B41" s="97">
        <v>-1.7</v>
      </c>
      <c r="D41" s="89"/>
      <c r="E41" s="90"/>
      <c r="F41" s="90"/>
      <c r="G41" s="90"/>
      <c r="H41" s="35"/>
    </row>
    <row r="42" spans="1:8" x14ac:dyDescent="0.25">
      <c r="A42" s="86"/>
      <c r="B42" s="97"/>
      <c r="D42" s="89"/>
      <c r="E42" s="90"/>
      <c r="F42" s="90"/>
      <c r="G42" s="90"/>
      <c r="H42" s="35"/>
    </row>
    <row r="43" spans="1:8" x14ac:dyDescent="0.25">
      <c r="A43" s="86"/>
      <c r="B43" s="97"/>
      <c r="D43" s="89"/>
      <c r="E43" s="90"/>
      <c r="F43" s="90"/>
      <c r="G43" s="90"/>
      <c r="H43" s="35"/>
    </row>
    <row r="44" spans="1:8" x14ac:dyDescent="0.25">
      <c r="A44" s="86"/>
      <c r="B44" s="97"/>
      <c r="D44" s="89"/>
      <c r="E44" s="90"/>
      <c r="F44" s="90"/>
      <c r="G44" s="90"/>
      <c r="H44" s="35"/>
    </row>
    <row r="45" spans="1:8" x14ac:dyDescent="0.25">
      <c r="A45" s="86"/>
      <c r="B45" s="97"/>
      <c r="D45" s="89"/>
      <c r="E45" s="90"/>
      <c r="F45" s="90"/>
      <c r="G45" s="90"/>
      <c r="H45" s="35"/>
    </row>
    <row r="46" spans="1:8" x14ac:dyDescent="0.25">
      <c r="A46" s="86"/>
      <c r="B46" s="97"/>
      <c r="D46" s="89"/>
      <c r="E46" s="90"/>
      <c r="F46" s="90"/>
      <c r="G46" s="90"/>
      <c r="H46" s="35"/>
    </row>
    <row r="47" spans="1:8" x14ac:dyDescent="0.25">
      <c r="A47" s="86"/>
      <c r="B47" s="97"/>
      <c r="D47" s="89"/>
      <c r="E47" s="90"/>
      <c r="F47" s="90"/>
      <c r="G47" s="90"/>
      <c r="H47" s="35"/>
    </row>
  </sheetData>
  <mergeCells count="8">
    <mergeCell ref="B8:D8"/>
    <mergeCell ref="A1:D1"/>
    <mergeCell ref="B2:C2"/>
    <mergeCell ref="B3:C3"/>
    <mergeCell ref="B4:C4"/>
    <mergeCell ref="B5:C5"/>
    <mergeCell ref="B6:C6"/>
    <mergeCell ref="A7:B7"/>
  </mergeCells>
  <dataValidations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2A7B-CE86-400A-B1EF-E61A81BC8457}">
  <sheetPr>
    <tabColor rgb="FF92D050"/>
    <pageSetUpPr fitToPage="1"/>
  </sheetPr>
  <dimension ref="A1:I47"/>
  <sheetViews>
    <sheetView topLeftCell="A2" zoomScale="80" zoomScaleNormal="80" workbookViewId="0">
      <selection activeCell="F14" sqref="F14"/>
    </sheetView>
  </sheetViews>
  <sheetFormatPr defaultColWidth="9.140625" defaultRowHeight="15" x14ac:dyDescent="0.25"/>
  <cols>
    <col min="1" max="1" width="23.7109375" style="39" bestFit="1" customWidth="1"/>
    <col min="2" max="2" width="16.7109375" style="39" bestFit="1" customWidth="1"/>
    <col min="3" max="3" width="20.42578125" style="39" bestFit="1" customWidth="1"/>
    <col min="4" max="4" width="27" style="39" bestFit="1" customWidth="1"/>
    <col min="5" max="5" width="18.7109375" style="39" customWidth="1"/>
    <col min="6" max="6" width="20.28515625" style="39" bestFit="1" customWidth="1"/>
    <col min="7" max="7" width="18.7109375" style="39" customWidth="1"/>
    <col min="8" max="8" width="36.7109375" style="39" customWidth="1"/>
    <col min="9" max="16384" width="9.140625" style="39"/>
  </cols>
  <sheetData>
    <row r="1" spans="1:9" ht="34.5" thickBot="1" x14ac:dyDescent="0.55000000000000004">
      <c r="A1" s="208" t="s">
        <v>202</v>
      </c>
      <c r="B1" s="208"/>
      <c r="C1" s="208"/>
      <c r="D1" s="208"/>
    </row>
    <row r="2" spans="1:9" x14ac:dyDescent="0.25">
      <c r="A2" s="23" t="s">
        <v>16</v>
      </c>
      <c r="B2" s="209" t="str">
        <f>CONCATENATE(ExpID,"-",StnNum,"-",StnDay)</f>
        <v>AO2023-I-2-1</v>
      </c>
      <c r="C2" s="209"/>
      <c r="D2" s="63"/>
    </row>
    <row r="3" spans="1:9" x14ac:dyDescent="0.25">
      <c r="A3" s="24" t="s">
        <v>130</v>
      </c>
      <c r="B3" s="201" t="s">
        <v>190</v>
      </c>
      <c r="C3" s="201"/>
      <c r="D3" s="67"/>
    </row>
    <row r="4" spans="1:9" x14ac:dyDescent="0.25">
      <c r="A4" s="24" t="s">
        <v>4</v>
      </c>
      <c r="B4" s="202" t="str">
        <f>ObsDate</f>
        <v>09.06.23</v>
      </c>
      <c r="C4" s="202"/>
      <c r="D4" s="67"/>
    </row>
    <row r="5" spans="1:9" x14ac:dyDescent="0.25">
      <c r="A5" s="25" t="s">
        <v>105</v>
      </c>
      <c r="B5" s="203"/>
      <c r="C5" s="203"/>
      <c r="D5" s="67"/>
    </row>
    <row r="6" spans="1:9" x14ac:dyDescent="0.25">
      <c r="A6" s="25" t="s">
        <v>119</v>
      </c>
      <c r="B6" s="210" t="s">
        <v>172</v>
      </c>
      <c r="C6" s="211"/>
      <c r="D6" s="67"/>
    </row>
    <row r="7" spans="1:9" x14ac:dyDescent="0.25">
      <c r="A7" s="212" t="s">
        <v>159</v>
      </c>
      <c r="B7" s="213"/>
      <c r="C7" s="31" t="s">
        <v>157</v>
      </c>
      <c r="D7" s="67"/>
      <c r="E7" s="72"/>
      <c r="F7" s="64"/>
      <c r="G7" s="64"/>
      <c r="H7" s="66"/>
      <c r="I7" s="65"/>
    </row>
    <row r="8" spans="1:9" ht="30" customHeight="1" thickBot="1" x14ac:dyDescent="0.3">
      <c r="A8" s="26" t="s">
        <v>15</v>
      </c>
      <c r="B8" s="205" t="s">
        <v>203</v>
      </c>
      <c r="C8" s="206"/>
      <c r="D8" s="207"/>
    </row>
    <row r="10" spans="1:9" ht="15.75" thickBot="1" x14ac:dyDescent="0.3">
      <c r="A10" s="41" t="s">
        <v>76</v>
      </c>
      <c r="D10" s="41" t="s">
        <v>107</v>
      </c>
    </row>
    <row r="11" spans="1:9" x14ac:dyDescent="0.25">
      <c r="A11" s="15" t="s">
        <v>120</v>
      </c>
      <c r="B11" s="77"/>
      <c r="D11" s="15" t="s">
        <v>133</v>
      </c>
      <c r="E11" s="80"/>
    </row>
    <row r="12" spans="1:9" x14ac:dyDescent="0.25">
      <c r="A12" s="16" t="s">
        <v>121</v>
      </c>
      <c r="B12" s="78"/>
      <c r="D12" s="16" t="s">
        <v>134</v>
      </c>
      <c r="E12" s="81">
        <v>147</v>
      </c>
    </row>
    <row r="13" spans="1:9" x14ac:dyDescent="0.25">
      <c r="A13" s="16" t="s">
        <v>122</v>
      </c>
      <c r="B13" s="78"/>
      <c r="D13" s="16" t="s">
        <v>135</v>
      </c>
      <c r="E13" s="81">
        <v>143</v>
      </c>
    </row>
    <row r="14" spans="1:9" ht="15.75" thickBot="1" x14ac:dyDescent="0.3">
      <c r="A14" s="18" t="s">
        <v>123</v>
      </c>
      <c r="B14" s="79"/>
      <c r="D14" s="16" t="s">
        <v>131</v>
      </c>
      <c r="E14" s="81">
        <v>4</v>
      </c>
    </row>
    <row r="15" spans="1:9" x14ac:dyDescent="0.25">
      <c r="D15" s="16" t="s">
        <v>132</v>
      </c>
      <c r="E15" s="81">
        <v>147</v>
      </c>
    </row>
    <row r="16" spans="1:9" ht="15.75" thickBot="1" x14ac:dyDescent="0.3">
      <c r="D16" s="18" t="s">
        <v>144</v>
      </c>
      <c r="E16" s="82">
        <v>30.5</v>
      </c>
    </row>
    <row r="17" spans="1:6" ht="15.75" thickBot="1" x14ac:dyDescent="0.3"/>
    <row r="18" spans="1:6" x14ac:dyDescent="0.25">
      <c r="A18" s="15" t="s">
        <v>161</v>
      </c>
      <c r="B18" s="83"/>
      <c r="C18" s="73"/>
      <c r="D18" s="74"/>
    </row>
    <row r="19" spans="1:6" x14ac:dyDescent="0.25">
      <c r="A19" s="16" t="s">
        <v>125</v>
      </c>
      <c r="B19" s="84"/>
      <c r="C19" s="49"/>
      <c r="D19" s="75"/>
    </row>
    <row r="20" spans="1:6" ht="15.75" thickBot="1" x14ac:dyDescent="0.3">
      <c r="A20" s="18" t="s">
        <v>124</v>
      </c>
      <c r="B20" s="76"/>
      <c r="C20" s="76"/>
      <c r="D20" s="27">
        <f>SUM(G23:G52)</f>
        <v>0</v>
      </c>
    </row>
    <row r="21" spans="1:6" ht="15.75" thickBot="1" x14ac:dyDescent="0.3"/>
    <row r="22" spans="1:6" ht="15.75" thickBot="1" x14ac:dyDescent="0.3">
      <c r="A22" s="28" t="s">
        <v>116</v>
      </c>
      <c r="B22" s="30" t="s">
        <v>136</v>
      </c>
      <c r="C22" s="30" t="s">
        <v>137</v>
      </c>
      <c r="D22" s="30" t="s">
        <v>138</v>
      </c>
      <c r="E22" s="215" t="s">
        <v>13</v>
      </c>
      <c r="F22" s="216"/>
    </row>
    <row r="23" spans="1:6" x14ac:dyDescent="0.25">
      <c r="A23" s="87">
        <v>1</v>
      </c>
      <c r="B23" s="88"/>
      <c r="C23" s="88"/>
      <c r="D23" s="88">
        <v>101</v>
      </c>
      <c r="E23" s="217" t="s">
        <v>198</v>
      </c>
      <c r="F23" s="217"/>
    </row>
    <row r="24" spans="1:6" x14ac:dyDescent="0.25">
      <c r="A24" s="89">
        <v>2</v>
      </c>
      <c r="B24" s="90"/>
      <c r="C24" s="90"/>
      <c r="D24" s="90">
        <v>49.5</v>
      </c>
      <c r="E24" s="214" t="s">
        <v>201</v>
      </c>
      <c r="F24" s="214"/>
    </row>
    <row r="25" spans="1:6" x14ac:dyDescent="0.25">
      <c r="A25" s="89"/>
      <c r="B25" s="90"/>
      <c r="C25" s="90"/>
      <c r="D25" s="90"/>
      <c r="E25" s="214"/>
      <c r="F25" s="214"/>
    </row>
    <row r="26" spans="1:6" x14ac:dyDescent="0.25">
      <c r="A26" s="89"/>
      <c r="B26" s="90"/>
      <c r="C26" s="90"/>
      <c r="D26" s="90"/>
      <c r="E26" s="214"/>
      <c r="F26" s="214"/>
    </row>
    <row r="27" spans="1:6" x14ac:dyDescent="0.25">
      <c r="A27" s="89"/>
      <c r="B27" s="90"/>
      <c r="C27" s="90"/>
      <c r="D27" s="90"/>
      <c r="E27" s="214"/>
      <c r="F27" s="214"/>
    </row>
    <row r="28" spans="1:6" x14ac:dyDescent="0.25">
      <c r="A28" s="89"/>
      <c r="B28" s="90"/>
      <c r="C28" s="90"/>
      <c r="D28" s="90"/>
      <c r="E28" s="214"/>
      <c r="F28" s="214"/>
    </row>
    <row r="29" spans="1:6" x14ac:dyDescent="0.25">
      <c r="A29" s="89"/>
      <c r="B29" s="90"/>
      <c r="C29" s="90"/>
      <c r="D29" s="90"/>
      <c r="E29" s="214"/>
      <c r="F29" s="214"/>
    </row>
    <row r="30" spans="1:6" x14ac:dyDescent="0.25">
      <c r="A30" s="89"/>
      <c r="B30" s="90"/>
      <c r="C30" s="90"/>
      <c r="D30" s="90"/>
      <c r="E30" s="214"/>
      <c r="F30" s="214"/>
    </row>
    <row r="31" spans="1:6" x14ac:dyDescent="0.25">
      <c r="A31" s="89"/>
      <c r="B31" s="90"/>
      <c r="C31" s="90"/>
      <c r="D31" s="90"/>
      <c r="E31" s="214"/>
      <c r="F31" s="214"/>
    </row>
    <row r="32" spans="1:6" x14ac:dyDescent="0.25">
      <c r="A32" s="89"/>
      <c r="B32" s="90"/>
      <c r="C32" s="90"/>
      <c r="D32" s="90"/>
      <c r="E32" s="214"/>
      <c r="F32" s="214"/>
    </row>
    <row r="33" spans="1:6" x14ac:dyDescent="0.25">
      <c r="A33" s="89"/>
      <c r="B33" s="90"/>
      <c r="C33" s="90"/>
      <c r="D33" s="90"/>
      <c r="E33" s="214"/>
      <c r="F33" s="214"/>
    </row>
    <row r="34" spans="1:6" x14ac:dyDescent="0.25">
      <c r="A34" s="89"/>
      <c r="B34" s="90"/>
      <c r="C34" s="90"/>
      <c r="D34" s="90"/>
      <c r="E34" s="214"/>
      <c r="F34" s="214"/>
    </row>
    <row r="35" spans="1:6" x14ac:dyDescent="0.25">
      <c r="A35" s="89"/>
      <c r="B35" s="90"/>
      <c r="C35" s="90"/>
      <c r="D35" s="90"/>
      <c r="E35" s="214"/>
      <c r="F35" s="214"/>
    </row>
    <row r="36" spans="1:6" x14ac:dyDescent="0.25">
      <c r="A36" s="89"/>
      <c r="B36" s="90"/>
      <c r="C36" s="90"/>
      <c r="D36" s="90"/>
      <c r="E36" s="214"/>
      <c r="F36" s="214"/>
    </row>
    <row r="37" spans="1:6" x14ac:dyDescent="0.25">
      <c r="A37" s="89"/>
      <c r="B37" s="90"/>
      <c r="C37" s="90"/>
      <c r="D37" s="90"/>
      <c r="E37" s="214"/>
      <c r="F37" s="214"/>
    </row>
    <row r="38" spans="1:6" x14ac:dyDescent="0.25">
      <c r="A38" s="89"/>
      <c r="B38" s="90"/>
      <c r="C38" s="90"/>
      <c r="D38" s="90"/>
      <c r="E38" s="214"/>
      <c r="F38" s="214"/>
    </row>
    <row r="39" spans="1:6" x14ac:dyDescent="0.25">
      <c r="A39" s="89"/>
      <c r="B39" s="90"/>
      <c r="C39" s="90"/>
      <c r="D39" s="90"/>
      <c r="E39" s="214"/>
      <c r="F39" s="214"/>
    </row>
    <row r="40" spans="1:6" x14ac:dyDescent="0.25">
      <c r="A40" s="89"/>
      <c r="B40" s="90"/>
      <c r="C40" s="90"/>
      <c r="D40" s="90"/>
      <c r="E40" s="214"/>
      <c r="F40" s="214"/>
    </row>
    <row r="41" spans="1:6" x14ac:dyDescent="0.25">
      <c r="A41" s="89"/>
      <c r="B41" s="90"/>
      <c r="C41" s="90"/>
      <c r="D41" s="90"/>
      <c r="E41" s="214"/>
      <c r="F41" s="214"/>
    </row>
    <row r="42" spans="1:6" x14ac:dyDescent="0.25">
      <c r="A42" s="89"/>
      <c r="B42" s="90"/>
      <c r="C42" s="90"/>
      <c r="D42" s="90"/>
      <c r="E42" s="214"/>
      <c r="F42" s="214"/>
    </row>
    <row r="43" spans="1:6" x14ac:dyDescent="0.25">
      <c r="A43" s="89"/>
      <c r="B43" s="90"/>
      <c r="C43" s="90"/>
      <c r="D43" s="90"/>
      <c r="E43" s="214"/>
      <c r="F43" s="214"/>
    </row>
    <row r="44" spans="1:6" x14ac:dyDescent="0.25">
      <c r="A44" s="89"/>
      <c r="B44" s="90"/>
      <c r="C44" s="90"/>
      <c r="D44" s="90"/>
      <c r="E44" s="214"/>
      <c r="F44" s="214"/>
    </row>
    <row r="45" spans="1:6" x14ac:dyDescent="0.25">
      <c r="A45" s="89"/>
      <c r="B45" s="90"/>
      <c r="C45" s="90"/>
      <c r="D45" s="90"/>
      <c r="E45" s="214"/>
      <c r="F45" s="214"/>
    </row>
    <row r="46" spans="1:6" x14ac:dyDescent="0.25">
      <c r="A46" s="89"/>
      <c r="B46" s="90"/>
      <c r="C46" s="90"/>
      <c r="D46" s="90"/>
      <c r="E46" s="214"/>
      <c r="F46" s="214"/>
    </row>
    <row r="47" spans="1:6" x14ac:dyDescent="0.25">
      <c r="A47" s="89"/>
      <c r="B47" s="90"/>
      <c r="C47" s="90"/>
      <c r="D47" s="90"/>
      <c r="E47" s="214"/>
      <c r="F47" s="214"/>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1F47EA38-5251-4B61-B202-8B5B0A0B5C80}">
      <formula1>Yes_No</formula1>
    </dataValidation>
  </dataValidations>
  <pageMargins left="0.7" right="0.7" top="0.75" bottom="0.75" header="0.3" footer="0.3"/>
  <pageSetup paperSize="9" scale="75"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L52"/>
  <sheetViews>
    <sheetView tabSelected="1" zoomScale="80" zoomScaleNormal="80" workbookViewId="0">
      <selection activeCell="B4" sqref="B4:C4"/>
    </sheetView>
  </sheetViews>
  <sheetFormatPr defaultColWidth="9.140625" defaultRowHeight="15" x14ac:dyDescent="0.25"/>
  <cols>
    <col min="1" max="1" width="21.7109375" style="39" customWidth="1"/>
    <col min="2" max="3" width="15.7109375" style="39" customWidth="1"/>
    <col min="4" max="5" width="18.7109375" style="39" customWidth="1"/>
    <col min="6" max="6" width="19.5703125" style="39" bestFit="1" customWidth="1"/>
    <col min="7" max="7" width="19.85546875" style="39" bestFit="1" customWidth="1"/>
    <col min="8" max="8" width="19.5703125" style="39" bestFit="1" customWidth="1"/>
    <col min="9" max="9" width="36.7109375" style="99" customWidth="1"/>
    <col min="10" max="16384" width="9.140625" style="39"/>
  </cols>
  <sheetData>
    <row r="1" spans="1:9" ht="34.5" thickBot="1" x14ac:dyDescent="0.55000000000000004">
      <c r="A1" s="208" t="s">
        <v>118</v>
      </c>
      <c r="B1" s="208"/>
      <c r="C1" s="208"/>
      <c r="D1" s="98"/>
    </row>
    <row r="2" spans="1:9" x14ac:dyDescent="0.25">
      <c r="A2" s="23" t="s">
        <v>16</v>
      </c>
      <c r="B2" s="221" t="str">
        <f>CONCATENATE(ExpID,"-",StnNum,"-",StnDay)</f>
        <v>AO2023-I-2-1</v>
      </c>
      <c r="C2" s="221"/>
      <c r="D2" s="63"/>
    </row>
    <row r="3" spans="1:9" x14ac:dyDescent="0.25">
      <c r="A3" s="24" t="s">
        <v>130</v>
      </c>
      <c r="B3" s="222" t="s">
        <v>190</v>
      </c>
      <c r="C3" s="222"/>
      <c r="D3" s="67"/>
    </row>
    <row r="4" spans="1:9" x14ac:dyDescent="0.25">
      <c r="A4" s="24" t="s">
        <v>4</v>
      </c>
      <c r="B4" s="202" t="s">
        <v>283</v>
      </c>
      <c r="C4" s="202"/>
      <c r="D4" s="67"/>
    </row>
    <row r="5" spans="1:9" x14ac:dyDescent="0.25">
      <c r="A5" s="25" t="s">
        <v>105</v>
      </c>
      <c r="B5" s="223"/>
      <c r="C5" s="223"/>
      <c r="D5" s="67"/>
    </row>
    <row r="6" spans="1:9" x14ac:dyDescent="0.25">
      <c r="A6" s="25" t="s">
        <v>119</v>
      </c>
      <c r="B6" s="224" t="s">
        <v>172</v>
      </c>
      <c r="C6" s="225"/>
      <c r="D6" s="67"/>
      <c r="E6" s="64"/>
      <c r="F6" s="64"/>
      <c r="G6" s="66"/>
      <c r="H6" s="65"/>
    </row>
    <row r="7" spans="1:9" ht="30" customHeight="1" thickBot="1" x14ac:dyDescent="0.3">
      <c r="A7" s="26" t="s">
        <v>15</v>
      </c>
      <c r="B7" s="218" t="s">
        <v>240</v>
      </c>
      <c r="C7" s="219"/>
      <c r="D7" s="220"/>
      <c r="F7" s="158" t="s">
        <v>238</v>
      </c>
      <c r="G7" s="158">
        <v>-19.399999999999999</v>
      </c>
    </row>
    <row r="8" spans="1:9" x14ac:dyDescent="0.25">
      <c r="F8" s="158" t="s">
        <v>239</v>
      </c>
      <c r="G8" s="158">
        <v>0.83599999999999997</v>
      </c>
      <c r="H8" s="39" t="s">
        <v>266</v>
      </c>
    </row>
    <row r="9" spans="1:9" ht="15.75" thickBot="1" x14ac:dyDescent="0.3">
      <c r="A9" s="41" t="s">
        <v>107</v>
      </c>
    </row>
    <row r="10" spans="1:9" x14ac:dyDescent="0.25">
      <c r="A10" s="104" t="s">
        <v>144</v>
      </c>
      <c r="B10" s="105">
        <v>30.5</v>
      </c>
      <c r="F10" s="111" t="s">
        <v>116</v>
      </c>
      <c r="G10" s="112" t="s">
        <v>142</v>
      </c>
      <c r="H10" s="112" t="s">
        <v>143</v>
      </c>
      <c r="I10" s="113" t="s">
        <v>13</v>
      </c>
    </row>
    <row r="11" spans="1:9" x14ac:dyDescent="0.25">
      <c r="A11" s="106" t="s">
        <v>132</v>
      </c>
      <c r="B11" s="107">
        <v>146</v>
      </c>
      <c r="F11" s="114">
        <v>1</v>
      </c>
      <c r="G11" s="102"/>
      <c r="H11" s="33">
        <v>94</v>
      </c>
      <c r="I11" s="115" t="s">
        <v>241</v>
      </c>
    </row>
    <row r="12" spans="1:9" x14ac:dyDescent="0.25">
      <c r="A12" s="106" t="s">
        <v>145</v>
      </c>
      <c r="B12" s="107">
        <v>142</v>
      </c>
      <c r="F12" s="114">
        <v>2</v>
      </c>
      <c r="G12" s="33"/>
      <c r="H12" s="103">
        <v>55</v>
      </c>
      <c r="I12" s="116" t="s">
        <v>267</v>
      </c>
    </row>
    <row r="13" spans="1:9" x14ac:dyDescent="0.25">
      <c r="A13" s="106" t="s">
        <v>131</v>
      </c>
      <c r="B13" s="107">
        <v>4</v>
      </c>
      <c r="F13" s="114"/>
      <c r="G13" s="33"/>
      <c r="H13" s="33"/>
      <c r="I13" s="116"/>
    </row>
    <row r="14" spans="1:9" ht="15.75" thickBot="1" x14ac:dyDescent="0.3">
      <c r="A14" s="108" t="s">
        <v>146</v>
      </c>
      <c r="B14" s="109"/>
      <c r="F14" s="114"/>
      <c r="G14" s="33"/>
      <c r="H14" s="33"/>
      <c r="I14" s="116"/>
    </row>
    <row r="15" spans="1:9" x14ac:dyDescent="0.25">
      <c r="F15" s="114"/>
      <c r="G15" s="33"/>
      <c r="H15" s="33"/>
      <c r="I15" s="116"/>
    </row>
    <row r="16" spans="1:9" ht="15.75" thickBot="1" x14ac:dyDescent="0.3">
      <c r="A16" s="41" t="s">
        <v>110</v>
      </c>
      <c r="F16" s="114"/>
      <c r="G16" s="33"/>
      <c r="H16" s="33"/>
      <c r="I16" s="116"/>
    </row>
    <row r="17" spans="1:12" x14ac:dyDescent="0.25">
      <c r="A17" s="104" t="s">
        <v>147</v>
      </c>
      <c r="B17" s="105"/>
      <c r="F17" s="114"/>
      <c r="G17" s="33"/>
      <c r="H17" s="33"/>
      <c r="I17" s="116"/>
    </row>
    <row r="18" spans="1:12" ht="15.75" thickBot="1" x14ac:dyDescent="0.3">
      <c r="A18" s="18" t="s">
        <v>148</v>
      </c>
      <c r="B18" s="110"/>
      <c r="F18" s="114"/>
      <c r="G18" s="33"/>
      <c r="H18" s="33"/>
      <c r="I18" s="116"/>
    </row>
    <row r="19" spans="1:12" ht="15.75" thickBot="1" x14ac:dyDescent="0.3">
      <c r="B19" s="100"/>
      <c r="F19" s="117"/>
      <c r="G19" s="118"/>
      <c r="H19" s="118"/>
      <c r="I19" s="119"/>
    </row>
    <row r="21" spans="1:12" ht="15.75" thickBot="1" x14ac:dyDescent="0.3"/>
    <row r="22" spans="1:12" s="101" customFormat="1" ht="45.75" thickBot="1" x14ac:dyDescent="0.3">
      <c r="A22" s="151" t="s">
        <v>139</v>
      </c>
      <c r="B22" s="152" t="s">
        <v>140</v>
      </c>
      <c r="C22" s="152" t="s">
        <v>117</v>
      </c>
      <c r="D22" s="152" t="s">
        <v>233</v>
      </c>
      <c r="E22" s="152" t="s">
        <v>234</v>
      </c>
      <c r="F22" s="152" t="s">
        <v>235</v>
      </c>
      <c r="G22" s="152" t="s">
        <v>236</v>
      </c>
      <c r="H22" s="152" t="s">
        <v>237</v>
      </c>
      <c r="I22" s="153" t="s">
        <v>13</v>
      </c>
      <c r="J22" s="154" t="s">
        <v>112</v>
      </c>
      <c r="K22" s="154" t="s">
        <v>113</v>
      </c>
      <c r="L22" s="154" t="s">
        <v>114</v>
      </c>
    </row>
    <row r="23" spans="1:12" x14ac:dyDescent="0.25">
      <c r="A23" s="155">
        <v>0</v>
      </c>
      <c r="B23" s="155">
        <v>5</v>
      </c>
      <c r="C23" s="156"/>
      <c r="D23" s="156">
        <v>281.55</v>
      </c>
      <c r="E23" s="157">
        <v>15.01</v>
      </c>
      <c r="F23" s="156" t="s">
        <v>242</v>
      </c>
      <c r="G23" s="155">
        <f>AVERAGE(A23:B23)</f>
        <v>2.5</v>
      </c>
      <c r="H23" s="156">
        <f t="shared" ref="H23:H52" si="0">0.836*D23/(D23-E23)</f>
        <v>0.88307871238838442</v>
      </c>
      <c r="I23" s="168" t="s">
        <v>261</v>
      </c>
      <c r="J23" s="169">
        <v>5.6</v>
      </c>
      <c r="K23" s="169">
        <v>10.029999999999999</v>
      </c>
      <c r="L23" s="169">
        <v>18.600000000000001</v>
      </c>
    </row>
    <row r="24" spans="1:12" x14ac:dyDescent="0.25">
      <c r="A24" s="159">
        <v>5</v>
      </c>
      <c r="B24" s="159">
        <v>10</v>
      </c>
      <c r="C24" s="159"/>
      <c r="D24" s="159">
        <v>297.3</v>
      </c>
      <c r="E24" s="159">
        <v>25.2</v>
      </c>
      <c r="F24" s="159" t="s">
        <v>243</v>
      </c>
      <c r="G24" s="155">
        <f t="shared" ref="G24:G52" si="1">AVERAGE(A24:B24)</f>
        <v>7.5</v>
      </c>
      <c r="H24" s="156">
        <f t="shared" si="0"/>
        <v>0.91342447629547951</v>
      </c>
      <c r="I24" s="170" t="s">
        <v>262</v>
      </c>
      <c r="J24" s="169">
        <v>3.6</v>
      </c>
      <c r="K24" s="169">
        <v>6.61</v>
      </c>
      <c r="L24" s="169">
        <v>18.5</v>
      </c>
    </row>
    <row r="25" spans="1:12" x14ac:dyDescent="0.25">
      <c r="A25" s="155">
        <v>10</v>
      </c>
      <c r="B25" s="155">
        <v>15</v>
      </c>
      <c r="C25" s="32"/>
      <c r="D25" s="32">
        <v>244.8</v>
      </c>
      <c r="E25" s="32">
        <v>21.81</v>
      </c>
      <c r="F25" s="156" t="s">
        <v>244</v>
      </c>
      <c r="G25" s="155">
        <f t="shared" si="1"/>
        <v>12.5</v>
      </c>
      <c r="H25" s="156">
        <f t="shared" si="0"/>
        <v>0.91776671599623305</v>
      </c>
      <c r="I25" s="167" t="s">
        <v>263</v>
      </c>
      <c r="J25" s="171">
        <v>3.9</v>
      </c>
      <c r="K25" s="171">
        <v>7.12</v>
      </c>
      <c r="L25" s="171">
        <v>18.399999999999999</v>
      </c>
    </row>
    <row r="26" spans="1:12" x14ac:dyDescent="0.25">
      <c r="A26" s="159">
        <v>15</v>
      </c>
      <c r="B26" s="159">
        <v>20</v>
      </c>
      <c r="C26" s="32"/>
      <c r="D26" s="32">
        <v>276.94</v>
      </c>
      <c r="E26" s="32">
        <v>24.86</v>
      </c>
      <c r="F26" s="159" t="s">
        <v>245</v>
      </c>
      <c r="G26" s="155">
        <f t="shared" si="1"/>
        <v>17.5</v>
      </c>
      <c r="H26" s="156">
        <f t="shared" si="0"/>
        <v>0.91844589019358935</v>
      </c>
      <c r="I26" s="167" t="s">
        <v>263</v>
      </c>
      <c r="J26" s="171">
        <v>3.9</v>
      </c>
      <c r="K26" s="171">
        <v>7.05</v>
      </c>
      <c r="L26" s="171">
        <v>18.399999999999999</v>
      </c>
    </row>
    <row r="27" spans="1:12" x14ac:dyDescent="0.25">
      <c r="A27" s="155">
        <v>20</v>
      </c>
      <c r="B27" s="155">
        <v>25</v>
      </c>
      <c r="C27" s="32"/>
      <c r="D27" s="32">
        <v>276.82</v>
      </c>
      <c r="E27" s="32">
        <v>24.61</v>
      </c>
      <c r="F27" s="156" t="s">
        <v>246</v>
      </c>
      <c r="G27" s="155">
        <f t="shared" si="1"/>
        <v>22.5</v>
      </c>
      <c r="H27" s="156">
        <f t="shared" si="0"/>
        <v>0.91757471947979863</v>
      </c>
      <c r="I27" s="167" t="s">
        <v>263</v>
      </c>
      <c r="J27" s="171">
        <v>3.8</v>
      </c>
      <c r="K27" s="171">
        <v>6.93</v>
      </c>
      <c r="L27" s="171">
        <v>18.399999999999999</v>
      </c>
    </row>
    <row r="28" spans="1:12" x14ac:dyDescent="0.25">
      <c r="A28" s="159">
        <v>25</v>
      </c>
      <c r="B28" s="159">
        <v>30</v>
      </c>
      <c r="C28" s="32"/>
      <c r="D28" s="32">
        <v>276.12</v>
      </c>
      <c r="E28" s="32">
        <v>24.82</v>
      </c>
      <c r="F28" s="159" t="s">
        <v>247</v>
      </c>
      <c r="G28" s="155">
        <f t="shared" si="1"/>
        <v>27.5</v>
      </c>
      <c r="H28" s="156">
        <f t="shared" si="0"/>
        <v>0.91856872264226019</v>
      </c>
      <c r="I28" s="167" t="s">
        <v>263</v>
      </c>
      <c r="J28" s="171">
        <v>3.8</v>
      </c>
      <c r="K28" s="171">
        <v>7</v>
      </c>
      <c r="L28" s="171">
        <v>18.399999999999999</v>
      </c>
    </row>
    <row r="29" spans="1:12" x14ac:dyDescent="0.25">
      <c r="A29" s="155">
        <v>30</v>
      </c>
      <c r="B29" s="155">
        <v>35</v>
      </c>
      <c r="C29" s="32"/>
      <c r="D29" s="32">
        <v>272.5</v>
      </c>
      <c r="E29" s="32">
        <v>24.4</v>
      </c>
      <c r="F29" s="156" t="s">
        <v>248</v>
      </c>
      <c r="G29" s="155">
        <f t="shared" si="1"/>
        <v>32.5</v>
      </c>
      <c r="H29" s="156">
        <f t="shared" si="0"/>
        <v>0.91821846029826681</v>
      </c>
      <c r="I29" s="167" t="s">
        <v>264</v>
      </c>
      <c r="J29" s="171">
        <v>4.4000000000000004</v>
      </c>
      <c r="K29" s="171">
        <v>7.9</v>
      </c>
      <c r="L29" s="171">
        <v>18.399999999999999</v>
      </c>
    </row>
    <row r="30" spans="1:12" x14ac:dyDescent="0.25">
      <c r="A30" s="32">
        <v>35</v>
      </c>
      <c r="B30" s="32">
        <v>41</v>
      </c>
      <c r="C30" s="32"/>
      <c r="D30" s="32">
        <v>342.09</v>
      </c>
      <c r="E30" s="32">
        <v>28.2</v>
      </c>
      <c r="F30" s="159" t="s">
        <v>249</v>
      </c>
      <c r="G30" s="155">
        <f t="shared" si="1"/>
        <v>38</v>
      </c>
      <c r="H30" s="156">
        <f t="shared" si="0"/>
        <v>0.91110656599445661</v>
      </c>
      <c r="I30" s="167" t="s">
        <v>264</v>
      </c>
      <c r="J30" s="171">
        <v>4.9000000000000004</v>
      </c>
      <c r="K30" s="171">
        <v>8.7899999999999991</v>
      </c>
      <c r="L30" s="171">
        <v>18.399999999999999</v>
      </c>
    </row>
    <row r="31" spans="1:12" x14ac:dyDescent="0.25">
      <c r="A31" s="32">
        <v>41</v>
      </c>
      <c r="B31" s="32">
        <v>45</v>
      </c>
      <c r="C31" s="32"/>
      <c r="D31" s="32">
        <v>204.38</v>
      </c>
      <c r="E31" s="32">
        <v>16.53</v>
      </c>
      <c r="F31" s="156" t="s">
        <v>250</v>
      </c>
      <c r="G31" s="155">
        <f t="shared" si="1"/>
        <v>43</v>
      </c>
      <c r="H31" s="156">
        <f t="shared" si="0"/>
        <v>0.90956443971253653</v>
      </c>
      <c r="I31" s="168" t="s">
        <v>261</v>
      </c>
      <c r="J31" s="171">
        <v>4.5</v>
      </c>
      <c r="K31" s="171">
        <v>8.08</v>
      </c>
      <c r="L31" s="171">
        <v>18.7</v>
      </c>
    </row>
    <row r="32" spans="1:12" x14ac:dyDescent="0.25">
      <c r="A32" s="32">
        <v>45</v>
      </c>
      <c r="B32" s="32">
        <v>50</v>
      </c>
      <c r="C32" s="32"/>
      <c r="D32" s="32">
        <v>265.16000000000003</v>
      </c>
      <c r="E32" s="32">
        <v>22.8</v>
      </c>
      <c r="F32" s="159" t="s">
        <v>251</v>
      </c>
      <c r="G32" s="155">
        <f t="shared" si="1"/>
        <v>47.5</v>
      </c>
      <c r="H32" s="156">
        <f t="shared" si="0"/>
        <v>0.91464664135996043</v>
      </c>
      <c r="I32" s="167" t="s">
        <v>265</v>
      </c>
      <c r="J32" s="171">
        <v>4.7</v>
      </c>
      <c r="K32" s="171">
        <v>8.5</v>
      </c>
      <c r="L32" s="171">
        <v>18.5</v>
      </c>
    </row>
    <row r="33" spans="1:12" x14ac:dyDescent="0.25">
      <c r="A33" s="32">
        <v>50</v>
      </c>
      <c r="B33" s="32">
        <v>55</v>
      </c>
      <c r="C33" s="32"/>
      <c r="D33" s="32">
        <v>295.04000000000002</v>
      </c>
      <c r="E33" s="32">
        <v>26.26</v>
      </c>
      <c r="F33" s="156" t="s">
        <v>252</v>
      </c>
      <c r="G33" s="155">
        <f t="shared" si="1"/>
        <v>52.5</v>
      </c>
      <c r="H33" s="156">
        <f t="shared" si="0"/>
        <v>0.91767780340799165</v>
      </c>
      <c r="I33" s="167" t="s">
        <v>265</v>
      </c>
      <c r="J33" s="171">
        <v>5.3</v>
      </c>
      <c r="K33" s="171">
        <v>9.5299999999999994</v>
      </c>
      <c r="L33" s="171">
        <v>18.399999999999999</v>
      </c>
    </row>
    <row r="34" spans="1:12" x14ac:dyDescent="0.25">
      <c r="A34" s="32">
        <v>55</v>
      </c>
      <c r="B34" s="32">
        <v>60</v>
      </c>
      <c r="C34" s="32"/>
      <c r="D34" s="32">
        <v>287.91000000000003</v>
      </c>
      <c r="E34" s="32">
        <v>25.62</v>
      </c>
      <c r="F34" s="159" t="s">
        <v>253</v>
      </c>
      <c r="G34" s="155">
        <f t="shared" si="1"/>
        <v>57.5</v>
      </c>
      <c r="H34" s="156">
        <f t="shared" si="0"/>
        <v>0.91765892714171338</v>
      </c>
      <c r="I34" s="167" t="s">
        <v>265</v>
      </c>
      <c r="J34" s="171">
        <v>5</v>
      </c>
      <c r="K34" s="171">
        <v>9.06</v>
      </c>
      <c r="L34" s="171">
        <v>18.3</v>
      </c>
    </row>
    <row r="35" spans="1:12" x14ac:dyDescent="0.25">
      <c r="A35" s="32">
        <v>60</v>
      </c>
      <c r="B35" s="32">
        <v>65</v>
      </c>
      <c r="C35" s="32"/>
      <c r="D35" s="32">
        <v>277.08</v>
      </c>
      <c r="E35" s="32">
        <v>24.82</v>
      </c>
      <c r="F35" s="156" t="s">
        <v>254</v>
      </c>
      <c r="G35" s="155">
        <f t="shared" si="1"/>
        <v>62.5</v>
      </c>
      <c r="H35" s="156">
        <f t="shared" si="0"/>
        <v>0.91825449932609204</v>
      </c>
      <c r="I35" s="167" t="s">
        <v>265</v>
      </c>
      <c r="J35" s="171">
        <v>4.9000000000000004</v>
      </c>
      <c r="K35" s="171">
        <v>8.76</v>
      </c>
      <c r="L35" s="171">
        <v>18.600000000000001</v>
      </c>
    </row>
    <row r="36" spans="1:12" x14ac:dyDescent="0.25">
      <c r="A36" s="32">
        <v>65</v>
      </c>
      <c r="B36" s="32">
        <v>70</v>
      </c>
      <c r="C36" s="32"/>
      <c r="D36" s="32">
        <v>281.25</v>
      </c>
      <c r="E36" s="32">
        <v>25.43</v>
      </c>
      <c r="F36" s="159" t="s">
        <v>255</v>
      </c>
      <c r="G36" s="155">
        <f t="shared" si="1"/>
        <v>67.5</v>
      </c>
      <c r="H36" s="156">
        <f t="shared" si="0"/>
        <v>0.91910327574075523</v>
      </c>
      <c r="I36" s="167" t="s">
        <v>265</v>
      </c>
      <c r="J36" s="171">
        <v>5.0999999999999996</v>
      </c>
      <c r="K36" s="171">
        <v>9.14</v>
      </c>
      <c r="L36" s="171">
        <v>18.3</v>
      </c>
    </row>
    <row r="37" spans="1:12" x14ac:dyDescent="0.25">
      <c r="A37" s="32">
        <v>70</v>
      </c>
      <c r="B37" s="32">
        <v>75</v>
      </c>
      <c r="C37" s="32"/>
      <c r="D37" s="32">
        <v>276.91000000000003</v>
      </c>
      <c r="E37" s="32">
        <v>24.54</v>
      </c>
      <c r="F37" s="156" t="s">
        <v>256</v>
      </c>
      <c r="G37" s="155">
        <f t="shared" si="1"/>
        <v>72.5</v>
      </c>
      <c r="H37" s="156">
        <f t="shared" si="0"/>
        <v>0.91729112018068704</v>
      </c>
      <c r="I37" s="167" t="s">
        <v>265</v>
      </c>
      <c r="J37" s="171">
        <v>4.2</v>
      </c>
      <c r="K37" s="171">
        <v>7.59</v>
      </c>
      <c r="L37" s="171">
        <v>18.3</v>
      </c>
    </row>
    <row r="38" spans="1:12" x14ac:dyDescent="0.25">
      <c r="A38" s="32">
        <v>75</v>
      </c>
      <c r="B38" s="32">
        <v>80</v>
      </c>
      <c r="C38" s="32"/>
      <c r="D38" s="32">
        <v>277.66000000000003</v>
      </c>
      <c r="E38" s="32">
        <v>24.9</v>
      </c>
      <c r="F38" s="159" t="s">
        <v>257</v>
      </c>
      <c r="G38" s="155">
        <f t="shared" si="1"/>
        <v>77.5</v>
      </c>
      <c r="H38" s="156">
        <f t="shared" si="0"/>
        <v>0.91835638550403542</v>
      </c>
      <c r="I38" s="167" t="s">
        <v>265</v>
      </c>
      <c r="J38" s="171">
        <v>4.5999999999999996</v>
      </c>
      <c r="K38" s="171">
        <v>8.27</v>
      </c>
      <c r="L38" s="171">
        <v>18.3</v>
      </c>
    </row>
    <row r="39" spans="1:12" x14ac:dyDescent="0.25">
      <c r="A39" s="32">
        <v>80</v>
      </c>
      <c r="B39" s="32">
        <v>85</v>
      </c>
      <c r="C39" s="32"/>
      <c r="D39" s="32">
        <v>278.83</v>
      </c>
      <c r="E39" s="32">
        <v>24.24</v>
      </c>
      <c r="F39" s="156" t="s">
        <v>258</v>
      </c>
      <c r="G39" s="155">
        <f t="shared" si="1"/>
        <v>82.5</v>
      </c>
      <c r="H39" s="156">
        <f t="shared" si="0"/>
        <v>0.91559715621194859</v>
      </c>
      <c r="I39" s="167" t="s">
        <v>265</v>
      </c>
      <c r="J39" s="171">
        <v>4</v>
      </c>
      <c r="K39" s="171">
        <v>7.28</v>
      </c>
      <c r="L39" s="171">
        <v>18.600000000000001</v>
      </c>
    </row>
    <row r="40" spans="1:12" x14ac:dyDescent="0.25">
      <c r="A40" s="160">
        <v>85</v>
      </c>
      <c r="B40" s="160">
        <v>90</v>
      </c>
      <c r="C40" s="160"/>
      <c r="D40" s="160">
        <v>278.20999999999998</v>
      </c>
      <c r="E40" s="160">
        <v>24.89</v>
      </c>
      <c r="F40" s="161" t="s">
        <v>259</v>
      </c>
      <c r="G40" s="162">
        <f t="shared" si="1"/>
        <v>87.5</v>
      </c>
      <c r="H40" s="163">
        <f t="shared" si="0"/>
        <v>0.91814132322753828</v>
      </c>
      <c r="I40" s="172" t="s">
        <v>265</v>
      </c>
      <c r="J40" s="171">
        <v>4.3</v>
      </c>
      <c r="K40" s="171">
        <v>7.86</v>
      </c>
      <c r="L40" s="171">
        <v>18.600000000000001</v>
      </c>
    </row>
    <row r="41" spans="1:12" x14ac:dyDescent="0.25">
      <c r="A41" s="164">
        <v>90</v>
      </c>
      <c r="B41" s="164">
        <v>94</v>
      </c>
      <c r="C41" s="164"/>
      <c r="D41" s="164">
        <v>186.65</v>
      </c>
      <c r="E41" s="164">
        <v>16.57</v>
      </c>
      <c r="F41" s="165" t="s">
        <v>260</v>
      </c>
      <c r="G41" s="166">
        <f t="shared" si="1"/>
        <v>92</v>
      </c>
      <c r="H41" s="165">
        <f t="shared" si="0"/>
        <v>0.9174470837253057</v>
      </c>
      <c r="I41" s="167" t="s">
        <v>265</v>
      </c>
      <c r="J41" s="164">
        <v>4.0999999999999996</v>
      </c>
      <c r="K41" s="164">
        <v>7.48</v>
      </c>
      <c r="L41" s="164">
        <v>18.399999999999999</v>
      </c>
    </row>
    <row r="42" spans="1:12" x14ac:dyDescent="0.25">
      <c r="A42" s="164">
        <v>94</v>
      </c>
      <c r="B42" s="164">
        <v>100</v>
      </c>
      <c r="C42" s="164"/>
      <c r="D42" s="164">
        <v>331.13</v>
      </c>
      <c r="E42" s="164">
        <v>29.39</v>
      </c>
      <c r="F42" s="164" t="s">
        <v>269</v>
      </c>
      <c r="G42" s="164">
        <f t="shared" si="1"/>
        <v>97</v>
      </c>
      <c r="H42" s="164">
        <f t="shared" si="0"/>
        <v>0.91742785179293429</v>
      </c>
      <c r="I42" s="167" t="s">
        <v>268</v>
      </c>
      <c r="J42" s="164">
        <v>4.4000000000000004</v>
      </c>
      <c r="K42" s="164">
        <v>7.9</v>
      </c>
      <c r="L42" s="164">
        <v>17.899999999999999</v>
      </c>
    </row>
    <row r="43" spans="1:12" x14ac:dyDescent="0.25">
      <c r="A43" s="164">
        <v>100</v>
      </c>
      <c r="B43" s="164">
        <v>105</v>
      </c>
      <c r="C43" s="164"/>
      <c r="D43" s="164">
        <v>280.01</v>
      </c>
      <c r="E43" s="164">
        <v>24.78</v>
      </c>
      <c r="F43" s="164" t="s">
        <v>270</v>
      </c>
      <c r="G43" s="164">
        <f t="shared" si="1"/>
        <v>102.5</v>
      </c>
      <c r="H43" s="164">
        <f t="shared" si="0"/>
        <v>0.91716632057360026</v>
      </c>
      <c r="I43" s="167" t="s">
        <v>268</v>
      </c>
      <c r="J43" s="164">
        <v>4.5999999999999996</v>
      </c>
      <c r="K43" s="164">
        <v>8.2799999999999994</v>
      </c>
      <c r="L43" s="164">
        <v>18</v>
      </c>
    </row>
    <row r="44" spans="1:12" x14ac:dyDescent="0.25">
      <c r="A44" s="164">
        <v>105</v>
      </c>
      <c r="B44" s="164">
        <v>110</v>
      </c>
      <c r="C44" s="164"/>
      <c r="D44" s="164">
        <v>272.52</v>
      </c>
      <c r="E44" s="164">
        <v>23.41</v>
      </c>
      <c r="F44" s="164" t="s">
        <v>271</v>
      </c>
      <c r="G44" s="164">
        <f t="shared" si="1"/>
        <v>107.5</v>
      </c>
      <c r="H44" s="164">
        <f t="shared" si="0"/>
        <v>0.91456272329492982</v>
      </c>
      <c r="I44" s="167" t="s">
        <v>268</v>
      </c>
      <c r="J44" s="164">
        <v>3.9</v>
      </c>
      <c r="K44" s="164">
        <v>7.1</v>
      </c>
      <c r="L44" s="164">
        <v>18</v>
      </c>
    </row>
    <row r="45" spans="1:12" x14ac:dyDescent="0.25">
      <c r="A45" s="164">
        <v>110</v>
      </c>
      <c r="B45" s="164">
        <v>115</v>
      </c>
      <c r="C45" s="164"/>
      <c r="D45" s="164">
        <v>252.54</v>
      </c>
      <c r="E45" s="164">
        <v>22.33</v>
      </c>
      <c r="F45" s="164" t="s">
        <v>272</v>
      </c>
      <c r="G45" s="164">
        <f t="shared" si="1"/>
        <v>112.5</v>
      </c>
      <c r="H45" s="164">
        <f t="shared" si="0"/>
        <v>0.91709065635723908</v>
      </c>
      <c r="I45" s="167" t="s">
        <v>268</v>
      </c>
      <c r="J45" s="164">
        <v>5.3</v>
      </c>
      <c r="K45" s="164">
        <v>9.5399999999999991</v>
      </c>
      <c r="L45" s="164">
        <v>18</v>
      </c>
    </row>
    <row r="46" spans="1:12" x14ac:dyDescent="0.25">
      <c r="A46" s="164">
        <v>115</v>
      </c>
      <c r="B46" s="164">
        <v>120</v>
      </c>
      <c r="C46" s="164"/>
      <c r="D46" s="164">
        <v>289.79000000000002</v>
      </c>
      <c r="E46" s="164">
        <v>24.35</v>
      </c>
      <c r="F46" s="164" t="s">
        <v>273</v>
      </c>
      <c r="G46" s="164">
        <f t="shared" si="1"/>
        <v>117.5</v>
      </c>
      <c r="H46" s="164">
        <f t="shared" si="0"/>
        <v>0.91269002411091027</v>
      </c>
      <c r="I46" s="167" t="s">
        <v>280</v>
      </c>
      <c r="J46" s="164">
        <v>5.0999999999999996</v>
      </c>
      <c r="K46" s="164">
        <v>9.15</v>
      </c>
      <c r="L46" s="164">
        <v>17.899999999999999</v>
      </c>
    </row>
    <row r="47" spans="1:12" x14ac:dyDescent="0.25">
      <c r="A47" s="164">
        <v>120</v>
      </c>
      <c r="B47" s="164">
        <v>125</v>
      </c>
      <c r="C47" s="164"/>
      <c r="D47" s="164">
        <v>250.55</v>
      </c>
      <c r="E47" s="164">
        <v>22.16</v>
      </c>
      <c r="F47" s="164" t="s">
        <v>274</v>
      </c>
      <c r="G47" s="164">
        <f t="shared" si="1"/>
        <v>122.5</v>
      </c>
      <c r="H47" s="164">
        <f t="shared" si="0"/>
        <v>0.91711458470160689</v>
      </c>
      <c r="I47" s="167" t="s">
        <v>281</v>
      </c>
      <c r="J47" s="164">
        <v>4.4000000000000004</v>
      </c>
      <c r="K47" s="164">
        <v>7.98</v>
      </c>
      <c r="L47" s="164">
        <v>17.899999999999999</v>
      </c>
    </row>
    <row r="48" spans="1:12" x14ac:dyDescent="0.25">
      <c r="A48" s="164">
        <v>125</v>
      </c>
      <c r="B48" s="164">
        <v>130</v>
      </c>
      <c r="C48" s="164"/>
      <c r="D48" s="164">
        <v>283.19</v>
      </c>
      <c r="E48" s="164">
        <v>25.32</v>
      </c>
      <c r="F48" s="164" t="s">
        <v>275</v>
      </c>
      <c r="G48" s="164">
        <f t="shared" si="1"/>
        <v>127.5</v>
      </c>
      <c r="H48" s="164">
        <f t="shared" si="0"/>
        <v>0.91808601233179499</v>
      </c>
      <c r="I48" s="167" t="s">
        <v>268</v>
      </c>
      <c r="J48" s="164">
        <v>3.7</v>
      </c>
      <c r="K48" s="164">
        <v>6.72</v>
      </c>
      <c r="L48" s="164">
        <v>17.899999999999999</v>
      </c>
    </row>
    <row r="49" spans="1:12" x14ac:dyDescent="0.25">
      <c r="A49" s="164">
        <v>130</v>
      </c>
      <c r="B49" s="164">
        <v>135</v>
      </c>
      <c r="C49" s="164"/>
      <c r="D49" s="164">
        <v>271.68</v>
      </c>
      <c r="E49" s="164">
        <v>23.6</v>
      </c>
      <c r="F49" s="164" t="s">
        <v>276</v>
      </c>
      <c r="G49" s="164">
        <f t="shared" si="1"/>
        <v>132.5</v>
      </c>
      <c r="H49" s="164">
        <f t="shared" si="0"/>
        <v>0.9155291841341503</v>
      </c>
      <c r="I49" s="167" t="s">
        <v>268</v>
      </c>
      <c r="J49" s="164">
        <v>3.8</v>
      </c>
      <c r="K49" s="164">
        <v>6.98</v>
      </c>
      <c r="L49" s="164">
        <v>17.899999999999999</v>
      </c>
    </row>
    <row r="50" spans="1:12" x14ac:dyDescent="0.25">
      <c r="A50" s="164">
        <v>135</v>
      </c>
      <c r="B50" s="164">
        <v>140</v>
      </c>
      <c r="C50" s="164"/>
      <c r="D50" s="164">
        <v>280.25</v>
      </c>
      <c r="E50" s="164">
        <v>24.62</v>
      </c>
      <c r="F50" s="164" t="s">
        <v>277</v>
      </c>
      <c r="G50" s="164">
        <f t="shared" si="1"/>
        <v>137.5</v>
      </c>
      <c r="H50" s="164">
        <f t="shared" si="0"/>
        <v>0.91651605836560646</v>
      </c>
      <c r="I50" s="167" t="s">
        <v>268</v>
      </c>
      <c r="J50" s="164">
        <v>3.6</v>
      </c>
      <c r="K50" s="164">
        <v>6.62</v>
      </c>
      <c r="L50" s="164">
        <v>17.899999999999999</v>
      </c>
    </row>
    <row r="51" spans="1:12" x14ac:dyDescent="0.25">
      <c r="A51" s="164">
        <v>140</v>
      </c>
      <c r="B51" s="164">
        <v>145</v>
      </c>
      <c r="C51" s="164"/>
      <c r="D51" s="164">
        <v>264.61</v>
      </c>
      <c r="E51" s="164">
        <v>22.83</v>
      </c>
      <c r="F51" s="164" t="s">
        <v>278</v>
      </c>
      <c r="G51" s="164">
        <f t="shared" si="1"/>
        <v>142.5</v>
      </c>
      <c r="H51" s="164">
        <f t="shared" si="0"/>
        <v>0.91493903548680611</v>
      </c>
      <c r="I51" s="167" t="s">
        <v>268</v>
      </c>
      <c r="J51" s="164">
        <v>3.4</v>
      </c>
      <c r="K51" s="164">
        <v>6.2</v>
      </c>
      <c r="L51" s="164">
        <v>17.8</v>
      </c>
    </row>
    <row r="52" spans="1:12" x14ac:dyDescent="0.25">
      <c r="A52" s="164">
        <v>145</v>
      </c>
      <c r="B52" s="164">
        <v>149</v>
      </c>
      <c r="C52" s="164"/>
      <c r="D52" s="164">
        <v>189.73</v>
      </c>
      <c r="E52" s="164">
        <v>15.67</v>
      </c>
      <c r="F52" s="164" t="s">
        <v>279</v>
      </c>
      <c r="G52" s="164">
        <f t="shared" si="1"/>
        <v>147</v>
      </c>
      <c r="H52" s="164">
        <f t="shared" si="0"/>
        <v>0.91126209353096621</v>
      </c>
      <c r="I52" s="167" t="s">
        <v>282</v>
      </c>
      <c r="J52" s="164">
        <v>4.0999999999999996</v>
      </c>
      <c r="K52" s="164">
        <v>7.46</v>
      </c>
      <c r="L52" s="164">
        <v>17.899999999999999</v>
      </c>
    </row>
  </sheetData>
  <mergeCells count="7">
    <mergeCell ref="A1:C1"/>
    <mergeCell ref="B7:D7"/>
    <mergeCell ref="B2:C2"/>
    <mergeCell ref="B3:C3"/>
    <mergeCell ref="B4:C4"/>
    <mergeCell ref="B5:C5"/>
    <mergeCell ref="B6:C6"/>
  </mergeCells>
  <phoneticPr fontId="13" type="noConversion"/>
  <pageMargins left="0.7" right="0.7" top="0.75" bottom="0.75" header="0.3" footer="0.3"/>
  <pageSetup paperSize="9" scale="66" fitToHeight="0" orientation="landscape"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H24" sqref="H24"/>
    </sheetView>
  </sheetViews>
  <sheetFormatPr defaultColWidth="9.140625" defaultRowHeight="15" x14ac:dyDescent="0.25"/>
  <cols>
    <col min="1" max="1" width="23.7109375" style="39" bestFit="1" customWidth="1"/>
    <col min="2" max="2" width="16.7109375" style="39" bestFit="1" customWidth="1"/>
    <col min="3" max="3" width="20.42578125" style="39" bestFit="1" customWidth="1"/>
    <col min="4" max="4" width="27" style="39" bestFit="1" customWidth="1"/>
    <col min="5" max="5" width="18.7109375" style="39" customWidth="1"/>
    <col min="6" max="6" width="20.28515625" style="39" bestFit="1" customWidth="1"/>
    <col min="7" max="7" width="18.7109375" style="39" customWidth="1"/>
    <col min="8" max="8" width="36.7109375" style="39" customWidth="1"/>
    <col min="9" max="16384" width="9.140625" style="39"/>
  </cols>
  <sheetData>
    <row r="1" spans="1:9" ht="34.5" thickBot="1" x14ac:dyDescent="0.55000000000000004">
      <c r="A1" s="208" t="s">
        <v>206</v>
      </c>
      <c r="B1" s="208"/>
      <c r="C1" s="208"/>
      <c r="D1" s="208"/>
    </row>
    <row r="2" spans="1:9" x14ac:dyDescent="0.25">
      <c r="A2" s="23" t="s">
        <v>16</v>
      </c>
      <c r="B2" s="209" t="str">
        <f>CONCATENATE(ExpID,"-",StnNum,"-",StnDay)</f>
        <v>AO2023-I-2-1</v>
      </c>
      <c r="C2" s="209"/>
      <c r="D2" s="63"/>
    </row>
    <row r="3" spans="1:9" x14ac:dyDescent="0.25">
      <c r="A3" s="24" t="s">
        <v>130</v>
      </c>
      <c r="B3" s="201" t="s">
        <v>190</v>
      </c>
      <c r="C3" s="201"/>
      <c r="D3" s="67"/>
    </row>
    <row r="4" spans="1:9" x14ac:dyDescent="0.25">
      <c r="A4" s="24" t="s">
        <v>4</v>
      </c>
      <c r="B4" s="202" t="str">
        <f>ObsDate</f>
        <v>09.06.23</v>
      </c>
      <c r="C4" s="202"/>
      <c r="D4" s="67"/>
    </row>
    <row r="5" spans="1:9" x14ac:dyDescent="0.25">
      <c r="A5" s="25" t="s">
        <v>105</v>
      </c>
      <c r="B5" s="203"/>
      <c r="C5" s="203"/>
      <c r="D5" s="67"/>
    </row>
    <row r="6" spans="1:9" x14ac:dyDescent="0.25">
      <c r="A6" s="25" t="s">
        <v>119</v>
      </c>
      <c r="B6" s="210" t="s">
        <v>172</v>
      </c>
      <c r="C6" s="211"/>
      <c r="D6" s="67"/>
    </row>
    <row r="7" spans="1:9" x14ac:dyDescent="0.25">
      <c r="A7" s="212" t="s">
        <v>159</v>
      </c>
      <c r="B7" s="213"/>
      <c r="C7" s="31" t="s">
        <v>157</v>
      </c>
      <c r="D7" s="67"/>
      <c r="E7" s="72"/>
      <c r="F7" s="64"/>
      <c r="G7" s="64"/>
      <c r="H7" s="66"/>
      <c r="I7" s="65"/>
    </row>
    <row r="8" spans="1:9" ht="30" customHeight="1" thickBot="1" x14ac:dyDescent="0.3">
      <c r="A8" s="26" t="s">
        <v>15</v>
      </c>
      <c r="B8" s="205" t="s">
        <v>191</v>
      </c>
      <c r="C8" s="206"/>
      <c r="D8" s="207"/>
    </row>
    <row r="10" spans="1:9" ht="15.75" thickBot="1" x14ac:dyDescent="0.3">
      <c r="A10" s="41" t="s">
        <v>76</v>
      </c>
      <c r="D10" s="41" t="s">
        <v>107</v>
      </c>
    </row>
    <row r="11" spans="1:9" x14ac:dyDescent="0.25">
      <c r="A11" s="15" t="s">
        <v>120</v>
      </c>
      <c r="B11" s="77"/>
      <c r="D11" s="15" t="s">
        <v>133</v>
      </c>
      <c r="E11" s="80"/>
    </row>
    <row r="12" spans="1:9" x14ac:dyDescent="0.25">
      <c r="A12" s="16" t="s">
        <v>121</v>
      </c>
      <c r="B12" s="78"/>
      <c r="D12" s="16" t="s">
        <v>134</v>
      </c>
      <c r="E12" s="81">
        <v>148</v>
      </c>
    </row>
    <row r="13" spans="1:9" x14ac:dyDescent="0.25">
      <c r="A13" s="16" t="s">
        <v>122</v>
      </c>
      <c r="B13" s="78"/>
      <c r="D13" s="16" t="s">
        <v>135</v>
      </c>
      <c r="E13" s="81">
        <v>143</v>
      </c>
    </row>
    <row r="14" spans="1:9" ht="15.75" thickBot="1" x14ac:dyDescent="0.3">
      <c r="A14" s="18" t="s">
        <v>123</v>
      </c>
      <c r="B14" s="79"/>
      <c r="D14" s="16" t="s">
        <v>131</v>
      </c>
      <c r="E14" s="81">
        <v>5</v>
      </c>
    </row>
    <row r="15" spans="1:9" x14ac:dyDescent="0.25">
      <c r="D15" s="16" t="s">
        <v>132</v>
      </c>
      <c r="E15" s="81"/>
    </row>
    <row r="16" spans="1:9" ht="15.75" thickBot="1" x14ac:dyDescent="0.3">
      <c r="D16" s="18" t="s">
        <v>144</v>
      </c>
      <c r="E16" s="82">
        <v>30.5</v>
      </c>
    </row>
    <row r="17" spans="1:6" ht="15.75" thickBot="1" x14ac:dyDescent="0.3"/>
    <row r="18" spans="1:6" x14ac:dyDescent="0.25">
      <c r="A18" s="15" t="s">
        <v>161</v>
      </c>
      <c r="B18" s="83"/>
      <c r="C18" s="73"/>
      <c r="D18" s="74"/>
    </row>
    <row r="19" spans="1:6" x14ac:dyDescent="0.25">
      <c r="A19" s="16" t="s">
        <v>125</v>
      </c>
      <c r="B19" s="84"/>
      <c r="C19" s="49"/>
      <c r="D19" s="75"/>
    </row>
    <row r="20" spans="1:6" ht="15.75" thickBot="1" x14ac:dyDescent="0.3">
      <c r="A20" s="18" t="s">
        <v>124</v>
      </c>
      <c r="B20" s="76"/>
      <c r="C20" s="76"/>
      <c r="D20" s="27">
        <f>SUM(G23:G52)</f>
        <v>0</v>
      </c>
    </row>
    <row r="21" spans="1:6" ht="15.75" thickBot="1" x14ac:dyDescent="0.3"/>
    <row r="22" spans="1:6" ht="15.75" thickBot="1" x14ac:dyDescent="0.3">
      <c r="A22" s="28" t="s">
        <v>116</v>
      </c>
      <c r="B22" s="30" t="s">
        <v>136</v>
      </c>
      <c r="C22" s="30" t="s">
        <v>137</v>
      </c>
      <c r="D22" s="30" t="s">
        <v>138</v>
      </c>
      <c r="E22" s="215" t="s">
        <v>13</v>
      </c>
      <c r="F22" s="216"/>
    </row>
    <row r="23" spans="1:6" x14ac:dyDescent="0.25">
      <c r="A23" s="87">
        <v>1</v>
      </c>
      <c r="B23" s="88"/>
      <c r="C23" s="88"/>
      <c r="D23" s="88">
        <v>102</v>
      </c>
      <c r="E23" s="217" t="s">
        <v>198</v>
      </c>
      <c r="F23" s="217"/>
    </row>
    <row r="24" spans="1:6" x14ac:dyDescent="0.25">
      <c r="A24" s="89">
        <v>2</v>
      </c>
      <c r="B24" s="90"/>
      <c r="C24" s="90"/>
      <c r="D24" s="90">
        <v>49.5</v>
      </c>
      <c r="E24" s="214" t="s">
        <v>201</v>
      </c>
      <c r="F24" s="214"/>
    </row>
    <row r="25" spans="1:6" x14ac:dyDescent="0.25">
      <c r="A25" s="89"/>
      <c r="B25" s="90"/>
      <c r="C25" s="90"/>
      <c r="D25" s="90"/>
      <c r="E25" s="214"/>
      <c r="F25" s="214"/>
    </row>
    <row r="26" spans="1:6" x14ac:dyDescent="0.25">
      <c r="A26" s="89"/>
      <c r="B26" s="90"/>
      <c r="C26" s="90"/>
      <c r="D26" s="90"/>
      <c r="E26" s="214"/>
      <c r="F26" s="214"/>
    </row>
    <row r="27" spans="1:6" x14ac:dyDescent="0.25">
      <c r="A27" s="89"/>
      <c r="B27" s="90"/>
      <c r="C27" s="90"/>
      <c r="D27" s="90"/>
      <c r="E27" s="214"/>
      <c r="F27" s="214"/>
    </row>
    <row r="28" spans="1:6" x14ac:dyDescent="0.25">
      <c r="A28" s="89"/>
      <c r="B28" s="90"/>
      <c r="C28" s="90"/>
      <c r="D28" s="90"/>
      <c r="E28" s="214"/>
      <c r="F28" s="214"/>
    </row>
    <row r="29" spans="1:6" x14ac:dyDescent="0.25">
      <c r="A29" s="89"/>
      <c r="B29" s="90"/>
      <c r="C29" s="90"/>
      <c r="D29" s="90"/>
      <c r="E29" s="214"/>
      <c r="F29" s="214"/>
    </row>
    <row r="30" spans="1:6" x14ac:dyDescent="0.25">
      <c r="A30" s="89"/>
      <c r="B30" s="90"/>
      <c r="C30" s="90"/>
      <c r="D30" s="90"/>
      <c r="E30" s="214"/>
      <c r="F30" s="214"/>
    </row>
    <row r="31" spans="1:6" x14ac:dyDescent="0.25">
      <c r="A31" s="89"/>
      <c r="B31" s="90"/>
      <c r="C31" s="90"/>
      <c r="D31" s="90"/>
      <c r="E31" s="214"/>
      <c r="F31" s="214"/>
    </row>
    <row r="32" spans="1:6" x14ac:dyDescent="0.25">
      <c r="A32" s="89"/>
      <c r="B32" s="90"/>
      <c r="C32" s="90"/>
      <c r="D32" s="90"/>
      <c r="E32" s="214"/>
      <c r="F32" s="214"/>
    </row>
    <row r="33" spans="1:6" x14ac:dyDescent="0.25">
      <c r="A33" s="89"/>
      <c r="B33" s="90"/>
      <c r="C33" s="90"/>
      <c r="D33" s="90"/>
      <c r="E33" s="214"/>
      <c r="F33" s="214"/>
    </row>
    <row r="34" spans="1:6" x14ac:dyDescent="0.25">
      <c r="A34" s="89"/>
      <c r="B34" s="90"/>
      <c r="C34" s="90"/>
      <c r="D34" s="90"/>
      <c r="E34" s="214"/>
      <c r="F34" s="214"/>
    </row>
    <row r="35" spans="1:6" x14ac:dyDescent="0.25">
      <c r="A35" s="89"/>
      <c r="B35" s="90"/>
      <c r="C35" s="90"/>
      <c r="D35" s="90"/>
      <c r="E35" s="214"/>
      <c r="F35" s="214"/>
    </row>
    <row r="36" spans="1:6" x14ac:dyDescent="0.25">
      <c r="A36" s="89"/>
      <c r="B36" s="90"/>
      <c r="C36" s="90"/>
      <c r="D36" s="90"/>
      <c r="E36" s="214"/>
      <c r="F36" s="214"/>
    </row>
    <row r="37" spans="1:6" x14ac:dyDescent="0.25">
      <c r="A37" s="89"/>
      <c r="B37" s="90"/>
      <c r="C37" s="90"/>
      <c r="D37" s="90"/>
      <c r="E37" s="214"/>
      <c r="F37" s="214"/>
    </row>
    <row r="38" spans="1:6" x14ac:dyDescent="0.25">
      <c r="A38" s="89"/>
      <c r="B38" s="90"/>
      <c r="C38" s="90"/>
      <c r="D38" s="90"/>
      <c r="E38" s="214"/>
      <c r="F38" s="214"/>
    </row>
    <row r="39" spans="1:6" x14ac:dyDescent="0.25">
      <c r="A39" s="89"/>
      <c r="B39" s="90"/>
      <c r="C39" s="90"/>
      <c r="D39" s="90"/>
      <c r="E39" s="214"/>
      <c r="F39" s="214"/>
    </row>
    <row r="40" spans="1:6" x14ac:dyDescent="0.25">
      <c r="A40" s="89"/>
      <c r="B40" s="90"/>
      <c r="C40" s="90"/>
      <c r="D40" s="90"/>
      <c r="E40" s="214"/>
      <c r="F40" s="214"/>
    </row>
    <row r="41" spans="1:6" x14ac:dyDescent="0.25">
      <c r="A41" s="89"/>
      <c r="B41" s="90"/>
      <c r="C41" s="90"/>
      <c r="D41" s="90"/>
      <c r="E41" s="214"/>
      <c r="F41" s="214"/>
    </row>
    <row r="42" spans="1:6" x14ac:dyDescent="0.25">
      <c r="A42" s="89"/>
      <c r="B42" s="90"/>
      <c r="C42" s="90"/>
      <c r="D42" s="90"/>
      <c r="E42" s="214"/>
      <c r="F42" s="214"/>
    </row>
    <row r="43" spans="1:6" x14ac:dyDescent="0.25">
      <c r="A43" s="89"/>
      <c r="B43" s="90"/>
      <c r="C43" s="90"/>
      <c r="D43" s="90"/>
      <c r="E43" s="214"/>
      <c r="F43" s="214"/>
    </row>
    <row r="44" spans="1:6" x14ac:dyDescent="0.25">
      <c r="A44" s="89"/>
      <c r="B44" s="90"/>
      <c r="C44" s="90"/>
      <c r="D44" s="90"/>
      <c r="E44" s="214"/>
      <c r="F44" s="214"/>
    </row>
    <row r="45" spans="1:6" x14ac:dyDescent="0.25">
      <c r="A45" s="89"/>
      <c r="B45" s="90"/>
      <c r="C45" s="90"/>
      <c r="D45" s="90"/>
      <c r="E45" s="214"/>
      <c r="F45" s="214"/>
    </row>
    <row r="46" spans="1:6" x14ac:dyDescent="0.25">
      <c r="A46" s="89"/>
      <c r="B46" s="90"/>
      <c r="C46" s="90"/>
      <c r="D46" s="90"/>
      <c r="E46" s="214"/>
      <c r="F46" s="214"/>
    </row>
    <row r="47" spans="1:6" x14ac:dyDescent="0.25">
      <c r="A47" s="89"/>
      <c r="B47" s="90"/>
      <c r="C47" s="90"/>
      <c r="D47" s="90"/>
      <c r="E47" s="214"/>
      <c r="F47" s="214"/>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BBBF-A8A1-4749-A9FB-EF32C6B9743B}">
  <sheetPr>
    <tabColor rgb="FF92D050"/>
    <pageSetUpPr fitToPage="1"/>
  </sheetPr>
  <dimension ref="A1:I47"/>
  <sheetViews>
    <sheetView zoomScale="80" zoomScaleNormal="80" workbookViewId="0">
      <selection activeCell="H19" sqref="H19"/>
    </sheetView>
  </sheetViews>
  <sheetFormatPr defaultColWidth="9.140625" defaultRowHeight="15" x14ac:dyDescent="0.25"/>
  <cols>
    <col min="1" max="1" width="23.7109375" style="39" bestFit="1" customWidth="1"/>
    <col min="2" max="2" width="16.7109375" style="39" bestFit="1" customWidth="1"/>
    <col min="3" max="3" width="20.42578125" style="39" bestFit="1" customWidth="1"/>
    <col min="4" max="4" width="27" style="39" bestFit="1" customWidth="1"/>
    <col min="5" max="5" width="18.7109375" style="39" customWidth="1"/>
    <col min="6" max="6" width="20.28515625" style="39" bestFit="1" customWidth="1"/>
    <col min="7" max="7" width="18.7109375" style="39" customWidth="1"/>
    <col min="8" max="8" width="36.7109375" style="39" customWidth="1"/>
    <col min="9" max="16384" width="9.140625" style="39"/>
  </cols>
  <sheetData>
    <row r="1" spans="1:9" ht="34.5" thickBot="1" x14ac:dyDescent="0.55000000000000004">
      <c r="A1" s="208" t="s">
        <v>205</v>
      </c>
      <c r="B1" s="208"/>
      <c r="C1" s="208"/>
      <c r="D1" s="208"/>
    </row>
    <row r="2" spans="1:9" x14ac:dyDescent="0.25">
      <c r="A2" s="23" t="s">
        <v>16</v>
      </c>
      <c r="B2" s="209" t="str">
        <f>CONCATENATE(ExpID,"-",StnNum,"-",StnDay)</f>
        <v>AO2023-I-2-1</v>
      </c>
      <c r="C2" s="209"/>
      <c r="D2" s="63"/>
    </row>
    <row r="3" spans="1:9" x14ac:dyDescent="0.25">
      <c r="A3" s="24" t="s">
        <v>130</v>
      </c>
      <c r="B3" s="201" t="s">
        <v>190</v>
      </c>
      <c r="C3" s="201"/>
      <c r="D3" s="67"/>
    </row>
    <row r="4" spans="1:9" x14ac:dyDescent="0.25">
      <c r="A4" s="24" t="s">
        <v>4</v>
      </c>
      <c r="B4" s="202" t="str">
        <f>ObsDate</f>
        <v>09.06.23</v>
      </c>
      <c r="C4" s="202"/>
      <c r="D4" s="67"/>
    </row>
    <row r="5" spans="1:9" x14ac:dyDescent="0.25">
      <c r="A5" s="25" t="s">
        <v>105</v>
      </c>
      <c r="B5" s="203"/>
      <c r="C5" s="203"/>
      <c r="D5" s="67"/>
    </row>
    <row r="6" spans="1:9" x14ac:dyDescent="0.25">
      <c r="A6" s="25" t="s">
        <v>119</v>
      </c>
      <c r="B6" s="210" t="s">
        <v>172</v>
      </c>
      <c r="C6" s="211"/>
      <c r="D6" s="67"/>
    </row>
    <row r="7" spans="1:9" x14ac:dyDescent="0.25">
      <c r="A7" s="212" t="s">
        <v>159</v>
      </c>
      <c r="B7" s="213"/>
      <c r="C7" s="31" t="s">
        <v>157</v>
      </c>
      <c r="D7" s="67"/>
      <c r="E7" s="72"/>
      <c r="F7" s="64"/>
      <c r="G7" s="64"/>
      <c r="H7" s="66"/>
      <c r="I7" s="65"/>
    </row>
    <row r="8" spans="1:9" ht="30" customHeight="1" thickBot="1" x14ac:dyDescent="0.3">
      <c r="A8" s="26" t="s">
        <v>15</v>
      </c>
      <c r="B8" s="205" t="s">
        <v>204</v>
      </c>
      <c r="C8" s="206"/>
      <c r="D8" s="207"/>
    </row>
    <row r="10" spans="1:9" ht="15.75" thickBot="1" x14ac:dyDescent="0.3">
      <c r="A10" s="41" t="s">
        <v>76</v>
      </c>
      <c r="D10" s="41" t="s">
        <v>107</v>
      </c>
    </row>
    <row r="11" spans="1:9" x14ac:dyDescent="0.25">
      <c r="A11" s="15" t="s">
        <v>120</v>
      </c>
      <c r="B11" s="77"/>
      <c r="D11" s="15" t="s">
        <v>133</v>
      </c>
      <c r="E11" s="80"/>
    </row>
    <row r="12" spans="1:9" x14ac:dyDescent="0.25">
      <c r="A12" s="16" t="s">
        <v>121</v>
      </c>
      <c r="B12" s="78"/>
      <c r="D12" s="16" t="s">
        <v>134</v>
      </c>
      <c r="E12" s="81">
        <v>147</v>
      </c>
    </row>
    <row r="13" spans="1:9" x14ac:dyDescent="0.25">
      <c r="A13" s="16" t="s">
        <v>122</v>
      </c>
      <c r="B13" s="78"/>
      <c r="D13" s="16" t="s">
        <v>135</v>
      </c>
      <c r="E13" s="81">
        <v>143</v>
      </c>
    </row>
    <row r="14" spans="1:9" ht="15.75" thickBot="1" x14ac:dyDescent="0.3">
      <c r="A14" s="18" t="s">
        <v>123</v>
      </c>
      <c r="B14" s="79"/>
      <c r="D14" s="16" t="s">
        <v>131</v>
      </c>
      <c r="E14" s="81">
        <v>4</v>
      </c>
    </row>
    <row r="15" spans="1:9" x14ac:dyDescent="0.25">
      <c r="D15" s="16" t="s">
        <v>132</v>
      </c>
      <c r="E15" s="81"/>
    </row>
    <row r="16" spans="1:9" ht="15.75" thickBot="1" x14ac:dyDescent="0.3">
      <c r="D16" s="18" t="s">
        <v>144</v>
      </c>
      <c r="E16" s="82">
        <v>30.5</v>
      </c>
    </row>
    <row r="17" spans="1:6" ht="15.75" thickBot="1" x14ac:dyDescent="0.3"/>
    <row r="18" spans="1:6" x14ac:dyDescent="0.25">
      <c r="A18" s="15" t="s">
        <v>161</v>
      </c>
      <c r="B18" s="83"/>
      <c r="C18" s="73"/>
      <c r="D18" s="74"/>
    </row>
    <row r="19" spans="1:6" x14ac:dyDescent="0.25">
      <c r="A19" s="16" t="s">
        <v>125</v>
      </c>
      <c r="B19" s="84"/>
      <c r="C19" s="49"/>
      <c r="D19" s="75"/>
    </row>
    <row r="20" spans="1:6" ht="15.75" thickBot="1" x14ac:dyDescent="0.3">
      <c r="A20" s="18" t="s">
        <v>124</v>
      </c>
      <c r="B20" s="76"/>
      <c r="C20" s="76"/>
      <c r="D20" s="27">
        <f>SUM(G23:G52)</f>
        <v>0</v>
      </c>
    </row>
    <row r="21" spans="1:6" ht="15.75" thickBot="1" x14ac:dyDescent="0.3"/>
    <row r="22" spans="1:6" ht="15.75" thickBot="1" x14ac:dyDescent="0.3">
      <c r="A22" s="28" t="s">
        <v>116</v>
      </c>
      <c r="B22" s="30" t="s">
        <v>136</v>
      </c>
      <c r="C22" s="30" t="s">
        <v>137</v>
      </c>
      <c r="D22" s="30" t="s">
        <v>138</v>
      </c>
      <c r="E22" s="215" t="s">
        <v>13</v>
      </c>
      <c r="F22" s="216"/>
    </row>
    <row r="23" spans="1:6" x14ac:dyDescent="0.25">
      <c r="A23" s="87">
        <v>1</v>
      </c>
      <c r="B23" s="88"/>
      <c r="C23" s="88"/>
      <c r="D23" s="88">
        <v>89</v>
      </c>
      <c r="E23" s="217" t="s">
        <v>198</v>
      </c>
      <c r="F23" s="217"/>
    </row>
    <row r="24" spans="1:6" x14ac:dyDescent="0.25">
      <c r="A24" s="89">
        <v>2</v>
      </c>
      <c r="B24" s="90"/>
      <c r="C24" s="90"/>
      <c r="D24" s="90">
        <v>60</v>
      </c>
      <c r="E24" s="214" t="s">
        <v>201</v>
      </c>
      <c r="F24" s="214"/>
    </row>
    <row r="25" spans="1:6" x14ac:dyDescent="0.25">
      <c r="A25" s="89"/>
      <c r="B25" s="90"/>
      <c r="C25" s="90"/>
      <c r="D25" s="90"/>
      <c r="E25" s="214"/>
      <c r="F25" s="214"/>
    </row>
    <row r="26" spans="1:6" x14ac:dyDescent="0.25">
      <c r="A26" s="89"/>
      <c r="B26" s="90"/>
      <c r="C26" s="90"/>
      <c r="D26" s="90"/>
      <c r="E26" s="214"/>
      <c r="F26" s="214"/>
    </row>
    <row r="27" spans="1:6" x14ac:dyDescent="0.25">
      <c r="A27" s="89"/>
      <c r="B27" s="90"/>
      <c r="C27" s="90"/>
      <c r="D27" s="90"/>
      <c r="E27" s="214"/>
      <c r="F27" s="214"/>
    </row>
    <row r="28" spans="1:6" x14ac:dyDescent="0.25">
      <c r="A28" s="89"/>
      <c r="B28" s="90"/>
      <c r="C28" s="90"/>
      <c r="D28" s="90"/>
      <c r="E28" s="214"/>
      <c r="F28" s="214"/>
    </row>
    <row r="29" spans="1:6" x14ac:dyDescent="0.25">
      <c r="A29" s="89"/>
      <c r="B29" s="90"/>
      <c r="C29" s="90"/>
      <c r="D29" s="90"/>
      <c r="E29" s="214"/>
      <c r="F29" s="214"/>
    </row>
    <row r="30" spans="1:6" x14ac:dyDescent="0.25">
      <c r="A30" s="89"/>
      <c r="B30" s="90"/>
      <c r="C30" s="90"/>
      <c r="D30" s="90"/>
      <c r="E30" s="214"/>
      <c r="F30" s="214"/>
    </row>
    <row r="31" spans="1:6" x14ac:dyDescent="0.25">
      <c r="A31" s="89"/>
      <c r="B31" s="90"/>
      <c r="C31" s="90"/>
      <c r="D31" s="90"/>
      <c r="E31" s="214"/>
      <c r="F31" s="214"/>
    </row>
    <row r="32" spans="1:6" x14ac:dyDescent="0.25">
      <c r="A32" s="89"/>
      <c r="B32" s="90"/>
      <c r="C32" s="90"/>
      <c r="D32" s="90"/>
      <c r="E32" s="214"/>
      <c r="F32" s="214"/>
    </row>
    <row r="33" spans="1:6" x14ac:dyDescent="0.25">
      <c r="A33" s="89"/>
      <c r="B33" s="90"/>
      <c r="C33" s="90"/>
      <c r="D33" s="90"/>
      <c r="E33" s="214"/>
      <c r="F33" s="214"/>
    </row>
    <row r="34" spans="1:6" x14ac:dyDescent="0.25">
      <c r="A34" s="89"/>
      <c r="B34" s="90"/>
      <c r="C34" s="90"/>
      <c r="D34" s="90"/>
      <c r="E34" s="214"/>
      <c r="F34" s="214"/>
    </row>
    <row r="35" spans="1:6" x14ac:dyDescent="0.25">
      <c r="A35" s="89"/>
      <c r="B35" s="90"/>
      <c r="C35" s="90"/>
      <c r="D35" s="90"/>
      <c r="E35" s="214"/>
      <c r="F35" s="214"/>
    </row>
    <row r="36" spans="1:6" x14ac:dyDescent="0.25">
      <c r="A36" s="89"/>
      <c r="B36" s="90"/>
      <c r="C36" s="90"/>
      <c r="D36" s="90"/>
      <c r="E36" s="214"/>
      <c r="F36" s="214"/>
    </row>
    <row r="37" spans="1:6" x14ac:dyDescent="0.25">
      <c r="A37" s="89"/>
      <c r="B37" s="90"/>
      <c r="C37" s="90"/>
      <c r="D37" s="90"/>
      <c r="E37" s="214"/>
      <c r="F37" s="214"/>
    </row>
    <row r="38" spans="1:6" x14ac:dyDescent="0.25">
      <c r="A38" s="89"/>
      <c r="B38" s="90"/>
      <c r="C38" s="90"/>
      <c r="D38" s="90"/>
      <c r="E38" s="214"/>
      <c r="F38" s="214"/>
    </row>
    <row r="39" spans="1:6" x14ac:dyDescent="0.25">
      <c r="A39" s="89"/>
      <c r="B39" s="90"/>
      <c r="C39" s="90"/>
      <c r="D39" s="90"/>
      <c r="E39" s="214"/>
      <c r="F39" s="214"/>
    </row>
    <row r="40" spans="1:6" x14ac:dyDescent="0.25">
      <c r="A40" s="89"/>
      <c r="B40" s="90"/>
      <c r="C40" s="90"/>
      <c r="D40" s="90"/>
      <c r="E40" s="214"/>
      <c r="F40" s="214"/>
    </row>
    <row r="41" spans="1:6" x14ac:dyDescent="0.25">
      <c r="A41" s="89"/>
      <c r="B41" s="90"/>
      <c r="C41" s="90"/>
      <c r="D41" s="90"/>
      <c r="E41" s="214"/>
      <c r="F41" s="214"/>
    </row>
    <row r="42" spans="1:6" x14ac:dyDescent="0.25">
      <c r="A42" s="89"/>
      <c r="B42" s="90"/>
      <c r="C42" s="90"/>
      <c r="D42" s="90"/>
      <c r="E42" s="214"/>
      <c r="F42" s="214"/>
    </row>
    <row r="43" spans="1:6" x14ac:dyDescent="0.25">
      <c r="A43" s="89"/>
      <c r="B43" s="90"/>
      <c r="C43" s="90"/>
      <c r="D43" s="90"/>
      <c r="E43" s="214"/>
      <c r="F43" s="214"/>
    </row>
    <row r="44" spans="1:6" x14ac:dyDescent="0.25">
      <c r="A44" s="89"/>
      <c r="B44" s="90"/>
      <c r="C44" s="90"/>
      <c r="D44" s="90"/>
      <c r="E44" s="214"/>
      <c r="F44" s="214"/>
    </row>
    <row r="45" spans="1:6" x14ac:dyDescent="0.25">
      <c r="A45" s="89"/>
      <c r="B45" s="90"/>
      <c r="C45" s="90"/>
      <c r="D45" s="90"/>
      <c r="E45" s="214"/>
      <c r="F45" s="214"/>
    </row>
    <row r="46" spans="1:6" x14ac:dyDescent="0.25">
      <c r="A46" s="89"/>
      <c r="B46" s="90"/>
      <c r="C46" s="90"/>
      <c r="D46" s="90"/>
      <c r="E46" s="214"/>
      <c r="F46" s="214"/>
    </row>
    <row r="47" spans="1:6" x14ac:dyDescent="0.25">
      <c r="A47" s="89"/>
      <c r="B47" s="90"/>
      <c r="C47" s="90"/>
      <c r="D47" s="90"/>
      <c r="E47" s="214"/>
      <c r="F47" s="214"/>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47CFAFCF-789D-4AB2-A224-9997252A80AE}">
      <formula1>Yes_No</formula1>
    </dataValidation>
  </dataValidations>
  <pageMargins left="0.7" right="0.7" top="0.75" bottom="0.75" header="0.3" footer="0.3"/>
  <pageSetup paperSize="9" scale="75"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Y56"/>
  <sheetViews>
    <sheetView topLeftCell="J7" zoomScale="80" zoomScaleNormal="80" workbookViewId="0">
      <selection activeCell="AA17" sqref="AA17"/>
    </sheetView>
  </sheetViews>
  <sheetFormatPr defaultColWidth="9.140625" defaultRowHeight="15" x14ac:dyDescent="0.25"/>
  <cols>
    <col min="1" max="1" width="24.5703125" style="39" bestFit="1" customWidth="1"/>
    <col min="2" max="3" width="15.7109375" style="39" customWidth="1"/>
    <col min="4" max="5" width="13.7109375" style="39" bestFit="1" customWidth="1"/>
    <col min="6" max="7" width="15.7109375" style="39" customWidth="1"/>
    <col min="8" max="8" width="13.7109375" style="39" bestFit="1" customWidth="1"/>
    <col min="9" max="9" width="36.5703125" style="39" customWidth="1"/>
    <col min="10" max="10" width="9.140625" style="39"/>
    <col min="11" max="11" width="19.140625" style="39" bestFit="1" customWidth="1"/>
    <col min="12" max="12" width="15.7109375" style="39" customWidth="1"/>
    <col min="13" max="16" width="12.7109375" style="39" customWidth="1"/>
    <col min="17" max="17" width="9.140625" style="39"/>
    <col min="18" max="19" width="15.7109375" style="39" customWidth="1"/>
    <col min="20" max="16384" width="9.140625" style="39"/>
  </cols>
  <sheetData>
    <row r="1" spans="1:25" ht="31.5" x14ac:dyDescent="0.5">
      <c r="A1" s="196" t="s">
        <v>19</v>
      </c>
      <c r="B1" s="196"/>
      <c r="C1" s="196"/>
      <c r="D1" s="196"/>
    </row>
    <row r="2" spans="1:25" x14ac:dyDescent="0.25">
      <c r="A2" s="123" t="s">
        <v>16</v>
      </c>
      <c r="B2" s="227" t="str">
        <f>CONCATENATE(ExpID,"-",StnNum,"-",StnDay)</f>
        <v>AO2023-I-2-1</v>
      </c>
      <c r="C2" s="227"/>
      <c r="D2" s="124"/>
      <c r="E2" s="125"/>
      <c r="F2" s="125"/>
      <c r="G2" s="125"/>
      <c r="H2" s="125"/>
      <c r="I2" s="125"/>
      <c r="J2" s="125"/>
      <c r="K2" s="125"/>
      <c r="L2" s="125"/>
      <c r="M2" s="125"/>
      <c r="N2" s="125"/>
      <c r="O2" s="125"/>
      <c r="P2" s="125"/>
      <c r="Q2" s="125"/>
      <c r="R2" s="125"/>
      <c r="S2" s="125"/>
      <c r="T2" s="125"/>
      <c r="U2" s="125"/>
      <c r="V2" s="125"/>
      <c r="W2" s="125"/>
      <c r="X2" s="125"/>
    </row>
    <row r="3" spans="1:25" x14ac:dyDescent="0.25">
      <c r="A3" s="123" t="s">
        <v>130</v>
      </c>
      <c r="B3" s="228">
        <v>1</v>
      </c>
      <c r="C3" s="228"/>
      <c r="D3" s="126"/>
      <c r="E3" s="125"/>
      <c r="F3" s="125"/>
      <c r="G3" s="125"/>
      <c r="H3" s="125"/>
      <c r="I3" s="125"/>
      <c r="J3" s="125"/>
      <c r="K3" s="125"/>
      <c r="L3" s="125"/>
      <c r="M3" s="125"/>
      <c r="N3" s="125"/>
      <c r="O3" s="125"/>
      <c r="P3" s="125"/>
      <c r="Q3" s="125"/>
      <c r="R3" s="125"/>
      <c r="S3" s="125"/>
      <c r="T3" s="125"/>
      <c r="U3" s="125"/>
      <c r="V3" s="125"/>
      <c r="W3" s="125"/>
      <c r="X3" s="125"/>
    </row>
    <row r="4" spans="1:25" x14ac:dyDescent="0.25">
      <c r="A4" s="123" t="s">
        <v>4</v>
      </c>
      <c r="B4" s="229" t="str">
        <f>ObsDate</f>
        <v>09.06.23</v>
      </c>
      <c r="C4" s="229"/>
      <c r="D4" s="126"/>
      <c r="E4" s="125"/>
      <c r="F4" s="125"/>
      <c r="G4" s="125"/>
      <c r="H4" s="125"/>
      <c r="I4" s="125"/>
      <c r="J4" s="125"/>
      <c r="K4" s="125"/>
      <c r="L4" s="125"/>
      <c r="M4" s="125"/>
      <c r="N4" s="125"/>
      <c r="O4" s="125"/>
      <c r="P4" s="125"/>
      <c r="Q4" s="125"/>
      <c r="R4" s="125"/>
      <c r="S4" s="125"/>
      <c r="T4" s="125"/>
      <c r="U4" s="125"/>
      <c r="V4" s="125"/>
      <c r="W4" s="125"/>
      <c r="X4" s="125"/>
    </row>
    <row r="5" spans="1:25" x14ac:dyDescent="0.25">
      <c r="A5" s="127" t="s">
        <v>105</v>
      </c>
      <c r="B5" s="230" t="s">
        <v>210</v>
      </c>
      <c r="C5" s="230"/>
      <c r="D5" s="126"/>
      <c r="E5" s="125"/>
      <c r="F5" s="125"/>
      <c r="G5" s="125"/>
      <c r="H5" s="125"/>
      <c r="I5" s="125"/>
      <c r="J5" s="125"/>
      <c r="K5" s="125"/>
      <c r="L5" s="125"/>
      <c r="M5" s="125"/>
      <c r="N5" s="125"/>
      <c r="O5" s="125"/>
      <c r="P5" s="125"/>
      <c r="Q5" s="125"/>
      <c r="R5" s="125"/>
      <c r="S5" s="125"/>
      <c r="T5" s="125"/>
      <c r="U5" s="125"/>
      <c r="V5" s="125"/>
      <c r="W5" s="125"/>
      <c r="X5" s="125"/>
    </row>
    <row r="6" spans="1:25" x14ac:dyDescent="0.25">
      <c r="A6" s="127" t="s">
        <v>119</v>
      </c>
      <c r="B6" s="231" t="s">
        <v>211</v>
      </c>
      <c r="C6" s="231"/>
      <c r="D6" s="126"/>
      <c r="E6" s="128"/>
      <c r="F6" s="125"/>
      <c r="G6" s="125"/>
      <c r="H6" s="125"/>
      <c r="I6" s="125"/>
      <c r="J6" s="125"/>
      <c r="K6" s="125"/>
      <c r="L6" s="125"/>
      <c r="M6" s="125"/>
      <c r="N6" s="125"/>
      <c r="O6" s="125"/>
      <c r="P6" s="125"/>
      <c r="Q6" s="125"/>
      <c r="R6" s="125"/>
      <c r="S6" s="125"/>
      <c r="T6" s="125"/>
      <c r="U6" s="125"/>
      <c r="V6" s="125"/>
      <c r="W6" s="125"/>
      <c r="X6" s="125"/>
    </row>
    <row r="7" spans="1:25" ht="30" customHeight="1" x14ac:dyDescent="0.25">
      <c r="A7" s="129" t="s">
        <v>15</v>
      </c>
      <c r="B7" s="226"/>
      <c r="C7" s="226"/>
      <c r="D7" s="226"/>
      <c r="E7" s="125"/>
      <c r="F7" s="125"/>
      <c r="G7" s="125"/>
      <c r="H7" s="125"/>
      <c r="I7" s="125"/>
      <c r="J7" s="125"/>
      <c r="K7" s="125"/>
      <c r="L7" s="125"/>
      <c r="M7" s="125"/>
      <c r="N7" s="125"/>
      <c r="O7" s="125"/>
      <c r="P7" s="125"/>
      <c r="Q7" s="125"/>
      <c r="R7" s="125"/>
      <c r="S7" s="125"/>
      <c r="T7" s="125"/>
      <c r="U7" s="125"/>
      <c r="V7" s="125"/>
      <c r="W7" s="125"/>
      <c r="X7" s="125"/>
    </row>
    <row r="8" spans="1:25" x14ac:dyDescent="0.25">
      <c r="A8" s="125"/>
      <c r="B8" s="125"/>
      <c r="C8" s="125"/>
      <c r="D8" s="125"/>
      <c r="E8" s="125"/>
      <c r="F8" s="125"/>
      <c r="G8" s="125"/>
      <c r="H8" s="125"/>
      <c r="I8" s="125"/>
      <c r="J8" s="125"/>
      <c r="K8" s="125"/>
      <c r="L8" s="125"/>
      <c r="M8" s="125"/>
      <c r="N8" s="125"/>
      <c r="O8" s="125"/>
      <c r="P8" s="125"/>
      <c r="Q8" s="125"/>
      <c r="R8" s="125"/>
      <c r="S8" s="125"/>
      <c r="T8" s="125"/>
      <c r="U8" s="125"/>
      <c r="V8" s="125"/>
      <c r="W8" s="125"/>
      <c r="X8" s="125"/>
    </row>
    <row r="9" spans="1:25" ht="15.75" thickBot="1" x14ac:dyDescent="0.3">
      <c r="A9" s="130" t="s">
        <v>76</v>
      </c>
      <c r="B9" s="125"/>
      <c r="C9" s="125"/>
      <c r="D9" s="125"/>
      <c r="E9" s="125"/>
      <c r="F9" s="125"/>
      <c r="G9" s="125"/>
      <c r="H9" s="125"/>
      <c r="I9" s="125"/>
      <c r="J9" s="125"/>
      <c r="K9" s="130" t="s">
        <v>82</v>
      </c>
      <c r="L9" s="125"/>
      <c r="M9" s="125"/>
      <c r="N9" s="125"/>
      <c r="O9" s="125"/>
      <c r="P9" s="125"/>
      <c r="Q9" s="125"/>
      <c r="R9" s="125"/>
      <c r="S9" s="125"/>
      <c r="T9" s="125"/>
      <c r="U9" s="125"/>
      <c r="V9" s="125"/>
      <c r="W9" s="125"/>
      <c r="X9" s="125"/>
    </row>
    <row r="10" spans="1:25" x14ac:dyDescent="0.25">
      <c r="A10" s="131" t="s">
        <v>72</v>
      </c>
      <c r="B10" s="132">
        <v>0.7</v>
      </c>
      <c r="C10" s="125"/>
      <c r="D10" s="125"/>
      <c r="E10" s="125"/>
      <c r="F10" s="125"/>
      <c r="G10" s="125"/>
      <c r="H10" s="125"/>
      <c r="I10" s="125"/>
      <c r="J10" s="125"/>
      <c r="K10" s="131" t="s">
        <v>212</v>
      </c>
      <c r="L10" s="133">
        <v>100</v>
      </c>
      <c r="M10" s="125"/>
      <c r="N10" s="125"/>
      <c r="O10" s="125"/>
      <c r="P10" s="125"/>
      <c r="Q10" s="125"/>
      <c r="R10" s="125"/>
      <c r="S10" s="125"/>
      <c r="T10" s="125"/>
      <c r="U10" s="125"/>
      <c r="V10" s="125"/>
      <c r="W10" s="125"/>
      <c r="X10" s="125"/>
    </row>
    <row r="11" spans="1:25" x14ac:dyDescent="0.25">
      <c r="A11" s="131" t="s">
        <v>73</v>
      </c>
      <c r="B11" s="134">
        <v>-1.9</v>
      </c>
      <c r="C11" s="125"/>
      <c r="D11" s="125"/>
      <c r="E11" s="125"/>
      <c r="F11" s="125"/>
      <c r="G11" s="125"/>
      <c r="H11" s="125"/>
      <c r="I11" s="125"/>
      <c r="J11" s="125"/>
      <c r="K11" s="131" t="s">
        <v>149</v>
      </c>
      <c r="L11" s="135">
        <v>222</v>
      </c>
      <c r="M11" s="125"/>
      <c r="N11" s="125"/>
      <c r="O11" s="125"/>
      <c r="P11" s="125"/>
      <c r="Q11" s="125"/>
      <c r="R11" s="125"/>
      <c r="S11" s="125"/>
      <c r="T11" s="125"/>
      <c r="U11" s="125"/>
      <c r="V11" s="125"/>
      <c r="W11" s="125"/>
      <c r="X11" s="125"/>
    </row>
    <row r="12" spans="1:25" x14ac:dyDescent="0.25">
      <c r="A12" s="131" t="s">
        <v>74</v>
      </c>
      <c r="B12" s="134">
        <v>-3.4</v>
      </c>
      <c r="C12" s="125"/>
      <c r="D12" s="125"/>
      <c r="E12" s="125"/>
      <c r="F12" s="125"/>
      <c r="G12" s="125"/>
      <c r="H12" s="125"/>
      <c r="I12" s="125"/>
      <c r="J12" s="125"/>
      <c r="K12" s="125"/>
      <c r="L12" s="125"/>
      <c r="M12" s="125"/>
      <c r="N12" s="125"/>
      <c r="O12" s="125"/>
      <c r="P12" s="125"/>
      <c r="Q12" s="125"/>
      <c r="R12" s="125"/>
      <c r="S12" s="125"/>
      <c r="T12" s="125"/>
      <c r="U12" s="125"/>
      <c r="V12" s="125"/>
      <c r="W12" s="125"/>
      <c r="X12" s="125"/>
    </row>
    <row r="13" spans="1:25" ht="15.75" thickBot="1" x14ac:dyDescent="0.3">
      <c r="A13" s="131" t="s">
        <v>75</v>
      </c>
      <c r="B13" s="136">
        <v>-2</v>
      </c>
      <c r="C13" s="125"/>
      <c r="D13" s="125"/>
      <c r="E13" s="125"/>
      <c r="F13" s="125"/>
      <c r="G13" s="125"/>
      <c r="H13" s="125"/>
      <c r="I13" s="125"/>
      <c r="J13" s="125"/>
      <c r="K13" s="125"/>
      <c r="L13" s="125"/>
      <c r="M13" s="125"/>
      <c r="N13" s="125"/>
      <c r="O13" s="125"/>
      <c r="P13" s="125"/>
      <c r="Q13" s="125"/>
      <c r="R13" s="125"/>
      <c r="S13" s="125"/>
      <c r="T13" s="125"/>
      <c r="U13" s="125"/>
      <c r="V13" s="125"/>
      <c r="W13" s="125"/>
      <c r="X13" s="125"/>
    </row>
    <row r="14" spans="1:25" x14ac:dyDescent="0.25">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row>
    <row r="15" spans="1:25" ht="15.75" x14ac:dyDescent="0.25">
      <c r="A15" s="130" t="s">
        <v>77</v>
      </c>
      <c r="B15" s="137" t="s">
        <v>160</v>
      </c>
      <c r="C15" s="125"/>
      <c r="D15" s="125"/>
      <c r="E15" s="125"/>
      <c r="F15" s="125"/>
      <c r="G15" s="125"/>
      <c r="H15" s="125"/>
      <c r="I15" s="125"/>
      <c r="J15" s="125"/>
      <c r="K15" s="130" t="s">
        <v>82</v>
      </c>
      <c r="L15" s="125"/>
      <c r="M15" s="125"/>
      <c r="N15" s="125"/>
      <c r="O15" s="125"/>
      <c r="P15" s="125"/>
      <c r="Q15" s="125"/>
      <c r="R15" s="130" t="s">
        <v>129</v>
      </c>
      <c r="S15" s="125"/>
      <c r="T15" s="125"/>
      <c r="U15" s="130" t="s">
        <v>213</v>
      </c>
      <c r="V15" s="125"/>
      <c r="W15" s="125"/>
      <c r="X15" s="125"/>
    </row>
    <row r="16" spans="1:25" s="70" customFormat="1" ht="62.25" x14ac:dyDescent="0.25">
      <c r="A16" s="138" t="s">
        <v>78</v>
      </c>
      <c r="B16" s="138" t="s">
        <v>139</v>
      </c>
      <c r="C16" s="138" t="s">
        <v>140</v>
      </c>
      <c r="D16" s="138" t="s">
        <v>126</v>
      </c>
      <c r="E16" s="138" t="s">
        <v>127</v>
      </c>
      <c r="F16" s="138" t="s">
        <v>79</v>
      </c>
      <c r="G16" s="138" t="s">
        <v>80</v>
      </c>
      <c r="H16" s="138" t="s">
        <v>81</v>
      </c>
      <c r="I16" s="138" t="s">
        <v>13</v>
      </c>
      <c r="J16" s="139"/>
      <c r="K16" s="140" t="s">
        <v>162</v>
      </c>
      <c r="L16" s="140" t="s">
        <v>163</v>
      </c>
      <c r="M16" s="140" t="s">
        <v>167</v>
      </c>
      <c r="N16" s="140" t="s">
        <v>166</v>
      </c>
      <c r="O16" s="140" t="s">
        <v>168</v>
      </c>
      <c r="P16" s="140" t="s">
        <v>128</v>
      </c>
      <c r="Q16" s="141"/>
      <c r="R16" s="140" t="s">
        <v>164</v>
      </c>
      <c r="S16" s="140" t="s">
        <v>214</v>
      </c>
      <c r="T16" s="139"/>
      <c r="U16" s="140" t="s">
        <v>164</v>
      </c>
      <c r="V16" s="140" t="s">
        <v>214</v>
      </c>
      <c r="W16" s="140" t="s">
        <v>215</v>
      </c>
      <c r="X16" s="140" t="s">
        <v>216</v>
      </c>
      <c r="Y16" s="70" t="s">
        <v>209</v>
      </c>
    </row>
    <row r="17" spans="1:25" x14ac:dyDescent="0.25">
      <c r="A17" s="142">
        <v>1</v>
      </c>
      <c r="B17" s="143">
        <v>4.5</v>
      </c>
      <c r="C17" s="143">
        <v>0</v>
      </c>
      <c r="D17" s="144" t="s">
        <v>99</v>
      </c>
      <c r="E17" s="144"/>
      <c r="F17" s="145">
        <v>0.5</v>
      </c>
      <c r="G17" s="145">
        <v>2</v>
      </c>
      <c r="H17" s="144" t="s">
        <v>85</v>
      </c>
      <c r="I17" s="144"/>
      <c r="J17" s="125"/>
      <c r="K17" s="143">
        <v>3.5</v>
      </c>
      <c r="L17" s="143">
        <v>0.5</v>
      </c>
      <c r="M17" s="146">
        <v>249</v>
      </c>
      <c r="N17" s="144"/>
      <c r="O17" s="147">
        <f t="shared" ref="O17:O42" si="0">IF($L$10&gt;0,((M17-$L$11)/$L$10)*1000,0)</f>
        <v>270</v>
      </c>
      <c r="P17" s="144"/>
      <c r="Q17" s="125"/>
      <c r="R17" s="143">
        <v>0</v>
      </c>
      <c r="S17" s="148">
        <v>-3</v>
      </c>
      <c r="T17" s="139"/>
      <c r="U17" s="143">
        <v>1.5</v>
      </c>
      <c r="V17" s="148">
        <v>17.3</v>
      </c>
      <c r="W17" s="149">
        <v>5.9</v>
      </c>
      <c r="X17" s="150">
        <v>10.46</v>
      </c>
      <c r="Y17" s="39" t="s">
        <v>224</v>
      </c>
    </row>
    <row r="18" spans="1:25" x14ac:dyDescent="0.25">
      <c r="A18" s="142">
        <v>2</v>
      </c>
      <c r="B18" s="143">
        <v>13</v>
      </c>
      <c r="C18" s="143">
        <v>4.5</v>
      </c>
      <c r="D18" s="144" t="s">
        <v>97</v>
      </c>
      <c r="E18" s="144"/>
      <c r="F18" s="145">
        <v>0.5</v>
      </c>
      <c r="G18" s="145">
        <v>1</v>
      </c>
      <c r="H18" s="144" t="s">
        <v>89</v>
      </c>
      <c r="I18" s="144"/>
      <c r="J18" s="125"/>
      <c r="K18" s="143">
        <v>12.5</v>
      </c>
      <c r="L18" s="143">
        <v>9.5</v>
      </c>
      <c r="M18" s="146">
        <v>256</v>
      </c>
      <c r="N18" s="144"/>
      <c r="O18" s="147">
        <f t="shared" si="0"/>
        <v>340</v>
      </c>
      <c r="P18" s="144"/>
      <c r="Q18" s="125"/>
      <c r="R18" s="143">
        <v>3</v>
      </c>
      <c r="S18" s="148">
        <v>-3.4</v>
      </c>
      <c r="T18" s="139"/>
      <c r="U18" s="143">
        <v>4.5</v>
      </c>
      <c r="V18" s="148">
        <v>17.100000000000001</v>
      </c>
      <c r="W18" s="149">
        <v>0.7</v>
      </c>
      <c r="X18" s="150">
        <v>1.466</v>
      </c>
      <c r="Y18" s="39" t="s">
        <v>225</v>
      </c>
    </row>
    <row r="19" spans="1:25" x14ac:dyDescent="0.25">
      <c r="A19" s="142">
        <v>3</v>
      </c>
      <c r="B19" s="143">
        <v>17.5</v>
      </c>
      <c r="C19" s="143">
        <v>13</v>
      </c>
      <c r="D19" s="144" t="s">
        <v>97</v>
      </c>
      <c r="E19" s="144"/>
      <c r="F19" s="145">
        <v>0.5</v>
      </c>
      <c r="G19" s="145">
        <v>1</v>
      </c>
      <c r="H19" s="144" t="s">
        <v>85</v>
      </c>
      <c r="I19" s="144"/>
      <c r="J19" s="125"/>
      <c r="K19" s="143">
        <v>17.5</v>
      </c>
      <c r="L19" s="143">
        <v>14.5</v>
      </c>
      <c r="M19" s="146">
        <v>257</v>
      </c>
      <c r="N19" s="144"/>
      <c r="O19" s="147">
        <f t="shared" si="0"/>
        <v>350</v>
      </c>
      <c r="P19" s="144"/>
      <c r="Q19" s="125"/>
      <c r="R19" s="143">
        <v>6</v>
      </c>
      <c r="S19" s="148">
        <v>-2.9</v>
      </c>
      <c r="T19" s="139"/>
      <c r="U19" s="143">
        <v>7.5</v>
      </c>
      <c r="V19" s="148">
        <v>16.899999999999999</v>
      </c>
      <c r="W19" s="149">
        <v>0</v>
      </c>
      <c r="X19" s="150">
        <v>0.20799999999999999</v>
      </c>
      <c r="Y19" s="39" t="s">
        <v>226</v>
      </c>
    </row>
    <row r="20" spans="1:25" x14ac:dyDescent="0.25">
      <c r="A20" s="142">
        <v>4</v>
      </c>
      <c r="B20" s="143">
        <v>27.5</v>
      </c>
      <c r="C20" s="143">
        <v>17.5</v>
      </c>
      <c r="D20" s="144" t="s">
        <v>97</v>
      </c>
      <c r="E20" s="144"/>
      <c r="F20" s="145">
        <v>0.5</v>
      </c>
      <c r="G20" s="145">
        <v>2</v>
      </c>
      <c r="H20" s="144" t="s">
        <v>90</v>
      </c>
      <c r="I20" s="144"/>
      <c r="J20" s="125"/>
      <c r="K20" s="143">
        <v>24.5</v>
      </c>
      <c r="L20" s="143">
        <v>21.5</v>
      </c>
      <c r="M20" s="146">
        <v>263</v>
      </c>
      <c r="N20" s="144"/>
      <c r="O20" s="147">
        <f t="shared" si="0"/>
        <v>410</v>
      </c>
      <c r="P20" s="144"/>
      <c r="Q20" s="125"/>
      <c r="R20" s="143">
        <v>9</v>
      </c>
      <c r="S20" s="148">
        <v>-2.6</v>
      </c>
      <c r="T20" s="139"/>
      <c r="U20" s="143">
        <v>10.5</v>
      </c>
      <c r="V20" s="148">
        <v>17.399999999999999</v>
      </c>
      <c r="W20" s="149">
        <v>0</v>
      </c>
      <c r="X20" s="150">
        <v>0.20499999999999999</v>
      </c>
      <c r="Y20" s="39" t="s">
        <v>227</v>
      </c>
    </row>
    <row r="21" spans="1:25" x14ac:dyDescent="0.25">
      <c r="A21" s="142">
        <v>5</v>
      </c>
      <c r="B21" s="143">
        <v>29</v>
      </c>
      <c r="C21" s="143">
        <v>27.5</v>
      </c>
      <c r="D21" s="144" t="s">
        <v>93</v>
      </c>
      <c r="E21" s="144"/>
      <c r="F21" s="145">
        <v>1</v>
      </c>
      <c r="G21" s="145">
        <v>5</v>
      </c>
      <c r="H21" s="144" t="s">
        <v>84</v>
      </c>
      <c r="I21" s="144" t="s">
        <v>217</v>
      </c>
      <c r="J21" s="125"/>
      <c r="K21" s="143">
        <v>29.5</v>
      </c>
      <c r="L21" s="143">
        <v>26.5</v>
      </c>
      <c r="M21" s="146"/>
      <c r="N21" s="144"/>
      <c r="O21" s="147">
        <f t="shared" si="0"/>
        <v>-2220</v>
      </c>
      <c r="P21" s="144"/>
      <c r="Q21" s="125"/>
      <c r="R21" s="143">
        <v>13</v>
      </c>
      <c r="S21" s="148">
        <v>-2.1</v>
      </c>
      <c r="T21" s="139"/>
      <c r="U21" s="143">
        <v>13.5</v>
      </c>
      <c r="V21" s="148">
        <v>17</v>
      </c>
      <c r="W21" s="149">
        <v>0</v>
      </c>
      <c r="X21" s="150">
        <v>6.7000000000000004E-2</v>
      </c>
      <c r="Y21" s="39" t="s">
        <v>228</v>
      </c>
    </row>
    <row r="22" spans="1:25" x14ac:dyDescent="0.25">
      <c r="A22" s="142"/>
      <c r="B22" s="143"/>
      <c r="C22" s="143"/>
      <c r="D22" s="144"/>
      <c r="E22" s="144"/>
      <c r="F22" s="145"/>
      <c r="G22" s="145"/>
      <c r="H22" s="144"/>
      <c r="I22" s="144"/>
      <c r="J22" s="125"/>
      <c r="K22" s="143"/>
      <c r="L22" s="143"/>
      <c r="M22" s="146"/>
      <c r="N22" s="144"/>
      <c r="O22" s="147">
        <f t="shared" si="0"/>
        <v>-2220</v>
      </c>
      <c r="P22" s="144"/>
      <c r="Q22" s="125"/>
      <c r="R22" s="143">
        <v>15.5</v>
      </c>
      <c r="S22" s="148">
        <v>-1.4</v>
      </c>
      <c r="T22" s="139"/>
      <c r="U22" s="143">
        <v>17.5</v>
      </c>
      <c r="V22" s="148">
        <v>17.2</v>
      </c>
      <c r="W22" s="149">
        <v>0</v>
      </c>
      <c r="X22" s="150">
        <v>7.17E-2</v>
      </c>
      <c r="Y22" s="39" t="s">
        <v>229</v>
      </c>
    </row>
    <row r="23" spans="1:25" x14ac:dyDescent="0.25">
      <c r="A23" s="142"/>
      <c r="B23" s="143"/>
      <c r="C23" s="143"/>
      <c r="D23" s="144"/>
      <c r="E23" s="144"/>
      <c r="F23" s="145"/>
      <c r="G23" s="145"/>
      <c r="H23" s="144"/>
      <c r="I23" s="144"/>
      <c r="J23" s="125"/>
      <c r="K23" s="143"/>
      <c r="L23" s="143"/>
      <c r="M23" s="146"/>
      <c r="N23" s="144"/>
      <c r="O23" s="147">
        <f t="shared" si="0"/>
        <v>-2220</v>
      </c>
      <c r="P23" s="144"/>
      <c r="Q23" s="125"/>
      <c r="R23" s="143">
        <v>18</v>
      </c>
      <c r="S23" s="148">
        <v>-1.1000000000000001</v>
      </c>
      <c r="T23" s="139"/>
      <c r="U23" s="143">
        <v>21</v>
      </c>
      <c r="V23" s="148">
        <v>16.8</v>
      </c>
      <c r="W23" s="149">
        <v>0</v>
      </c>
      <c r="X23" s="150">
        <v>6.8500000000000005E-2</v>
      </c>
      <c r="Y23" s="39" t="s">
        <v>230</v>
      </c>
    </row>
    <row r="24" spans="1:25" x14ac:dyDescent="0.25">
      <c r="A24" s="142"/>
      <c r="B24" s="143"/>
      <c r="C24" s="143"/>
      <c r="D24" s="144"/>
      <c r="E24" s="144"/>
      <c r="F24" s="145"/>
      <c r="G24" s="145"/>
      <c r="H24" s="144"/>
      <c r="I24" s="144"/>
      <c r="J24" s="125"/>
      <c r="K24" s="143"/>
      <c r="L24" s="143"/>
      <c r="M24" s="146"/>
      <c r="N24" s="144"/>
      <c r="O24" s="147">
        <f t="shared" si="0"/>
        <v>-2220</v>
      </c>
      <c r="P24" s="144"/>
      <c r="Q24" s="125"/>
      <c r="R24" s="143">
        <v>21</v>
      </c>
      <c r="S24" s="148">
        <v>-0.6</v>
      </c>
      <c r="T24" s="139"/>
      <c r="U24" s="143">
        <v>24</v>
      </c>
      <c r="V24" s="148">
        <v>16.7</v>
      </c>
      <c r="W24" s="149">
        <v>0</v>
      </c>
      <c r="X24" s="150">
        <v>7.9000000000000001E-2</v>
      </c>
      <c r="Y24" s="39" t="s">
        <v>231</v>
      </c>
    </row>
    <row r="25" spans="1:25" x14ac:dyDescent="0.25">
      <c r="A25" s="142"/>
      <c r="B25" s="143"/>
      <c r="C25" s="143"/>
      <c r="D25" s="144"/>
      <c r="E25" s="144"/>
      <c r="F25" s="145"/>
      <c r="G25" s="145"/>
      <c r="H25" s="144"/>
      <c r="I25" s="144"/>
      <c r="J25" s="125"/>
      <c r="K25" s="143"/>
      <c r="L25" s="143"/>
      <c r="M25" s="146"/>
      <c r="N25" s="144"/>
      <c r="O25" s="147">
        <f t="shared" si="0"/>
        <v>-2220</v>
      </c>
      <c r="P25" s="144"/>
      <c r="Q25" s="125"/>
      <c r="R25" s="143">
        <v>24</v>
      </c>
      <c r="S25" s="148">
        <v>-0.2</v>
      </c>
      <c r="T25" s="139"/>
      <c r="U25" s="143">
        <v>27</v>
      </c>
      <c r="V25" s="148">
        <v>17.399999999999999</v>
      </c>
      <c r="W25" s="149">
        <v>0</v>
      </c>
      <c r="X25" s="150">
        <v>1.9400000000000001E-2</v>
      </c>
      <c r="Y25" s="39" t="s">
        <v>232</v>
      </c>
    </row>
    <row r="26" spans="1:25" x14ac:dyDescent="0.25">
      <c r="A26" s="142"/>
      <c r="B26" s="143"/>
      <c r="C26" s="143"/>
      <c r="D26" s="144"/>
      <c r="E26" s="144"/>
      <c r="F26" s="145"/>
      <c r="G26" s="145"/>
      <c r="H26" s="144"/>
      <c r="I26" s="144"/>
      <c r="J26" s="125"/>
      <c r="K26" s="143"/>
      <c r="L26" s="143"/>
      <c r="M26" s="146"/>
      <c r="N26" s="144"/>
      <c r="O26" s="147">
        <f t="shared" si="0"/>
        <v>-2220</v>
      </c>
      <c r="P26" s="144"/>
      <c r="Q26" s="125"/>
      <c r="R26" s="143">
        <v>26.5</v>
      </c>
      <c r="S26" s="148">
        <v>0</v>
      </c>
      <c r="T26" s="139"/>
      <c r="U26" s="143"/>
      <c r="V26" s="148"/>
      <c r="W26" s="148"/>
      <c r="X26" s="150"/>
    </row>
    <row r="27" spans="1:25" x14ac:dyDescent="0.25">
      <c r="A27" s="142"/>
      <c r="B27" s="143"/>
      <c r="C27" s="143"/>
      <c r="D27" s="144"/>
      <c r="E27" s="144"/>
      <c r="F27" s="145"/>
      <c r="G27" s="145"/>
      <c r="H27" s="144"/>
      <c r="I27" s="144"/>
      <c r="J27" s="125"/>
      <c r="K27" s="143"/>
      <c r="L27" s="143"/>
      <c r="M27" s="146"/>
      <c r="N27" s="144"/>
      <c r="O27" s="147">
        <f t="shared" si="0"/>
        <v>-2220</v>
      </c>
      <c r="P27" s="144"/>
      <c r="Q27" s="125"/>
      <c r="R27" s="143"/>
      <c r="S27" s="148"/>
      <c r="T27" s="139"/>
      <c r="U27" s="143"/>
      <c r="V27" s="148"/>
      <c r="W27" s="148"/>
      <c r="X27" s="150"/>
    </row>
    <row r="28" spans="1:25" x14ac:dyDescent="0.25">
      <c r="A28" s="142"/>
      <c r="B28" s="143"/>
      <c r="C28" s="143"/>
      <c r="D28" s="144"/>
      <c r="E28" s="144"/>
      <c r="F28" s="145"/>
      <c r="G28" s="145"/>
      <c r="H28" s="144"/>
      <c r="I28" s="144"/>
      <c r="J28" s="125"/>
      <c r="K28" s="143"/>
      <c r="L28" s="143"/>
      <c r="M28" s="146"/>
      <c r="N28" s="144"/>
      <c r="O28" s="147">
        <f t="shared" si="0"/>
        <v>-2220</v>
      </c>
      <c r="P28" s="144"/>
      <c r="Q28" s="125"/>
      <c r="R28" s="143"/>
      <c r="S28" s="148"/>
      <c r="T28" s="139"/>
      <c r="U28" s="143"/>
      <c r="V28" s="148"/>
      <c r="W28" s="148"/>
      <c r="X28" s="150"/>
    </row>
    <row r="29" spans="1:25" x14ac:dyDescent="0.25">
      <c r="A29" s="142"/>
      <c r="B29" s="143"/>
      <c r="C29" s="143"/>
      <c r="D29" s="144"/>
      <c r="E29" s="144"/>
      <c r="F29" s="145"/>
      <c r="G29" s="145"/>
      <c r="H29" s="144"/>
      <c r="I29" s="144"/>
      <c r="J29" s="125"/>
      <c r="K29" s="143"/>
      <c r="L29" s="143"/>
      <c r="M29" s="146"/>
      <c r="N29" s="144"/>
      <c r="O29" s="147">
        <f t="shared" si="0"/>
        <v>-2220</v>
      </c>
      <c r="P29" s="144"/>
      <c r="Q29" s="125"/>
      <c r="R29" s="143"/>
      <c r="S29" s="148"/>
      <c r="T29" s="139"/>
      <c r="U29" s="143"/>
      <c r="V29" s="148"/>
      <c r="W29" s="148"/>
      <c r="X29" s="150"/>
    </row>
    <row r="30" spans="1:25" x14ac:dyDescent="0.25">
      <c r="A30" s="142"/>
      <c r="B30" s="143"/>
      <c r="C30" s="143"/>
      <c r="D30" s="144"/>
      <c r="E30" s="144"/>
      <c r="F30" s="145"/>
      <c r="G30" s="145"/>
      <c r="H30" s="144"/>
      <c r="I30" s="144"/>
      <c r="J30" s="125"/>
      <c r="K30" s="143"/>
      <c r="L30" s="143"/>
      <c r="M30" s="146"/>
      <c r="N30" s="144"/>
      <c r="O30" s="147">
        <f t="shared" si="0"/>
        <v>-2220</v>
      </c>
      <c r="P30" s="144"/>
      <c r="Q30" s="125"/>
      <c r="R30" s="143"/>
      <c r="S30" s="148"/>
      <c r="T30" s="139"/>
      <c r="U30" s="130"/>
      <c r="V30" s="125"/>
      <c r="W30" s="125"/>
      <c r="X30" s="125"/>
    </row>
    <row r="31" spans="1:25" x14ac:dyDescent="0.25">
      <c r="A31" s="142"/>
      <c r="B31" s="143"/>
      <c r="C31" s="143"/>
      <c r="D31" s="144"/>
      <c r="E31" s="144"/>
      <c r="F31" s="145"/>
      <c r="G31" s="145"/>
      <c r="H31" s="144"/>
      <c r="I31" s="144"/>
      <c r="J31" s="125"/>
      <c r="K31" s="143"/>
      <c r="L31" s="143"/>
      <c r="M31" s="146"/>
      <c r="N31" s="144"/>
      <c r="O31" s="147">
        <f t="shared" si="0"/>
        <v>-2220</v>
      </c>
      <c r="P31" s="144"/>
      <c r="Q31" s="125"/>
      <c r="R31" s="143"/>
      <c r="S31" s="148"/>
      <c r="T31" s="139"/>
      <c r="U31" s="125"/>
      <c r="V31" s="125"/>
      <c r="W31" s="125"/>
      <c r="X31" s="125"/>
    </row>
    <row r="32" spans="1:25" x14ac:dyDescent="0.25">
      <c r="A32" s="142"/>
      <c r="B32" s="143"/>
      <c r="C32" s="143"/>
      <c r="D32" s="144"/>
      <c r="E32" s="144"/>
      <c r="F32" s="145"/>
      <c r="G32" s="145"/>
      <c r="H32" s="144"/>
      <c r="I32" s="144"/>
      <c r="J32" s="125"/>
      <c r="K32" s="143"/>
      <c r="L32" s="143"/>
      <c r="M32" s="146"/>
      <c r="N32" s="144"/>
      <c r="O32" s="147">
        <f t="shared" si="0"/>
        <v>-2220</v>
      </c>
      <c r="P32" s="144"/>
      <c r="Q32" s="125"/>
      <c r="R32" s="143"/>
      <c r="S32" s="148"/>
      <c r="T32" s="139"/>
      <c r="U32" s="125"/>
      <c r="V32" s="125"/>
      <c r="W32" s="125"/>
      <c r="X32" s="125"/>
    </row>
    <row r="33" spans="1:24" x14ac:dyDescent="0.25">
      <c r="A33" s="142"/>
      <c r="B33" s="143"/>
      <c r="C33" s="143"/>
      <c r="D33" s="144"/>
      <c r="E33" s="144"/>
      <c r="F33" s="145"/>
      <c r="G33" s="145"/>
      <c r="H33" s="144"/>
      <c r="I33" s="144"/>
      <c r="J33" s="125"/>
      <c r="K33" s="143"/>
      <c r="L33" s="143"/>
      <c r="M33" s="146"/>
      <c r="N33" s="144"/>
      <c r="O33" s="147">
        <f t="shared" si="0"/>
        <v>-2220</v>
      </c>
      <c r="P33" s="144"/>
      <c r="Q33" s="125"/>
      <c r="R33" s="143"/>
      <c r="S33" s="148"/>
      <c r="T33" s="139"/>
      <c r="U33" s="125"/>
      <c r="V33" s="125"/>
      <c r="W33" s="125"/>
      <c r="X33" s="125"/>
    </row>
    <row r="34" spans="1:24" x14ac:dyDescent="0.25">
      <c r="A34" s="142"/>
      <c r="B34" s="143"/>
      <c r="C34" s="143"/>
      <c r="D34" s="144"/>
      <c r="E34" s="144"/>
      <c r="F34" s="145"/>
      <c r="G34" s="145"/>
      <c r="H34" s="144"/>
      <c r="I34" s="144"/>
      <c r="J34" s="125"/>
      <c r="K34" s="143"/>
      <c r="L34" s="143"/>
      <c r="M34" s="146"/>
      <c r="N34" s="144"/>
      <c r="O34" s="147">
        <f t="shared" si="0"/>
        <v>-2220</v>
      </c>
      <c r="P34" s="144"/>
      <c r="Q34" s="125"/>
      <c r="R34" s="143"/>
      <c r="S34" s="148"/>
      <c r="T34" s="139"/>
      <c r="U34" s="125"/>
      <c r="V34" s="125"/>
      <c r="W34" s="125"/>
      <c r="X34" s="125"/>
    </row>
    <row r="35" spans="1:24" x14ac:dyDescent="0.25">
      <c r="A35" s="142"/>
      <c r="B35" s="143"/>
      <c r="C35" s="143"/>
      <c r="D35" s="144"/>
      <c r="E35" s="144"/>
      <c r="F35" s="145"/>
      <c r="G35" s="145"/>
      <c r="H35" s="144"/>
      <c r="I35" s="144"/>
      <c r="J35" s="125"/>
      <c r="K35" s="143"/>
      <c r="L35" s="143"/>
      <c r="M35" s="146"/>
      <c r="N35" s="144"/>
      <c r="O35" s="147">
        <f t="shared" si="0"/>
        <v>-2220</v>
      </c>
      <c r="P35" s="144"/>
      <c r="Q35" s="125"/>
      <c r="R35" s="143"/>
      <c r="S35" s="148"/>
      <c r="T35" s="139"/>
      <c r="U35" s="125"/>
      <c r="V35" s="125"/>
      <c r="W35" s="125"/>
      <c r="X35" s="125"/>
    </row>
    <row r="36" spans="1:24" x14ac:dyDescent="0.25">
      <c r="A36" s="142"/>
      <c r="B36" s="143"/>
      <c r="C36" s="143"/>
      <c r="D36" s="144"/>
      <c r="E36" s="144"/>
      <c r="F36" s="145"/>
      <c r="G36" s="145"/>
      <c r="H36" s="144"/>
      <c r="I36" s="144"/>
      <c r="J36" s="125"/>
      <c r="K36" s="143"/>
      <c r="L36" s="143"/>
      <c r="M36" s="146"/>
      <c r="N36" s="144"/>
      <c r="O36" s="147">
        <f t="shared" si="0"/>
        <v>-2220</v>
      </c>
      <c r="P36" s="144"/>
      <c r="Q36" s="125"/>
      <c r="R36" s="143"/>
      <c r="S36" s="148"/>
      <c r="T36" s="139"/>
      <c r="U36" s="125"/>
      <c r="V36" s="125"/>
      <c r="W36" s="125"/>
      <c r="X36" s="125"/>
    </row>
    <row r="37" spans="1:24" x14ac:dyDescent="0.25">
      <c r="A37" s="142"/>
      <c r="B37" s="143"/>
      <c r="C37" s="143"/>
      <c r="D37" s="144"/>
      <c r="E37" s="144"/>
      <c r="F37" s="145"/>
      <c r="G37" s="145"/>
      <c r="H37" s="144"/>
      <c r="I37" s="144"/>
      <c r="J37" s="125"/>
      <c r="K37" s="143"/>
      <c r="L37" s="143"/>
      <c r="M37" s="146"/>
      <c r="N37" s="144"/>
      <c r="O37" s="147">
        <f t="shared" si="0"/>
        <v>-2220</v>
      </c>
      <c r="P37" s="144"/>
      <c r="Q37" s="125"/>
      <c r="R37" s="143"/>
      <c r="S37" s="148"/>
      <c r="T37" s="139"/>
      <c r="U37" s="125"/>
      <c r="V37" s="125"/>
      <c r="W37" s="125"/>
      <c r="X37" s="125"/>
    </row>
    <row r="38" spans="1:24" x14ac:dyDescent="0.25">
      <c r="A38" s="142"/>
      <c r="B38" s="143"/>
      <c r="C38" s="143"/>
      <c r="D38" s="144"/>
      <c r="E38" s="144"/>
      <c r="F38" s="145"/>
      <c r="G38" s="145"/>
      <c r="H38" s="144"/>
      <c r="I38" s="144"/>
      <c r="J38" s="125"/>
      <c r="K38" s="143"/>
      <c r="L38" s="143"/>
      <c r="M38" s="146"/>
      <c r="N38" s="144"/>
      <c r="O38" s="147">
        <f t="shared" si="0"/>
        <v>-2220</v>
      </c>
      <c r="P38" s="144"/>
      <c r="Q38" s="125"/>
      <c r="R38" s="143"/>
      <c r="S38" s="148"/>
      <c r="T38" s="139"/>
      <c r="U38" s="125"/>
      <c r="V38" s="125"/>
      <c r="W38" s="125"/>
      <c r="X38" s="125"/>
    </row>
    <row r="39" spans="1:24" x14ac:dyDescent="0.25">
      <c r="A39" s="142"/>
      <c r="B39" s="143"/>
      <c r="C39" s="143"/>
      <c r="D39" s="144"/>
      <c r="E39" s="144"/>
      <c r="F39" s="145"/>
      <c r="G39" s="145"/>
      <c r="H39" s="144"/>
      <c r="I39" s="144"/>
      <c r="J39" s="125"/>
      <c r="K39" s="143"/>
      <c r="L39" s="143"/>
      <c r="M39" s="146"/>
      <c r="N39" s="144"/>
      <c r="O39" s="147">
        <f t="shared" si="0"/>
        <v>-2220</v>
      </c>
      <c r="P39" s="144"/>
      <c r="Q39" s="125"/>
      <c r="R39" s="143"/>
      <c r="S39" s="148"/>
      <c r="T39" s="125"/>
      <c r="U39" s="125"/>
      <c r="V39" s="125"/>
      <c r="W39" s="125"/>
      <c r="X39" s="125"/>
    </row>
    <row r="40" spans="1:24" x14ac:dyDescent="0.25">
      <c r="A40" s="142"/>
      <c r="B40" s="143"/>
      <c r="C40" s="143"/>
      <c r="D40" s="144"/>
      <c r="E40" s="144"/>
      <c r="F40" s="145"/>
      <c r="G40" s="145"/>
      <c r="H40" s="144"/>
      <c r="I40" s="144"/>
      <c r="J40" s="125"/>
      <c r="K40" s="143"/>
      <c r="L40" s="143"/>
      <c r="M40" s="146"/>
      <c r="N40" s="144"/>
      <c r="O40" s="147">
        <f t="shared" si="0"/>
        <v>-2220</v>
      </c>
      <c r="P40" s="144"/>
      <c r="Q40" s="125"/>
      <c r="R40" s="143"/>
      <c r="S40" s="148"/>
      <c r="T40" s="125"/>
      <c r="U40" s="125"/>
      <c r="V40" s="125"/>
      <c r="W40" s="125"/>
      <c r="X40" s="125"/>
    </row>
    <row r="41" spans="1:24" x14ac:dyDescent="0.25">
      <c r="A41" s="142"/>
      <c r="B41" s="143"/>
      <c r="C41" s="143"/>
      <c r="D41" s="144"/>
      <c r="E41" s="144"/>
      <c r="F41" s="145"/>
      <c r="G41" s="145"/>
      <c r="H41" s="144"/>
      <c r="I41" s="144"/>
      <c r="J41" s="125"/>
      <c r="K41" s="143"/>
      <c r="L41" s="143"/>
      <c r="M41" s="146"/>
      <c r="N41" s="144"/>
      <c r="O41" s="147">
        <f t="shared" si="0"/>
        <v>-2220</v>
      </c>
      <c r="P41" s="144"/>
      <c r="Q41" s="125"/>
      <c r="R41" s="143"/>
      <c r="S41" s="148"/>
      <c r="T41" s="125"/>
      <c r="U41" s="125"/>
      <c r="V41" s="125"/>
      <c r="W41" s="125"/>
      <c r="X41" s="125"/>
    </row>
    <row r="42" spans="1:24" x14ac:dyDescent="0.25">
      <c r="A42" s="142"/>
      <c r="B42" s="143"/>
      <c r="C42" s="143"/>
      <c r="D42" s="144"/>
      <c r="E42" s="144"/>
      <c r="F42" s="145"/>
      <c r="G42" s="145"/>
      <c r="H42" s="144"/>
      <c r="I42" s="144"/>
      <c r="J42" s="125"/>
      <c r="K42" s="143"/>
      <c r="L42" s="143"/>
      <c r="M42" s="146"/>
      <c r="N42" s="144"/>
      <c r="O42" s="147">
        <f t="shared" si="0"/>
        <v>-2220</v>
      </c>
      <c r="P42" s="144"/>
      <c r="Q42" s="125"/>
      <c r="R42" s="143"/>
      <c r="S42" s="148"/>
      <c r="T42" s="125"/>
      <c r="U42" s="125"/>
      <c r="V42" s="125"/>
      <c r="W42" s="125"/>
      <c r="X42" s="125"/>
    </row>
    <row r="43" spans="1:24" x14ac:dyDescent="0.25">
      <c r="A43" s="89"/>
      <c r="B43" s="36"/>
      <c r="C43" s="36"/>
      <c r="D43" s="35"/>
      <c r="E43" s="35"/>
      <c r="F43" s="121"/>
      <c r="G43" s="121"/>
      <c r="H43" s="35"/>
      <c r="I43" s="35"/>
      <c r="K43" s="36"/>
      <c r="L43" s="36"/>
      <c r="M43" s="122"/>
      <c r="N43" s="35"/>
      <c r="O43" s="32">
        <f t="shared" ref="O43:O56" si="1">IF($L$10&gt;0,((M43-$L$11)/$L$10)*1000,0)</f>
        <v>-2220</v>
      </c>
      <c r="P43" s="35"/>
      <c r="R43" s="36"/>
      <c r="S43" s="93"/>
    </row>
    <row r="44" spans="1:24" x14ac:dyDescent="0.25">
      <c r="A44" s="89"/>
      <c r="B44" s="36"/>
      <c r="C44" s="36"/>
      <c r="D44" s="35"/>
      <c r="E44" s="35"/>
      <c r="F44" s="121"/>
      <c r="G44" s="121"/>
      <c r="H44" s="35"/>
      <c r="I44" s="35"/>
      <c r="K44" s="36"/>
      <c r="L44" s="36"/>
      <c r="M44" s="122"/>
      <c r="N44" s="35"/>
      <c r="O44" s="32">
        <f t="shared" si="1"/>
        <v>-2220</v>
      </c>
      <c r="P44" s="35"/>
      <c r="R44" s="36"/>
      <c r="S44" s="93"/>
    </row>
    <row r="45" spans="1:24" x14ac:dyDescent="0.25">
      <c r="A45" s="89"/>
      <c r="B45" s="36"/>
      <c r="C45" s="36"/>
      <c r="D45" s="35"/>
      <c r="E45" s="35"/>
      <c r="F45" s="121"/>
      <c r="G45" s="121"/>
      <c r="H45" s="35"/>
      <c r="I45" s="35"/>
      <c r="K45" s="36"/>
      <c r="L45" s="36"/>
      <c r="M45" s="122"/>
      <c r="N45" s="35"/>
      <c r="O45" s="32">
        <f t="shared" si="1"/>
        <v>-2220</v>
      </c>
      <c r="P45" s="35"/>
      <c r="R45" s="36"/>
      <c r="S45" s="93"/>
    </row>
    <row r="46" spans="1:24" x14ac:dyDescent="0.25">
      <c r="A46" s="89"/>
      <c r="B46" s="36"/>
      <c r="C46" s="36"/>
      <c r="D46" s="35"/>
      <c r="E46" s="35"/>
      <c r="F46" s="121"/>
      <c r="G46" s="121"/>
      <c r="H46" s="35"/>
      <c r="I46" s="35"/>
      <c r="K46" s="36"/>
      <c r="L46" s="36"/>
      <c r="M46" s="122"/>
      <c r="N46" s="35"/>
      <c r="O46" s="32">
        <f t="shared" si="1"/>
        <v>-2220</v>
      </c>
      <c r="P46" s="35"/>
      <c r="R46" s="36"/>
      <c r="S46" s="93"/>
    </row>
    <row r="47" spans="1:24" x14ac:dyDescent="0.25">
      <c r="A47" s="89"/>
      <c r="B47" s="36"/>
      <c r="C47" s="36"/>
      <c r="D47" s="35"/>
      <c r="E47" s="35"/>
      <c r="F47" s="121"/>
      <c r="G47" s="121"/>
      <c r="H47" s="35"/>
      <c r="I47" s="35"/>
      <c r="K47" s="36"/>
      <c r="L47" s="36"/>
      <c r="M47" s="122"/>
      <c r="N47" s="35"/>
      <c r="O47" s="32">
        <f t="shared" si="1"/>
        <v>-2220</v>
      </c>
      <c r="P47" s="35"/>
      <c r="R47" s="36"/>
      <c r="S47" s="93"/>
    </row>
    <row r="48" spans="1:24" x14ac:dyDescent="0.25">
      <c r="A48" s="89"/>
      <c r="B48" s="36"/>
      <c r="C48" s="36"/>
      <c r="D48" s="35"/>
      <c r="E48" s="35"/>
      <c r="F48" s="121"/>
      <c r="G48" s="121"/>
      <c r="H48" s="35"/>
      <c r="I48" s="35"/>
      <c r="K48" s="36"/>
      <c r="L48" s="36"/>
      <c r="M48" s="122"/>
      <c r="N48" s="35"/>
      <c r="O48" s="32">
        <f t="shared" si="1"/>
        <v>-2220</v>
      </c>
      <c r="P48" s="35"/>
      <c r="R48" s="36"/>
      <c r="S48" s="93"/>
    </row>
    <row r="49" spans="1:19" x14ac:dyDescent="0.25">
      <c r="A49" s="89"/>
      <c r="B49" s="36"/>
      <c r="C49" s="36"/>
      <c r="D49" s="35"/>
      <c r="E49" s="35"/>
      <c r="F49" s="121"/>
      <c r="G49" s="121"/>
      <c r="H49" s="35"/>
      <c r="I49" s="35"/>
      <c r="K49" s="36"/>
      <c r="L49" s="36"/>
      <c r="M49" s="122"/>
      <c r="N49" s="35"/>
      <c r="O49" s="32">
        <f t="shared" si="1"/>
        <v>-2220</v>
      </c>
      <c r="P49" s="35"/>
      <c r="R49" s="36"/>
      <c r="S49" s="93"/>
    </row>
    <row r="50" spans="1:19" x14ac:dyDescent="0.25">
      <c r="A50" s="89"/>
      <c r="B50" s="36"/>
      <c r="C50" s="36"/>
      <c r="D50" s="35"/>
      <c r="E50" s="35"/>
      <c r="F50" s="121"/>
      <c r="G50" s="121"/>
      <c r="H50" s="35"/>
      <c r="I50" s="35"/>
      <c r="K50" s="36"/>
      <c r="L50" s="36"/>
      <c r="M50" s="122"/>
      <c r="N50" s="35"/>
      <c r="O50" s="32">
        <f t="shared" si="1"/>
        <v>-2220</v>
      </c>
      <c r="P50" s="35"/>
      <c r="R50" s="36"/>
      <c r="S50" s="93"/>
    </row>
    <row r="51" spans="1:19" x14ac:dyDescent="0.25">
      <c r="A51" s="89"/>
      <c r="B51" s="36"/>
      <c r="C51" s="36"/>
      <c r="D51" s="35"/>
      <c r="E51" s="35"/>
      <c r="F51" s="121"/>
      <c r="G51" s="121"/>
      <c r="H51" s="35"/>
      <c r="I51" s="35"/>
      <c r="K51" s="36"/>
      <c r="L51" s="36"/>
      <c r="M51" s="122"/>
      <c r="N51" s="35"/>
      <c r="O51" s="32">
        <f t="shared" si="1"/>
        <v>-2220</v>
      </c>
      <c r="P51" s="35"/>
      <c r="R51" s="36"/>
      <c r="S51" s="93"/>
    </row>
    <row r="52" spans="1:19" x14ac:dyDescent="0.25">
      <c r="A52" s="89"/>
      <c r="B52" s="36"/>
      <c r="C52" s="36"/>
      <c r="D52" s="35"/>
      <c r="E52" s="35"/>
      <c r="F52" s="121"/>
      <c r="G52" s="121"/>
      <c r="H52" s="35"/>
      <c r="I52" s="35"/>
      <c r="K52" s="36"/>
      <c r="L52" s="36"/>
      <c r="M52" s="122"/>
      <c r="N52" s="35"/>
      <c r="O52" s="32">
        <f t="shared" si="1"/>
        <v>-2220</v>
      </c>
      <c r="P52" s="35"/>
      <c r="R52" s="36"/>
      <c r="S52" s="93"/>
    </row>
    <row r="53" spans="1:19" x14ac:dyDescent="0.25">
      <c r="A53" s="89"/>
      <c r="B53" s="36"/>
      <c r="C53" s="36"/>
      <c r="D53" s="35"/>
      <c r="E53" s="35"/>
      <c r="F53" s="121"/>
      <c r="G53" s="121"/>
      <c r="H53" s="35"/>
      <c r="I53" s="35"/>
      <c r="K53" s="36"/>
      <c r="L53" s="36"/>
      <c r="M53" s="122"/>
      <c r="N53" s="35"/>
      <c r="O53" s="32">
        <f t="shared" si="1"/>
        <v>-2220</v>
      </c>
      <c r="P53" s="35"/>
      <c r="R53" s="36"/>
      <c r="S53" s="93"/>
    </row>
    <row r="54" spans="1:19" x14ac:dyDescent="0.25">
      <c r="A54" s="89"/>
      <c r="B54" s="36"/>
      <c r="C54" s="36"/>
      <c r="D54" s="35"/>
      <c r="E54" s="35"/>
      <c r="F54" s="121"/>
      <c r="G54" s="121"/>
      <c r="H54" s="35"/>
      <c r="I54" s="35"/>
      <c r="K54" s="36"/>
      <c r="L54" s="36"/>
      <c r="M54" s="122"/>
      <c r="N54" s="35"/>
      <c r="O54" s="32">
        <f t="shared" si="1"/>
        <v>-2220</v>
      </c>
      <c r="P54" s="35"/>
      <c r="R54" s="36"/>
      <c r="S54" s="93"/>
    </row>
    <row r="55" spans="1:19" x14ac:dyDescent="0.25">
      <c r="A55" s="89"/>
      <c r="B55" s="36"/>
      <c r="C55" s="36"/>
      <c r="D55" s="35"/>
      <c r="E55" s="35"/>
      <c r="F55" s="121"/>
      <c r="G55" s="121"/>
      <c r="H55" s="35"/>
      <c r="I55" s="35"/>
      <c r="K55" s="36"/>
      <c r="L55" s="36"/>
      <c r="M55" s="122"/>
      <c r="N55" s="35"/>
      <c r="O55" s="32">
        <f t="shared" si="1"/>
        <v>-2220</v>
      </c>
      <c r="P55" s="35"/>
      <c r="R55" s="36"/>
      <c r="S55" s="93"/>
    </row>
    <row r="56" spans="1:19" x14ac:dyDescent="0.25">
      <c r="A56" s="89"/>
      <c r="B56" s="36"/>
      <c r="C56" s="36"/>
      <c r="D56" s="35"/>
      <c r="E56" s="35"/>
      <c r="F56" s="121"/>
      <c r="G56" s="121"/>
      <c r="H56" s="35"/>
      <c r="I56" s="35"/>
      <c r="K56" s="36"/>
      <c r="L56" s="36"/>
      <c r="M56" s="122"/>
      <c r="N56" s="35"/>
      <c r="O56" s="32">
        <f t="shared" si="1"/>
        <v>-2220</v>
      </c>
      <c r="P56" s="35"/>
      <c r="R56" s="36"/>
      <c r="S56" s="93"/>
    </row>
  </sheetData>
  <mergeCells count="7">
    <mergeCell ref="A1:D1"/>
    <mergeCell ref="B7:D7"/>
    <mergeCell ref="B2:C2"/>
    <mergeCell ref="B3:C3"/>
    <mergeCell ref="B4:C4"/>
    <mergeCell ref="B5:C5"/>
    <mergeCell ref="B6:C6"/>
  </mergeCells>
  <phoneticPr fontId="13" type="noConversion"/>
  <dataValidations disablePrompts="1" count="4">
    <dataValidation type="list" allowBlank="1" showInputMessage="1" showErrorMessage="1" sqref="D43:E56" xr:uid="{00000000-0002-0000-0600-000000000000}">
      <formula1>SnowType</formula1>
    </dataValidation>
    <dataValidation type="list" allowBlank="1" showInputMessage="1" showErrorMessage="1" sqref="H43:H56" xr:uid="{00000000-0002-0000-0600-000001000000}">
      <formula1>SnowHardness</formula1>
    </dataValidation>
    <dataValidation type="list" allowBlank="1" showInputMessage="1" showErrorMessage="1" sqref="H17:H42" xr:uid="{6A02F904-3C58-4D62-9391-050939572E54}">
      <formula1>SnowHardness</formula1>
      <formula2>0</formula2>
    </dataValidation>
    <dataValidation type="list" allowBlank="1" showInputMessage="1" showErrorMessage="1" sqref="D17:E42" xr:uid="{CADB826D-97B2-44D5-8347-9F90A2AAD494}">
      <formula1>SnowType</formula1>
      <formula2>0</formula2>
    </dataValidation>
  </dataValidations>
  <pageMargins left="0.7" right="0.7" top="0.75" bottom="0.75" header="0.3" footer="0.3"/>
  <pageSetup paperSize="9" scale="4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7"/>
  <sheetViews>
    <sheetView zoomScale="80" zoomScaleNormal="80" workbookViewId="0">
      <selection activeCell="B5" sqref="B5:C5"/>
    </sheetView>
  </sheetViews>
  <sheetFormatPr defaultColWidth="9.140625" defaultRowHeight="15" x14ac:dyDescent="0.25"/>
  <cols>
    <col min="1" max="1" width="21.7109375" style="39" customWidth="1"/>
    <col min="2" max="4" width="15.7109375" style="39" customWidth="1"/>
    <col min="5" max="16384" width="9.140625" style="39"/>
  </cols>
  <sheetData>
    <row r="1" spans="1:8" ht="32.25" thickBot="1" x14ac:dyDescent="0.55000000000000004">
      <c r="A1" s="181" t="s">
        <v>71</v>
      </c>
      <c r="B1" s="181"/>
      <c r="C1" s="181"/>
      <c r="D1" s="98"/>
    </row>
    <row r="2" spans="1:8" x14ac:dyDescent="0.25">
      <c r="A2" s="23" t="s">
        <v>16</v>
      </c>
      <c r="B2" s="221" t="str">
        <f>CONCATENATE(ExpID,"-",StnNum,"-",StnDay)</f>
        <v>AO2023-I-2-1</v>
      </c>
      <c r="C2" s="221"/>
      <c r="D2" s="63"/>
    </row>
    <row r="3" spans="1:8" x14ac:dyDescent="0.25">
      <c r="A3" s="24" t="s">
        <v>130</v>
      </c>
      <c r="B3" s="222"/>
      <c r="C3" s="222"/>
      <c r="D3" s="67"/>
    </row>
    <row r="4" spans="1:8" x14ac:dyDescent="0.25">
      <c r="A4" s="24" t="s">
        <v>4</v>
      </c>
      <c r="B4" s="202" t="str">
        <f>ObsDate</f>
        <v>09.06.23</v>
      </c>
      <c r="C4" s="202"/>
      <c r="D4" s="67"/>
    </row>
    <row r="5" spans="1:8" x14ac:dyDescent="0.25">
      <c r="A5" s="25" t="s">
        <v>105</v>
      </c>
      <c r="B5" s="223"/>
      <c r="C5" s="223"/>
      <c r="D5" s="67"/>
    </row>
    <row r="6" spans="1:8" x14ac:dyDescent="0.25">
      <c r="A6" s="25" t="s">
        <v>119</v>
      </c>
      <c r="B6" s="232"/>
      <c r="C6" s="232"/>
      <c r="D6" s="67"/>
      <c r="E6" s="64"/>
      <c r="F6" s="64"/>
      <c r="G6" s="66"/>
      <c r="H6" s="65"/>
    </row>
    <row r="7" spans="1:8" ht="30" customHeight="1" thickBot="1" x14ac:dyDescent="0.3">
      <c r="A7" s="26" t="s">
        <v>15</v>
      </c>
      <c r="B7" s="218"/>
      <c r="C7" s="219"/>
      <c r="D7" s="220"/>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RowHeight="15" x14ac:dyDescent="0.25"/>
  <cols>
    <col min="1" max="1" width="22.7109375" bestFit="1" customWidth="1"/>
    <col min="2" max="2" width="24.7109375" bestFit="1" customWidth="1"/>
    <col min="3" max="3" width="62.28515625" bestFit="1" customWidth="1"/>
    <col min="4" max="4" width="14.42578125" bestFit="1" customWidth="1"/>
    <col min="5" max="5" width="12.42578125" customWidth="1"/>
    <col min="7" max="15" width="9.140625" style="2"/>
  </cols>
  <sheetData>
    <row r="1" spans="1:15" s="1" customFormat="1" x14ac:dyDescent="0.25">
      <c r="A1" s="3" t="s">
        <v>17</v>
      </c>
      <c r="B1" s="3" t="s">
        <v>18</v>
      </c>
      <c r="C1" s="3" t="s">
        <v>11</v>
      </c>
      <c r="D1" s="3" t="s">
        <v>83</v>
      </c>
      <c r="E1" s="3" t="s">
        <v>91</v>
      </c>
      <c r="F1" s="3" t="s">
        <v>156</v>
      </c>
      <c r="G1" s="22"/>
      <c r="H1" s="22"/>
      <c r="I1" s="22"/>
      <c r="J1" s="22"/>
      <c r="K1" s="2"/>
      <c r="L1" s="2"/>
      <c r="M1" s="2"/>
      <c r="N1" s="2"/>
      <c r="O1" s="2"/>
    </row>
    <row r="2" spans="1:15" x14ac:dyDescent="0.25">
      <c r="A2" t="s">
        <v>43</v>
      </c>
      <c r="B2" t="s">
        <v>20</v>
      </c>
      <c r="C2" t="s">
        <v>12</v>
      </c>
      <c r="D2" t="s">
        <v>84</v>
      </c>
      <c r="E2" t="s">
        <v>92</v>
      </c>
      <c r="F2" t="s">
        <v>157</v>
      </c>
    </row>
    <row r="3" spans="1:15" x14ac:dyDescent="0.25">
      <c r="A3" t="s">
        <v>44</v>
      </c>
      <c r="B3" t="s">
        <v>21</v>
      </c>
      <c r="C3" t="s">
        <v>22</v>
      </c>
      <c r="D3" t="s">
        <v>85</v>
      </c>
      <c r="E3" t="s">
        <v>93</v>
      </c>
      <c r="F3" t="s">
        <v>158</v>
      </c>
    </row>
    <row r="4" spans="1:15" x14ac:dyDescent="0.25">
      <c r="A4" t="s">
        <v>45</v>
      </c>
      <c r="B4" t="s">
        <v>10</v>
      </c>
      <c r="C4" t="s">
        <v>23</v>
      </c>
      <c r="D4" t="s">
        <v>86</v>
      </c>
      <c r="E4" t="s">
        <v>94</v>
      </c>
    </row>
    <row r="5" spans="1:15" x14ac:dyDescent="0.25">
      <c r="A5" t="s">
        <v>46</v>
      </c>
      <c r="B5" t="s">
        <v>24</v>
      </c>
      <c r="C5" t="s">
        <v>25</v>
      </c>
      <c r="D5" t="s">
        <v>87</v>
      </c>
      <c r="E5" t="s">
        <v>95</v>
      </c>
    </row>
    <row r="6" spans="1:15" x14ac:dyDescent="0.25">
      <c r="A6" t="s">
        <v>47</v>
      </c>
      <c r="C6" t="s">
        <v>26</v>
      </c>
      <c r="D6" t="s">
        <v>88</v>
      </c>
      <c r="E6" t="s">
        <v>96</v>
      </c>
    </row>
    <row r="7" spans="1:15" x14ac:dyDescent="0.25">
      <c r="A7" t="s">
        <v>48</v>
      </c>
      <c r="C7" t="s">
        <v>27</v>
      </c>
      <c r="D7" t="s">
        <v>89</v>
      </c>
      <c r="E7" t="s">
        <v>97</v>
      </c>
    </row>
    <row r="8" spans="1:15" x14ac:dyDescent="0.25">
      <c r="A8" t="s">
        <v>49</v>
      </c>
      <c r="C8" t="s">
        <v>28</v>
      </c>
      <c r="D8" t="s">
        <v>90</v>
      </c>
      <c r="E8" t="s">
        <v>98</v>
      </c>
    </row>
    <row r="9" spans="1:15" x14ac:dyDescent="0.25">
      <c r="A9" t="s">
        <v>50</v>
      </c>
      <c r="C9" t="s">
        <v>29</v>
      </c>
      <c r="D9" t="s">
        <v>104</v>
      </c>
      <c r="E9" t="s">
        <v>99</v>
      </c>
    </row>
    <row r="10" spans="1:15" x14ac:dyDescent="0.25">
      <c r="A10" t="s">
        <v>51</v>
      </c>
      <c r="C10" t="s">
        <v>30</v>
      </c>
      <c r="E10" t="s">
        <v>100</v>
      </c>
    </row>
    <row r="11" spans="1:15" x14ac:dyDescent="0.25">
      <c r="A11" t="s">
        <v>52</v>
      </c>
      <c r="C11" t="s">
        <v>31</v>
      </c>
      <c r="E11" t="s">
        <v>101</v>
      </c>
    </row>
    <row r="12" spans="1:15" x14ac:dyDescent="0.25">
      <c r="A12" t="s">
        <v>53</v>
      </c>
      <c r="C12" t="s">
        <v>32</v>
      </c>
      <c r="E12" t="s">
        <v>102</v>
      </c>
    </row>
    <row r="13" spans="1:15" x14ac:dyDescent="0.25">
      <c r="A13" t="s">
        <v>54</v>
      </c>
      <c r="C13" t="s">
        <v>33</v>
      </c>
      <c r="E13" t="s">
        <v>103</v>
      </c>
    </row>
    <row r="14" spans="1:15" x14ac:dyDescent="0.25">
      <c r="A14" s="1" t="s">
        <v>5</v>
      </c>
      <c r="C14" t="s">
        <v>34</v>
      </c>
    </row>
    <row r="15" spans="1:15" x14ac:dyDescent="0.25">
      <c r="A15" s="1" t="s">
        <v>66</v>
      </c>
      <c r="C15" t="s">
        <v>35</v>
      </c>
    </row>
    <row r="16" spans="1:15" x14ac:dyDescent="0.25">
      <c r="A16" s="1" t="s">
        <v>65</v>
      </c>
      <c r="C16" t="s">
        <v>36</v>
      </c>
    </row>
    <row r="17" spans="1:6" x14ac:dyDescent="0.25">
      <c r="A17" t="s">
        <v>55</v>
      </c>
    </row>
    <row r="18" spans="1:6" x14ac:dyDescent="0.25">
      <c r="A18" t="s">
        <v>56</v>
      </c>
    </row>
    <row r="19" spans="1:6" x14ac:dyDescent="0.25">
      <c r="A19" t="s">
        <v>57</v>
      </c>
    </row>
    <row r="20" spans="1:6" x14ac:dyDescent="0.25">
      <c r="A20" t="s">
        <v>58</v>
      </c>
    </row>
    <row r="21" spans="1:6" x14ac:dyDescent="0.25">
      <c r="A21" t="s">
        <v>59</v>
      </c>
    </row>
    <row r="22" spans="1:6" x14ac:dyDescent="0.25">
      <c r="A22" t="s">
        <v>60</v>
      </c>
    </row>
    <row r="23" spans="1:6" x14ac:dyDescent="0.25">
      <c r="A23" t="s">
        <v>61</v>
      </c>
    </row>
    <row r="24" spans="1:6" x14ac:dyDescent="0.25">
      <c r="A24" t="s">
        <v>62</v>
      </c>
    </row>
    <row r="25" spans="1:6" x14ac:dyDescent="0.25">
      <c r="A25" t="s">
        <v>63</v>
      </c>
    </row>
    <row r="26" spans="1:6" x14ac:dyDescent="0.25">
      <c r="A26" t="s">
        <v>64</v>
      </c>
    </row>
    <row r="27" spans="1:6" x14ac:dyDescent="0.25">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Station Overview</vt:lpstr>
      <vt:lpstr>Salinity Core</vt:lpstr>
      <vt:lpstr>Temperature Core</vt:lpstr>
      <vt:lpstr>Chemistry core</vt:lpstr>
      <vt:lpstr>Density Core</vt:lpstr>
      <vt:lpstr>Archive Core</vt:lpstr>
      <vt:lpstr>Backup core</vt:lpstr>
      <vt:lpstr>Snow Pit</vt:lpstr>
      <vt:lpstr>CTD</vt:lpstr>
      <vt:lpstr>Lists</vt:lpstr>
      <vt:lpstr>asdfasdf</vt:lpstr>
      <vt:lpstr>ExpID</vt:lpstr>
      <vt:lpstr>GeneralConditions</vt:lpstr>
      <vt:lpstr>ObsDate</vt:lpstr>
      <vt:lpstr>'Archive Core'!Print_Area</vt:lpstr>
      <vt:lpstr>'Backup core'!Print_Area</vt:lpstr>
      <vt:lpstr>'Chemistry core'!Print_Area</vt:lpstr>
      <vt:lpstr>CTD!Print_Area</vt:lpstr>
      <vt:lpstr>'Density Core'!Print_Area</vt:lpstr>
      <vt:lpstr>'Salinity Core'!Print_Area</vt:lpstr>
      <vt:lpstr>'Snow Pit'!Print_Area</vt:lpstr>
      <vt:lpstr>'Station Overview'!Print_Area</vt:lpstr>
      <vt:lpstr>'Temperature Core'!Print_Area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2026-05-27T18:45:37Z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