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evsalg001\Documents\MATLAB\Density parametrization\SUDARCO\Data\"/>
    </mc:Choice>
  </mc:AlternateContent>
  <xr:revisionPtr revIDLastSave="0" documentId="13_ncr:1_{88118B60-B0C4-46E2-96B7-CA5967F82868}" xr6:coauthVersionLast="47" xr6:coauthVersionMax="47" xr10:uidLastSave="{00000000-0000-0000-0000-000000000000}"/>
  <bookViews>
    <workbookView xWindow="-105" yWindow="0" windowWidth="26010" windowHeight="20985" tabRatio="500" activeTab="5" xr2:uid="{00000000-000D-0000-FFFF-FFFF00000000}"/>
  </bookViews>
  <sheets>
    <sheet name="Station Overview" sheetId="1" r:id="rId1"/>
    <sheet name="GEM-2" sheetId="2" r:id="rId2"/>
    <sheet name="Thickness Drilling" sheetId="3" r:id="rId3"/>
    <sheet name="Salinity Core" sheetId="4" r:id="rId4"/>
    <sheet name="Temperature Core" sheetId="5" r:id="rId5"/>
    <sheet name="Density Core" sheetId="14" r:id="rId6"/>
    <sheet name="Chemistry Core" sheetId="12" r:id="rId7"/>
    <sheet name="Snow Pit" sheetId="6" r:id="rId8"/>
    <sheet name="Lists" sheetId="11" r:id="rId9"/>
  </sheets>
  <externalReferences>
    <externalReference r:id="rId10"/>
    <externalReference r:id="rId11"/>
  </externalReferences>
  <definedNames>
    <definedName name="asdfasdf">'Station Overview'!$B$16</definedName>
    <definedName name="EM_IDs">OFFSET([1]Lists!$A$14:$A$26,0,0,[2]StationOverview!$J$8)</definedName>
    <definedName name="ExpID" localSheetId="5">'[1]Station Overview'!$B$4</definedName>
    <definedName name="ExpID">'Station Overview'!$B$4</definedName>
    <definedName name="GeneralConditions" localSheetId="5">[1]Lists!$C$2:$C$16</definedName>
    <definedName name="GeneralConditions">Lists!$C$2:$C$16</definedName>
    <definedName name="ObsDate" localSheetId="5">'[1]Station Overview'!$B$17</definedName>
    <definedName name="ObsDate">'Station Overview'!$B$17</definedName>
    <definedName name="_xlnm.Print_Area" localSheetId="6">'Chemistry Core'!$A$1:$N$41</definedName>
    <definedName name="_xlnm.Print_Area" localSheetId="5">'Density Core'!$A$1:$I$36</definedName>
    <definedName name="_xlnm.Print_Area" localSheetId="1">'GEM-2'!$A$1:$K$27</definedName>
    <definedName name="_xlnm.Print_Area" localSheetId="3">'Salinity Core'!$A$1:$N$41</definedName>
    <definedName name="_xlnm.Print_Area" localSheetId="7">'Snow Pit'!$A$1:$S$48</definedName>
    <definedName name="_xlnm.Print_Area" localSheetId="0">'Station Overview'!$A$1:$F$37</definedName>
    <definedName name="_xlnm.Print_Area" localSheetId="4">'Temperature Core'!$A$1:$H$46</definedName>
    <definedName name="_xlnm.Print_Area" localSheetId="2">'Thickness Drilling'!$A$1:$H$26</definedName>
    <definedName name="SnowHardness" localSheetId="5">[1]Lists!$D$2:$D$9</definedName>
    <definedName name="SnowHardness">Lists!$D$2:$D$9</definedName>
    <definedName name="SnowType" localSheetId="5">[1]Lists!$E$2:$E$13</definedName>
    <definedName name="SnowType">Lists!$E$2:$E$13</definedName>
    <definedName name="StationTypes" localSheetId="5">[1]Lists!$B$2:$B$5</definedName>
    <definedName name="StationTypes">Lists!$B$2:$B$5</definedName>
    <definedName name="StnDay" localSheetId="5">'[1]Station Overview'!$B$6</definedName>
    <definedName name="StnDay">'Station Overview'!$B$6</definedName>
    <definedName name="StnNum" localSheetId="5">'[1]Station Overview'!$B$5</definedName>
    <definedName name="StnNum">'Station Overview'!$B$5</definedName>
    <definedName name="TimeZones" localSheetId="5">[1]Lists!$A$2:$A$26</definedName>
    <definedName name="TimeZones">Lists!$A$2:$A$26</definedName>
    <definedName name="Yes_No" localSheetId="5">[1]Lists!$F$2:$F$3</definedName>
    <definedName name="Yes_No">Lists!$F$2:$F$3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G14" i="14" l="1"/>
  <c r="G13" i="14"/>
  <c r="G83" i="14"/>
  <c r="G82" i="14"/>
  <c r="G81" i="14"/>
  <c r="G80" i="14"/>
  <c r="G79" i="14"/>
  <c r="G78" i="14"/>
  <c r="G77" i="14"/>
  <c r="G76" i="14"/>
  <c r="G75" i="14"/>
  <c r="G74" i="14"/>
  <c r="G73" i="14"/>
  <c r="G72" i="14"/>
  <c r="G71" i="14"/>
  <c r="G70" i="14"/>
  <c r="G69" i="14"/>
  <c r="G68" i="14"/>
  <c r="G67" i="14"/>
  <c r="G66" i="14"/>
  <c r="G65" i="14"/>
  <c r="G64" i="14"/>
  <c r="G63" i="14"/>
  <c r="G62" i="14"/>
  <c r="G61" i="14"/>
  <c r="E78" i="14"/>
  <c r="H83" i="14"/>
  <c r="H82" i="14"/>
  <c r="H81" i="14"/>
  <c r="H80" i="14"/>
  <c r="H79" i="14"/>
  <c r="H78" i="14"/>
  <c r="H77" i="14"/>
  <c r="H76" i="14"/>
  <c r="H75" i="14"/>
  <c r="H74" i="14"/>
  <c r="H73" i="14"/>
  <c r="H72" i="14"/>
  <c r="H71" i="14"/>
  <c r="H70" i="14"/>
  <c r="H69" i="14"/>
  <c r="H68" i="14"/>
  <c r="H67" i="14"/>
  <c r="H66" i="14"/>
  <c r="H65" i="14"/>
  <c r="H64" i="14"/>
  <c r="H63" i="14"/>
  <c r="H62" i="14"/>
  <c r="H61" i="14"/>
  <c r="H60" i="14"/>
  <c r="G60" i="14"/>
  <c r="G59" i="14"/>
  <c r="G58" i="14"/>
  <c r="G57" i="14"/>
  <c r="G56" i="14"/>
  <c r="G55" i="14"/>
  <c r="G54" i="14"/>
  <c r="G53" i="14"/>
  <c r="G52" i="14"/>
  <c r="G51" i="14"/>
  <c r="G50" i="14"/>
  <c r="G49" i="14"/>
  <c r="G48" i="14"/>
  <c r="G47" i="14"/>
  <c r="G46" i="14"/>
  <c r="G45" i="14"/>
  <c r="G44" i="14"/>
  <c r="G43" i="14"/>
  <c r="G42" i="14"/>
  <c r="G41" i="14"/>
  <c r="G40" i="14"/>
  <c r="G39" i="14"/>
  <c r="G38" i="14"/>
  <c r="G37" i="14"/>
  <c r="G36" i="14"/>
  <c r="G35" i="14"/>
  <c r="G34" i="14"/>
  <c r="G33" i="14"/>
  <c r="G32" i="14"/>
  <c r="G31" i="14"/>
  <c r="G30" i="14"/>
  <c r="G29" i="14"/>
  <c r="G28" i="14"/>
  <c r="G27" i="14"/>
  <c r="G26" i="14"/>
  <c r="G25" i="14"/>
  <c r="G24" i="14"/>
  <c r="G23" i="14"/>
  <c r="H59" i="14"/>
  <c r="H58" i="14"/>
  <c r="H57" i="14"/>
  <c r="H56" i="14"/>
  <c r="H55" i="14"/>
  <c r="H54" i="14"/>
  <c r="H53" i="14"/>
  <c r="H52" i="14"/>
  <c r="H51" i="14"/>
  <c r="H50" i="14"/>
  <c r="H49" i="14"/>
  <c r="H48" i="14"/>
  <c r="H47" i="14"/>
  <c r="H46" i="14"/>
  <c r="H45" i="14"/>
  <c r="H44" i="14"/>
  <c r="E44" i="14"/>
  <c r="H43" i="14"/>
  <c r="H42" i="14"/>
  <c r="H41" i="14"/>
  <c r="H40" i="14" l="1"/>
  <c r="H39" i="14"/>
  <c r="H38" i="14"/>
  <c r="H37" i="14"/>
  <c r="H36" i="14"/>
  <c r="H35" i="14"/>
  <c r="H34" i="14"/>
  <c r="H33" i="14"/>
  <c r="H32" i="14"/>
  <c r="H31" i="14"/>
  <c r="H30" i="14"/>
  <c r="H29" i="14"/>
  <c r="H28" i="14"/>
  <c r="H27" i="14"/>
  <c r="H26" i="14"/>
  <c r="H25" i="14"/>
  <c r="H23" i="14"/>
  <c r="B18" i="14"/>
  <c r="B4" i="12" l="1"/>
  <c r="B2" i="12"/>
  <c r="O56" i="6"/>
  <c r="O55" i="6"/>
  <c r="O54" i="6"/>
  <c r="O53" i="6"/>
  <c r="O52" i="6"/>
  <c r="O51" i="6"/>
  <c r="O50" i="6"/>
  <c r="O49" i="6"/>
  <c r="O48" i="6"/>
  <c r="O47" i="6"/>
  <c r="O46" i="6"/>
  <c r="O45" i="6"/>
  <c r="O44" i="6"/>
  <c r="O43" i="6"/>
  <c r="O42" i="6"/>
  <c r="O41" i="6"/>
  <c r="O40" i="6"/>
  <c r="O39" i="6"/>
  <c r="O38" i="6"/>
  <c r="O37" i="6"/>
  <c r="O36" i="6"/>
  <c r="O35" i="6"/>
  <c r="O34" i="6"/>
  <c r="O33" i="6"/>
  <c r="O32" i="6"/>
  <c r="O31" i="6"/>
  <c r="O30" i="6"/>
  <c r="O29" i="6"/>
  <c r="O28" i="6"/>
  <c r="O27" i="6"/>
  <c r="O26" i="6"/>
  <c r="O25" i="6"/>
  <c r="O24" i="6"/>
  <c r="O23" i="6"/>
  <c r="O22" i="6"/>
  <c r="O21" i="6"/>
  <c r="O20" i="6"/>
  <c r="O19" i="6"/>
  <c r="O18" i="6"/>
  <c r="O17" i="6"/>
  <c r="B4" i="6"/>
  <c r="B2" i="6"/>
  <c r="B4" i="5"/>
  <c r="B2" i="5"/>
  <c r="B12" i="4"/>
  <c r="B13" i="4" s="1"/>
  <c r="B10" i="4"/>
  <c r="B11" i="4" s="1"/>
  <c r="B4" i="4"/>
  <c r="B2" i="4"/>
  <c r="G15" i="3"/>
  <c r="E15" i="3"/>
  <c r="F15" i="3" s="1"/>
  <c r="C15" i="3"/>
  <c r="E14" i="3"/>
  <c r="G14" i="3" s="1"/>
  <c r="C14" i="3"/>
  <c r="G13" i="3"/>
  <c r="F13" i="3"/>
  <c r="E13" i="3"/>
  <c r="C13" i="3"/>
  <c r="G12" i="3"/>
  <c r="E12" i="3"/>
  <c r="F12" i="3" s="1"/>
  <c r="C12" i="3"/>
  <c r="E11" i="3"/>
  <c r="G11" i="3" s="1"/>
  <c r="C11" i="3"/>
  <c r="B4" i="3"/>
  <c r="B2" i="3"/>
  <c r="B4" i="2"/>
  <c r="B2" i="2"/>
  <c r="F11" i="3" l="1"/>
  <c r="F14" i="3"/>
</calcChain>
</file>

<file path=xl/sharedStrings.xml><?xml version="1.0" encoding="utf-8"?>
<sst xmlns="http://schemas.openxmlformats.org/spreadsheetml/2006/main" count="542" uniqueCount="372">
  <si>
    <t>Ice Station Daily Report</t>
  </si>
  <si>
    <t>Ice Station Name</t>
  </si>
  <si>
    <t>Expedition ID</t>
  </si>
  <si>
    <t>AO2023-I</t>
  </si>
  <si>
    <t>Station number</t>
  </si>
  <si>
    <t>Day at station</t>
  </si>
  <si>
    <t>Observer</t>
  </si>
  <si>
    <t>Dmitry Divine, Cora Hoppe</t>
  </si>
  <si>
    <t>Station Description</t>
  </si>
  <si>
    <t>Station type</t>
  </si>
  <si>
    <t>Ice floe, single-day station</t>
  </si>
  <si>
    <t>General conditions</t>
  </si>
  <si>
    <t>Cold, snow (winter/spring conditions)</t>
  </si>
  <si>
    <t>Comments</t>
  </si>
  <si>
    <t>Ice station on large (km scale and thick ice floe of multiyear ice. A high fraction of deformed ice, refrozen and snow covered cracks. Level ice areas are 2.5 to 3 m thick. Thick snow cover some 30-40 cm on average. Coring site mark 104 personal tracker; GEM-2 calibration site mark 107, 108 personal tracker</t>
  </si>
  <si>
    <t>Starting Position</t>
  </si>
  <si>
    <t>Starting Date</t>
  </si>
  <si>
    <t>13.06.2023</t>
  </si>
  <si>
    <t>Starting Time</t>
  </si>
  <si>
    <t>note that coordinates and time from the KPH activity log per 21:20 UTC  12.06.2023; the actual work on the ice conducted on 13.06.2023</t>
  </si>
  <si>
    <t>Degrees</t>
  </si>
  <si>
    <t>Minutes</t>
  </si>
  <si>
    <t>Seconds</t>
  </si>
  <si>
    <t>Starting Latitude</t>
  </si>
  <si>
    <t>Starting Longitude</t>
  </si>
  <si>
    <t>Ending Position</t>
  </si>
  <si>
    <t>Ending Date</t>
  </si>
  <si>
    <t>Ending Time</t>
  </si>
  <si>
    <t>Ending Latitude</t>
  </si>
  <si>
    <t>Ending Longitude</t>
  </si>
  <si>
    <t>Time zone used</t>
  </si>
  <si>
    <t>UTC</t>
  </si>
  <si>
    <t>Exp. ID</t>
  </si>
  <si>
    <t>Stn. Number</t>
  </si>
  <si>
    <t>Explanation</t>
  </si>
  <si>
    <t>Associate with station</t>
  </si>
  <si>
    <t>GEM-2</t>
  </si>
  <si>
    <t>Station</t>
  </si>
  <si>
    <t>Site</t>
  </si>
  <si>
    <t>Date</t>
  </si>
  <si>
    <t>Time</t>
  </si>
  <si>
    <t>DD, CH</t>
  </si>
  <si>
    <t>EM-31 File Name</t>
  </si>
  <si>
    <t xml:space="preserve">\2023-06-13_Ice_Station_3\Transect_Icefloe_station3\GEM-2\203-d-13Jn-276_GEM.gbf; 204-d-13Jn-0b4_GEM.gbf; 205-d-13Jn-1d1_GEM.gbf (calibration file). More data in GEM2 data processing folders. Note also the GPX file from "Station tracker" logged to enable sea ice drift correction later. </t>
  </si>
  <si>
    <t>GPS Track File Name</t>
  </si>
  <si>
    <t>Instrument ID</t>
  </si>
  <si>
    <t>GEM-2 NP 531</t>
  </si>
  <si>
    <t>General comments</t>
  </si>
  <si>
    <t>see also associated Magnaprobe data file from the transect at C:\Users\dima\Documents\reiser\Polhavet2023June\2023-06-13_Ice_Station_3\Transect_Icefloe_IceStation3\Magnaprobe\AO2023-I-Station3_snow_thickness_transect_cleaned.xlsx</t>
  </si>
  <si>
    <t>Distance [m]</t>
  </si>
  <si>
    <t>EM count Start</t>
  </si>
  <si>
    <t>EM count Stop</t>
  </si>
  <si>
    <t>Snow thickness [cm]</t>
  </si>
  <si>
    <t>EM value</t>
  </si>
  <si>
    <t>Thickness bottom to water [cm]</t>
  </si>
  <si>
    <t>Thickness bottom to ice surface [cm]</t>
  </si>
  <si>
    <t>Thickness bottom to snow surface [cm]</t>
  </si>
  <si>
    <t>Freeboard [cm]</t>
  </si>
  <si>
    <t>Ice thickness [cm]</t>
  </si>
  <si>
    <t xml:space="preserve">Personal tracker mark 105;  Transect start </t>
  </si>
  <si>
    <t>mark 1 turn point</t>
  </si>
  <si>
    <t>mark 2 Ridge crossing</t>
  </si>
  <si>
    <t>mark 3 rubble field</t>
  </si>
  <si>
    <t>mark 4 turn point</t>
  </si>
  <si>
    <t>interruption of transect due to bear; new survey started afterward</t>
  </si>
  <si>
    <t>mark 1 ridge crossing</t>
  </si>
  <si>
    <t>mark 2 ridge crossing</t>
  </si>
  <si>
    <t>mark 3 ridge crossing</t>
  </si>
  <si>
    <t>mark 4 Coring site</t>
  </si>
  <si>
    <t>mark 5 Coring site</t>
  </si>
  <si>
    <t xml:space="preserve">mark 6 turning point </t>
  </si>
  <si>
    <t xml:space="preserve">Personal tracker mark 106;  Transect end </t>
  </si>
  <si>
    <t>Thickness Drillings</t>
  </si>
  <si>
    <t>DD,CH</t>
  </si>
  <si>
    <t>Link to other data</t>
  </si>
  <si>
    <t>Callibration drillings for GEM-2;  difficult to measure water level due to thick snow pack. Did not have time to remove the snow around the drillhole due to bear emergence in the area. Offset of 3.5 cm subtracted from the measurements made.</t>
  </si>
  <si>
    <t>GEM-2 calibration site mark 107, 108 personal tracker</t>
  </si>
  <si>
    <t>Snow Thickness [cm]</t>
  </si>
  <si>
    <t>Ice Thickness [cm]</t>
  </si>
  <si>
    <t>point 1</t>
  </si>
  <si>
    <t>point 2</t>
  </si>
  <si>
    <t>point 3</t>
  </si>
  <si>
    <t>point 4</t>
  </si>
  <si>
    <t xml:space="preserve">point 5; </t>
  </si>
  <si>
    <t xml:space="preserve">snow thickness measured with a snow probe for all points. </t>
  </si>
  <si>
    <t>Salinity Core</t>
  </si>
  <si>
    <t>communal coring site</t>
  </si>
  <si>
    <t>DD</t>
  </si>
  <si>
    <t>Coring site some 100 away of the ship on thick level ice; Highly variable snow thickness; Coring site mark 104 personal tracker Core 1 salinity</t>
  </si>
  <si>
    <t>snow 10, 8, 12, 7 cm; average 9 cm used</t>
  </si>
  <si>
    <t>Thickness:</t>
  </si>
  <si>
    <t>Bottom to Snow surface [cm]</t>
  </si>
  <si>
    <t>Total core length [cm]</t>
  </si>
  <si>
    <t>Bottom to Ice surface [cm]</t>
  </si>
  <si>
    <t># of pieces</t>
  </si>
  <si>
    <t>Bottom to Water [cm]</t>
  </si>
  <si>
    <t>Sum length of pieces</t>
  </si>
  <si>
    <t>Box Number</t>
  </si>
  <si>
    <t>Top [cm]</t>
  </si>
  <si>
    <t>Bottom [cm]</t>
  </si>
  <si>
    <t>Salinity</t>
  </si>
  <si>
    <t>Conductivity [mS/cm]</t>
  </si>
  <si>
    <t>Sample Temperature [°C]</t>
  </si>
  <si>
    <t>Section Length [cm]</t>
  </si>
  <si>
    <t>Density [kg/m³]</t>
  </si>
  <si>
    <t>Core piece section #</t>
  </si>
  <si>
    <t>At depth [cm]</t>
  </si>
  <si>
    <t>Lenght og piece [cm]</t>
  </si>
  <si>
    <t>B01</t>
  </si>
  <si>
    <t>B02</t>
  </si>
  <si>
    <t>B03</t>
  </si>
  <si>
    <t>B04</t>
  </si>
  <si>
    <t>B05</t>
  </si>
  <si>
    <t>B06</t>
  </si>
  <si>
    <t>B07</t>
  </si>
  <si>
    <t>B08</t>
  </si>
  <si>
    <t>B09</t>
  </si>
  <si>
    <t>B10</t>
  </si>
  <si>
    <t>sec1 ends</t>
  </si>
  <si>
    <t>B11</t>
  </si>
  <si>
    <t>B12</t>
  </si>
  <si>
    <t>B13</t>
  </si>
  <si>
    <t>B14</t>
  </si>
  <si>
    <t>B15</t>
  </si>
  <si>
    <t>B16</t>
  </si>
  <si>
    <t>sec2 ends</t>
  </si>
  <si>
    <t>B17</t>
  </si>
  <si>
    <t>B18</t>
  </si>
  <si>
    <t>B19</t>
  </si>
  <si>
    <t>B20</t>
  </si>
  <si>
    <t>B21</t>
  </si>
  <si>
    <t>sec3 ends</t>
  </si>
  <si>
    <t>B22</t>
  </si>
  <si>
    <t>B23</t>
  </si>
  <si>
    <t>B24</t>
  </si>
  <si>
    <t>B25</t>
  </si>
  <si>
    <t>B26</t>
  </si>
  <si>
    <t>B27</t>
  </si>
  <si>
    <t>A11</t>
  </si>
  <si>
    <t>bottom segment sliced already onboard the same evening</t>
  </si>
  <si>
    <t>A12</t>
  </si>
  <si>
    <t>A13</t>
  </si>
  <si>
    <t>A14</t>
  </si>
  <si>
    <t>A15</t>
  </si>
  <si>
    <t>A16</t>
  </si>
  <si>
    <t>A17</t>
  </si>
  <si>
    <t>Temperature Core</t>
  </si>
  <si>
    <t>Coring site</t>
  </si>
  <si>
    <t>Core Kept for Texture Analasis?</t>
  </si>
  <si>
    <t>No</t>
  </si>
  <si>
    <t>Core 2 Temperature, packed as Chemistry core. Core packed in 4 sections of 90, 96.5, 90 and 27 cm long. See also "Snow Pit" for snow temperature profile</t>
  </si>
  <si>
    <t>Temperatures:</t>
  </si>
  <si>
    <t>Air temp 1m [°C]</t>
  </si>
  <si>
    <t>snow was partly removed during coring</t>
  </si>
  <si>
    <t>Surface temp [°C]</t>
  </si>
  <si>
    <t>Snow-Ice temp [°C]</t>
  </si>
  <si>
    <t>Water temp [°C]</t>
  </si>
  <si>
    <t>measured before coring</t>
  </si>
  <si>
    <t>Ice depth (from top) [cm]</t>
  </si>
  <si>
    <t>Temperature [°C]</t>
  </si>
  <si>
    <t>Depth at top [cm]</t>
  </si>
  <si>
    <t>Depth at bottom [cm]</t>
  </si>
  <si>
    <t>Lenght of piece [cm]</t>
  </si>
  <si>
    <t>top</t>
  </si>
  <si>
    <t>break at 56</t>
  </si>
  <si>
    <t>break at 16</t>
  </si>
  <si>
    <t>2 cm skeletal layer</t>
  </si>
  <si>
    <t>end of sec1</t>
  </si>
  <si>
    <t>end of sec2</t>
  </si>
  <si>
    <t>end of sec3</t>
  </si>
  <si>
    <t>end of sec4</t>
  </si>
  <si>
    <t>core bottom</t>
  </si>
  <si>
    <t>Snow Pits</t>
  </si>
  <si>
    <t>9:55 – 11:08 UTC</t>
  </si>
  <si>
    <t>Cora Hoppe</t>
  </si>
  <si>
    <t>Density:</t>
  </si>
  <si>
    <t>Tube volume  [cm³]</t>
  </si>
  <si>
    <t>Air/snow temp [°C]</t>
  </si>
  <si>
    <t>Cylinder weight [g]</t>
  </si>
  <si>
    <t>Snow/ice temp [°C]</t>
  </si>
  <si>
    <t>Water surface temp [°C]</t>
  </si>
  <si>
    <t>Snow Thickness:</t>
  </si>
  <si>
    <t>[All distances measured from snow/ice interface]</t>
  </si>
  <si>
    <t>Temperature:</t>
  </si>
  <si>
    <t xml:space="preserve">Salinity : </t>
  </si>
  <si>
    <t>Layer</t>
  </si>
  <si>
    <t>Type 1</t>
  </si>
  <si>
    <t>Type 2</t>
  </si>
  <si>
    <t>Diameter min [mm]</t>
  </si>
  <si>
    <t>Diameter max [mm]</t>
  </si>
  <si>
    <t>Hardness</t>
  </si>
  <si>
    <t>Depth Top [cm]</t>
  </si>
  <si>
    <t>Depth Bottom [cm]</t>
  </si>
  <si>
    <t>Original weight [g]</t>
  </si>
  <si>
    <t>Epsilon value</t>
  </si>
  <si>
    <t>Snow Density [g/cm³]</t>
  </si>
  <si>
    <t>Moisture</t>
  </si>
  <si>
    <t>Depth [cm]</t>
  </si>
  <si>
    <t>Temp [°C]</t>
  </si>
  <si>
    <t>Salinity  []</t>
  </si>
  <si>
    <r>
      <rPr>
        <sz val="11"/>
        <color rgb="FF000000"/>
        <rFont val="Calibri"/>
        <family val="2"/>
        <charset val="1"/>
      </rPr>
      <t>Conductivity [mS/cm</t>
    </r>
    <r>
      <rPr>
        <vertAlign val="superscript"/>
        <sz val="11"/>
        <color rgb="FF000000"/>
        <rFont val="Calibri"/>
        <family val="2"/>
        <charset val="1"/>
      </rPr>
      <t>3</t>
    </r>
    <r>
      <rPr>
        <sz val="11"/>
        <color rgb="FF000000"/>
        <rFont val="Calibri"/>
        <family val="2"/>
        <charset val="1"/>
      </rPr>
      <t>]</t>
    </r>
  </si>
  <si>
    <t>III-A-2</t>
  </si>
  <si>
    <t>4 fingers</t>
  </si>
  <si>
    <t>II-B-2</t>
  </si>
  <si>
    <t>Pencil</t>
  </si>
  <si>
    <t>Knife</t>
  </si>
  <si>
    <t>II-B-1</t>
  </si>
  <si>
    <t>III-A-1</t>
  </si>
  <si>
    <t>Fist</t>
  </si>
  <si>
    <t>Time zones</t>
  </si>
  <si>
    <t>Station types</t>
  </si>
  <si>
    <t>Snow hardness</t>
  </si>
  <si>
    <t>Snow type</t>
  </si>
  <si>
    <t>Yes_No</t>
  </si>
  <si>
    <t>UTC-12</t>
  </si>
  <si>
    <t>Fast ice visit</t>
  </si>
  <si>
    <t>I-A</t>
  </si>
  <si>
    <t>Yes</t>
  </si>
  <si>
    <t>UTC-11</t>
  </si>
  <si>
    <t>Fast ice repeated location</t>
  </si>
  <si>
    <t>Melting snow</t>
  </si>
  <si>
    <t>I-B</t>
  </si>
  <si>
    <t>UTC-10</t>
  </si>
  <si>
    <t>Flooded</t>
  </si>
  <si>
    <t>3 fingers</t>
  </si>
  <si>
    <t>II-A-1</t>
  </si>
  <si>
    <t>UTC-9</t>
  </si>
  <si>
    <t>Ice floe, multi-day station</t>
  </si>
  <si>
    <t>Bare ice, warm, few or no melt ponds</t>
  </si>
  <si>
    <t>2 fingers</t>
  </si>
  <si>
    <t>II-A-2</t>
  </si>
  <si>
    <t>UTC-8</t>
  </si>
  <si>
    <t>Bare ice, warm, with melt ponds</t>
  </si>
  <si>
    <t>1 finger</t>
  </si>
  <si>
    <t>UTC-7</t>
  </si>
  <si>
    <t>Bare ice, warm, partially refrozen melt ponds</t>
  </si>
  <si>
    <t>UTC-6</t>
  </si>
  <si>
    <t>Bare ice, frozen, few or no melt ponds</t>
  </si>
  <si>
    <t>UTC-5</t>
  </si>
  <si>
    <t>Bare ice, frozen, with melt ponds</t>
  </si>
  <si>
    <t>Ice</t>
  </si>
  <si>
    <t>UTC-4</t>
  </si>
  <si>
    <t>Bare ice, frozen, partially refrozen melt ponds</t>
  </si>
  <si>
    <t>III-A-3</t>
  </si>
  <si>
    <t>UTC-3</t>
  </si>
  <si>
    <t>New (summer/autumn) snow, warm, few or no melt ponds</t>
  </si>
  <si>
    <t>IV-A</t>
  </si>
  <si>
    <t>UTC-2</t>
  </si>
  <si>
    <t>New (summer/autumn) snow, warm, with melt ponds</t>
  </si>
  <si>
    <t>IV-B</t>
  </si>
  <si>
    <t>UTC-1</t>
  </si>
  <si>
    <t>New (summer/autumn) snow, warm, partially refrozen melt ponds</t>
  </si>
  <si>
    <t>Glacier Ice</t>
  </si>
  <si>
    <t>New (summer/autumn) snow, frozen, few or no melt ponds</t>
  </si>
  <si>
    <t>UTC+1 (Norwegian SDT)</t>
  </si>
  <si>
    <t>New (summer/autumn) snow, frozen, with melt ponds</t>
  </si>
  <si>
    <t>UTC+2 (Norwegian DST)</t>
  </si>
  <si>
    <t>New (summer/autumn) snow, frozen, partially refrozen melt ponds</t>
  </si>
  <si>
    <t>UTC+3</t>
  </si>
  <si>
    <t>UTC+4</t>
  </si>
  <si>
    <t>UTC+5</t>
  </si>
  <si>
    <t>UTC+6</t>
  </si>
  <si>
    <t>UTC+7</t>
  </si>
  <si>
    <t>UTC+8</t>
  </si>
  <si>
    <t>UTC+9</t>
  </si>
  <si>
    <t>UTC+10</t>
  </si>
  <si>
    <t>UTC+11</t>
  </si>
  <si>
    <t>UTC+12</t>
  </si>
  <si>
    <t>Chemistry Core</t>
  </si>
  <si>
    <t>Density Core</t>
  </si>
  <si>
    <t>coring site</t>
  </si>
  <si>
    <t>temperature lab</t>
  </si>
  <si>
    <t>density parafine</t>
  </si>
  <si>
    <t>Under Water [cm]</t>
  </si>
  <si>
    <t>Total Thickness [cm]</t>
  </si>
  <si>
    <t>Sampling box:</t>
  </si>
  <si>
    <t>Core ø [cm]</t>
  </si>
  <si>
    <r>
      <t>Cross section [cm</t>
    </r>
    <r>
      <rPr>
        <sz val="11"/>
        <color theme="1"/>
        <rFont val="Arial"/>
        <family val="2"/>
      </rPr>
      <t>²</t>
    </r>
    <r>
      <rPr>
        <sz val="11"/>
        <color rgb="FF000000"/>
        <rFont val="Calibri"/>
        <family val="2"/>
        <charset val="1"/>
      </rPr>
      <t>]</t>
    </r>
  </si>
  <si>
    <t>Box #</t>
  </si>
  <si>
    <t xml:space="preserve">Weight in the air [g] </t>
  </si>
  <si>
    <t xml:space="preserve">Weight in the parafine [g] </t>
  </si>
  <si>
    <t>salinity bag</t>
  </si>
  <si>
    <t>Mean depth [cm]</t>
  </si>
  <si>
    <r>
      <t>Density [g/cm</t>
    </r>
    <r>
      <rPr>
        <b/>
        <sz val="11"/>
        <color theme="1"/>
        <rFont val="Calibri"/>
        <family val="2"/>
      </rPr>
      <t>³]</t>
    </r>
  </si>
  <si>
    <r>
      <t>Sample Temperature [</t>
    </r>
    <r>
      <rPr>
        <b/>
        <sz val="11"/>
        <color theme="1"/>
        <rFont val="Calibri"/>
        <family val="2"/>
      </rPr>
      <t>°</t>
    </r>
    <r>
      <rPr>
        <b/>
        <sz val="11"/>
        <color theme="1"/>
        <rFont val="Calibri"/>
        <family val="2"/>
        <scheme val="minor"/>
      </rPr>
      <t>C]</t>
    </r>
  </si>
  <si>
    <t>AO2023-I-3-1</t>
  </si>
  <si>
    <t>Dmitry Divine and Tessa Kwadijk</t>
  </si>
  <si>
    <t>nan</t>
  </si>
  <si>
    <t>J1</t>
  </si>
  <si>
    <t>J2</t>
  </si>
  <si>
    <t>J3</t>
  </si>
  <si>
    <t>J4</t>
  </si>
  <si>
    <t>J5</t>
  </si>
  <si>
    <t>J6</t>
  </si>
  <si>
    <t>J7</t>
  </si>
  <si>
    <t>J8</t>
  </si>
  <si>
    <t>J9</t>
  </si>
  <si>
    <t>J10</t>
  </si>
  <si>
    <t>J11</t>
  </si>
  <si>
    <t>J12</t>
  </si>
  <si>
    <t>J13</t>
  </si>
  <si>
    <t>J14</t>
  </si>
  <si>
    <t>J15</t>
  </si>
  <si>
    <t>J16</t>
  </si>
  <si>
    <t>J17</t>
  </si>
  <si>
    <t>J18</t>
  </si>
  <si>
    <t>big bubbles out</t>
  </si>
  <si>
    <t>floats (therefore no measurement of weight in parafine)</t>
  </si>
  <si>
    <t>bubbles out</t>
  </si>
  <si>
    <t>small bubbles inside</t>
  </si>
  <si>
    <t>big bubbles inside</t>
  </si>
  <si>
    <t>small and big bubbles inside</t>
  </si>
  <si>
    <t>lots of small bubbles inside</t>
  </si>
  <si>
    <t>small piece, small bubbles inside</t>
  </si>
  <si>
    <t>big piece, lots of small bubbles inside</t>
  </si>
  <si>
    <t>bubbles out, lots of small bubbles inside</t>
  </si>
  <si>
    <t>J19</t>
  </si>
  <si>
    <t>bubbles inside</t>
  </si>
  <si>
    <t>C1</t>
  </si>
  <si>
    <t>bubbles out en small and big bubbles inside</t>
  </si>
  <si>
    <t>C2</t>
  </si>
  <si>
    <t>C3</t>
  </si>
  <si>
    <t>piece with break (2 pieces), small bubbles inside</t>
  </si>
  <si>
    <t>C4</t>
  </si>
  <si>
    <t>C5</t>
  </si>
  <si>
    <t>C6</t>
  </si>
  <si>
    <t>C7</t>
  </si>
  <si>
    <t>C8</t>
  </si>
  <si>
    <t>channels and bubbles</t>
  </si>
  <si>
    <t>C9</t>
  </si>
  <si>
    <t>C10</t>
  </si>
  <si>
    <t>small bubbles and brine channels inside</t>
  </si>
  <si>
    <t>C11</t>
  </si>
  <si>
    <t>C12</t>
  </si>
  <si>
    <t>C13</t>
  </si>
  <si>
    <t>small and big bubbles inside and brine channels inside</t>
  </si>
  <si>
    <t>C14</t>
  </si>
  <si>
    <t>bubbles out, small and big bubbles inside and brine channels inside</t>
  </si>
  <si>
    <t>C15</t>
  </si>
  <si>
    <t>C16</t>
  </si>
  <si>
    <t>C17</t>
  </si>
  <si>
    <t>C18</t>
  </si>
  <si>
    <t>bubbles out, small and big bubbles inside; end of section 1</t>
  </si>
  <si>
    <t>small and big bubbles inside and brine channels inside; end of section 2</t>
  </si>
  <si>
    <t>Temperature core packed as Chemistry core; Core packed in 4 sections of 90, 96.5, 90 and 27 cm long. Used for density analysis using hydrostatic weighing instead.</t>
  </si>
  <si>
    <t>CC1</t>
  </si>
  <si>
    <t>CC2</t>
  </si>
  <si>
    <t>CC3</t>
  </si>
  <si>
    <t>CC4</t>
  </si>
  <si>
    <t>CC5</t>
  </si>
  <si>
    <t>CC6</t>
  </si>
  <si>
    <t>CC7</t>
  </si>
  <si>
    <t>CC8</t>
  </si>
  <si>
    <t>CC9</t>
  </si>
  <si>
    <t>CC10</t>
  </si>
  <si>
    <t>CC11</t>
  </si>
  <si>
    <t>CC12</t>
  </si>
  <si>
    <t>CC13</t>
  </si>
  <si>
    <t>CC14</t>
  </si>
  <si>
    <t>CC15</t>
  </si>
  <si>
    <t>CC16</t>
  </si>
  <si>
    <t>CC17</t>
  </si>
  <si>
    <t>CC18</t>
  </si>
  <si>
    <t>JJ1</t>
  </si>
  <si>
    <t>JJ2</t>
  </si>
  <si>
    <t>JJ3</t>
  </si>
  <si>
    <t>JJ4</t>
  </si>
  <si>
    <t>JJ5</t>
  </si>
  <si>
    <t>JJ6</t>
  </si>
  <si>
    <t>T-core used for density analysis by hydrostatic weighing. Processed on 06.05.2026 by D.Divine and T. Kwadijk and on 08.05.2026 (remaining segment) by D.Divine</t>
  </si>
  <si>
    <t>Section 3 ends; small and big bubbles inside</t>
  </si>
  <si>
    <t>Section 4 starts, piece made of 2 including 1.5 cm from bottom of Sec 3; small and big bubbles inside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</si>
</sst>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hh:mm;@"/>
    <numFmt numFmtId="165" formatCode="0.0000"/>
    <numFmt numFmtId="166" formatCode="0#"/>
    <numFmt numFmtId="167" formatCode="dd/mm/yyyy;@"/>
    <numFmt numFmtId="168" formatCode="0.00&quot; m&quot;"/>
    <numFmt numFmtId="169" formatCode="0&quot; cm&quot;"/>
    <numFmt numFmtId="170" formatCode="_ * #,##0.00_ ;_ * \-#,##0.00_ ;_ * \-??_ ;_ @_ "/>
    <numFmt numFmtId="171" formatCode="0.0&quot; °C&quot;"/>
    <numFmt numFmtId="172" formatCode="&quot;Yes&quot;;&quot;Yes&quot;;&quot;No&quot;"/>
    <numFmt numFmtId="173" formatCode="0.0&quot; cm³&quot;"/>
    <numFmt numFmtId="174" formatCode="0.0&quot; g&quot;"/>
    <numFmt numFmtId="175" formatCode="0.0&quot; mm&quot;"/>
    <numFmt numFmtId="176" formatCode="#,##0.0000"/>
    <numFmt numFmtId="177" formatCode="0&quot; cm²&quot;"/>
  </numFmts>
  <fonts count="27" x14ac:knownFonts="1">
    <font>
      <sz val="11"/>
      <color rgb="FF000000"/>
      <name val="Calibri"/>
      <family val="2"/>
      <charset val="1"/>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24"/>
      <color rgb="FF9C6500"/>
      <name val="Calibri"/>
      <family val="2"/>
      <charset val="1"/>
    </font>
    <font>
      <sz val="11"/>
      <color rgb="FF9C6500"/>
      <name val="Calibri"/>
      <family val="2"/>
      <charset val="1"/>
    </font>
    <font>
      <sz val="10"/>
      <color rgb="FF000000"/>
      <name val="Calibri"/>
      <family val="2"/>
      <charset val="1"/>
    </font>
    <font>
      <b/>
      <sz val="16"/>
      <color rgb="FF9C6500"/>
      <name val="Calibri"/>
      <family val="2"/>
      <charset val="1"/>
    </font>
    <font>
      <b/>
      <sz val="11"/>
      <color rgb="FF000000"/>
      <name val="Calibri"/>
      <family val="2"/>
      <charset val="1"/>
    </font>
    <font>
      <b/>
      <sz val="11"/>
      <name val="Calibri"/>
      <family val="2"/>
      <charset val="1"/>
    </font>
    <font>
      <sz val="11"/>
      <name val="Calibri"/>
      <family val="2"/>
      <charset val="1"/>
    </font>
    <font>
      <b/>
      <sz val="10"/>
      <name val="Arial"/>
      <family val="2"/>
      <charset val="1"/>
    </font>
    <font>
      <b/>
      <sz val="26"/>
      <color rgb="FF9C6500"/>
      <name val="Calibri"/>
      <family val="2"/>
      <charset val="1"/>
    </font>
    <font>
      <sz val="12"/>
      <color rgb="FF000000"/>
      <name val="Calibri"/>
      <family val="2"/>
      <charset val="1"/>
    </font>
    <font>
      <vertAlign val="superscript"/>
      <sz val="11"/>
      <color rgb="FF000000"/>
      <name val="Calibri"/>
      <family val="2"/>
      <charset val="1"/>
    </font>
    <font>
      <b/>
      <sz val="11"/>
      <color rgb="FFFA7D00"/>
      <name val="Calibri"/>
      <family val="2"/>
      <charset val="1"/>
    </font>
    <font>
      <sz val="11"/>
      <color rgb="FF000000"/>
      <name val="Calibri"/>
      <family val="2"/>
      <charset val="1"/>
    </font>
    <font>
      <b/>
      <sz val="11"/>
      <color theme="1"/>
      <name val="Calibri"/>
      <family val="2"/>
      <scheme val="minor"/>
    </font>
    <font>
      <sz val="11"/>
      <color rgb="FF9C6500"/>
      <name val="Calibri"/>
      <family val="2"/>
      <scheme val="minor"/>
    </font>
    <font>
      <b/>
      <sz val="26"/>
      <color rgb="FF9C6500"/>
      <name val="Calibri"/>
      <family val="2"/>
      <scheme val="minor"/>
    </font>
    <font>
      <sz val="11"/>
      <name val="Calibri"/>
      <family val="2"/>
      <scheme val="minor"/>
    </font>
    <font>
      <sz val="11"/>
      <color theme="1"/>
      <name val="Arial"/>
      <family val="2"/>
    </font>
    <font>
      <sz val="11"/>
      <color theme="1"/>
      <name val="Calibri"/>
      <family val="2"/>
    </font>
    <font>
      <b/>
      <sz val="11"/>
      <color theme="1"/>
      <name val="Calibri"/>
      <family val="2"/>
    </font>
    <font>
      <sz val="8"/>
      <name val="Calibri"/>
      <family val="2"/>
      <charset val="1"/>
    </font>
  </fonts>
  <fills count="13">
    <fill>
      <patternFill patternType="none"/>
    </fill>
    <fill>
      <patternFill patternType="gray125"/>
    </fill>
    <fill>
      <patternFill patternType="solid">
        <fgColor rgb="FFFFEB9C"/>
        <bgColor rgb="FFFCD5B5"/>
      </patternFill>
    </fill>
    <fill>
      <patternFill patternType="solid">
        <fgColor rgb="FFF2F2F2"/>
        <bgColor rgb="FFFFFFFF"/>
      </patternFill>
    </fill>
    <fill>
      <patternFill patternType="solid">
        <fgColor rgb="FFBFBFBF"/>
        <bgColor rgb="FFD9D9D9"/>
      </patternFill>
    </fill>
    <fill>
      <patternFill patternType="solid">
        <fgColor rgb="FFFCD5B5"/>
        <bgColor rgb="FFFFEB9C"/>
      </patternFill>
    </fill>
    <fill>
      <patternFill patternType="solid">
        <fgColor rgb="FFFFFFFF"/>
        <bgColor rgb="FFF2F2F2"/>
      </patternFill>
    </fill>
    <fill>
      <patternFill patternType="solid">
        <fgColor rgb="FFD9D9D9"/>
        <bgColor rgb="FFFCD5B5"/>
      </patternFill>
    </fill>
    <fill>
      <patternFill patternType="solid">
        <fgColor rgb="FFFFEB9C"/>
      </patternFill>
    </fill>
    <fill>
      <patternFill patternType="solid">
        <fgColor theme="9" tint="0.59999389629810485"/>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0"/>
        <bgColor indexed="64"/>
      </patternFill>
    </fill>
  </fills>
  <borders count="37">
    <border>
      <left/>
      <right/>
      <top/>
      <bottom/>
      <diagonal/>
    </border>
    <border>
      <left style="thin">
        <color rgb="FF7F7F7F"/>
      </left>
      <right style="thin">
        <color rgb="FF7F7F7F"/>
      </right>
      <top style="thin">
        <color rgb="FF7F7F7F"/>
      </top>
      <bottom style="thin">
        <color rgb="FF7F7F7F"/>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thin">
        <color auto="1"/>
      </left>
      <right style="thin">
        <color auto="1"/>
      </right>
      <top style="thin">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style="medium">
        <color auto="1"/>
      </top>
      <bottom style="thin">
        <color auto="1"/>
      </bottom>
      <diagonal/>
    </border>
    <border>
      <left/>
      <right style="medium">
        <color auto="1"/>
      </right>
      <top style="medium">
        <color auto="1"/>
      </top>
      <bottom/>
      <diagonal/>
    </border>
    <border>
      <left/>
      <right style="medium">
        <color auto="1"/>
      </right>
      <top/>
      <bottom/>
      <diagonal/>
    </border>
    <border>
      <left style="medium">
        <color auto="1"/>
      </left>
      <right style="thin">
        <color auto="1"/>
      </right>
      <top style="thin">
        <color auto="1"/>
      </top>
      <bottom/>
      <diagonal/>
    </border>
    <border>
      <left/>
      <right/>
      <top/>
      <bottom style="thin">
        <color auto="1"/>
      </bottom>
      <diagonal/>
    </border>
    <border>
      <left/>
      <right style="thin">
        <color auto="1"/>
      </right>
      <top style="thin">
        <color auto="1"/>
      </top>
      <bottom/>
      <diagonal/>
    </border>
    <border>
      <left/>
      <right style="thin">
        <color auto="1"/>
      </right>
      <top/>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bottom style="medium">
        <color indexed="64"/>
      </bottom>
      <diagonal/>
    </border>
  </borders>
  <cellStyleXfs count="6">
    <xf numFmtId="0" fontId="0" fillId="0" borderId="0"/>
    <xf numFmtId="170" fontId="18" fillId="0" borderId="0" applyBorder="0" applyProtection="0"/>
    <xf numFmtId="0" fontId="7" fillId="2" borderId="0" applyBorder="0" applyProtection="0"/>
    <xf numFmtId="0" fontId="17" fillId="3" borderId="1" applyProtection="0"/>
    <xf numFmtId="0" fontId="20" fillId="8" borderId="0" applyNumberFormat="0" applyBorder="0" applyAlignment="0" applyProtection="0"/>
    <xf numFmtId="0" fontId="5" fillId="0" borderId="0"/>
  </cellStyleXfs>
  <cellXfs count="220">
    <xf numFmtId="0" fontId="0" fillId="0" borderId="0" xfId="0"/>
    <xf numFmtId="0" fontId="0" fillId="6" borderId="5" xfId="0" applyFill="1" applyBorder="1" applyAlignment="1" applyProtection="1">
      <alignment horizontal="left"/>
      <protection locked="0"/>
    </xf>
    <xf numFmtId="0" fontId="0" fillId="4" borderId="0" xfId="0" applyFill="1"/>
    <xf numFmtId="0" fontId="8" fillId="4" borderId="0" xfId="0" applyFont="1" applyFill="1"/>
    <xf numFmtId="0" fontId="9" fillId="4" borderId="0" xfId="2" applyFont="1" applyFill="1" applyBorder="1" applyProtection="1"/>
    <xf numFmtId="0" fontId="10" fillId="4" borderId="0" xfId="0" applyFont="1" applyFill="1"/>
    <xf numFmtId="0" fontId="0" fillId="3" borderId="2" xfId="0" applyFill="1" applyBorder="1"/>
    <xf numFmtId="0" fontId="8" fillId="4" borderId="0" xfId="0" applyFont="1" applyFill="1" applyAlignment="1">
      <alignment wrapText="1"/>
    </xf>
    <xf numFmtId="0" fontId="0" fillId="3" borderId="4" xfId="0" applyFill="1" applyBorder="1"/>
    <xf numFmtId="0" fontId="0" fillId="3" borderId="6" xfId="0" applyFill="1" applyBorder="1"/>
    <xf numFmtId="0" fontId="0" fillId="3" borderId="4" xfId="0" applyFill="1" applyBorder="1" applyAlignment="1">
      <alignment vertical="top"/>
    </xf>
    <xf numFmtId="0" fontId="0" fillId="3" borderId="6" xfId="0" applyFill="1" applyBorder="1" applyAlignment="1">
      <alignment vertical="top"/>
    </xf>
    <xf numFmtId="0" fontId="0" fillId="4" borderId="0" xfId="0" applyFill="1" applyAlignment="1">
      <alignment vertical="top"/>
    </xf>
    <xf numFmtId="0" fontId="0" fillId="4" borderId="0" xfId="0" applyFill="1" applyAlignment="1">
      <alignment vertical="top" wrapText="1"/>
    </xf>
    <xf numFmtId="0" fontId="0" fillId="3" borderId="8" xfId="0" applyFill="1" applyBorder="1"/>
    <xf numFmtId="0" fontId="0" fillId="6" borderId="9" xfId="0" applyFill="1" applyBorder="1"/>
    <xf numFmtId="164" fontId="0" fillId="6" borderId="10" xfId="0" applyNumberFormat="1" applyFill="1" applyBorder="1" applyProtection="1">
      <protection locked="0"/>
    </xf>
    <xf numFmtId="0" fontId="0" fillId="4" borderId="11" xfId="0" applyFill="1" applyBorder="1"/>
    <xf numFmtId="0" fontId="0" fillId="4" borderId="12" xfId="0" applyFill="1" applyBorder="1"/>
    <xf numFmtId="20" fontId="0" fillId="4" borderId="12" xfId="0" applyNumberFormat="1" applyFill="1" applyBorder="1"/>
    <xf numFmtId="0" fontId="0" fillId="4" borderId="4" xfId="0" applyFill="1" applyBorder="1"/>
    <xf numFmtId="0" fontId="0" fillId="4" borderId="9" xfId="0" applyFill="1" applyBorder="1"/>
    <xf numFmtId="0" fontId="0" fillId="3" borderId="13" xfId="0" applyFill="1" applyBorder="1"/>
    <xf numFmtId="0" fontId="0" fillId="3" borderId="14" xfId="0" applyFill="1" applyBorder="1"/>
    <xf numFmtId="165" fontId="0" fillId="3" borderId="9" xfId="0" applyNumberFormat="1" applyFill="1" applyBorder="1"/>
    <xf numFmtId="0" fontId="0" fillId="6" borderId="9" xfId="0" applyFill="1" applyBorder="1" applyProtection="1">
      <protection locked="0"/>
    </xf>
    <xf numFmtId="0" fontId="0" fillId="6" borderId="5" xfId="0" applyFill="1" applyBorder="1" applyProtection="1">
      <protection locked="0"/>
    </xf>
    <xf numFmtId="165" fontId="0" fillId="3" borderId="15" xfId="0" applyNumberFormat="1" applyFill="1" applyBorder="1"/>
    <xf numFmtId="0" fontId="0" fillId="6" borderId="15" xfId="0" applyFill="1" applyBorder="1" applyProtection="1">
      <protection locked="0"/>
    </xf>
    <xf numFmtId="0" fontId="0" fillId="6" borderId="7" xfId="0" applyFill="1" applyBorder="1" applyProtection="1">
      <protection locked="0"/>
    </xf>
    <xf numFmtId="164" fontId="0" fillId="4" borderId="0" xfId="0" applyNumberFormat="1" applyFill="1"/>
    <xf numFmtId="20" fontId="0" fillId="4" borderId="0" xfId="0" applyNumberFormat="1" applyFill="1"/>
    <xf numFmtId="166" fontId="0" fillId="4" borderId="0" xfId="0" applyNumberFormat="1" applyFill="1"/>
    <xf numFmtId="49" fontId="0" fillId="4" borderId="0" xfId="0" applyNumberFormat="1" applyFill="1"/>
    <xf numFmtId="0" fontId="0" fillId="7" borderId="16" xfId="0" applyFill="1" applyBorder="1"/>
    <xf numFmtId="0" fontId="0" fillId="4" borderId="16" xfId="0" applyFill="1" applyBorder="1" applyAlignment="1">
      <alignment vertical="top"/>
    </xf>
    <xf numFmtId="0" fontId="10" fillId="3" borderId="17" xfId="0" applyFont="1" applyFill="1" applyBorder="1" applyAlignment="1">
      <alignment vertical="top" wrapText="1"/>
    </xf>
    <xf numFmtId="49" fontId="0" fillId="3" borderId="19" xfId="0" applyNumberFormat="1" applyFill="1" applyBorder="1" applyAlignment="1">
      <alignment wrapText="1"/>
    </xf>
    <xf numFmtId="0" fontId="0" fillId="6" borderId="14" xfId="0" applyFill="1" applyBorder="1" applyAlignment="1" applyProtection="1">
      <alignment horizontal="left" wrapText="1"/>
      <protection locked="0"/>
    </xf>
    <xf numFmtId="49" fontId="0" fillId="3" borderId="4" xfId="0" applyNumberFormat="1" applyFill="1" applyBorder="1" applyAlignment="1">
      <alignment wrapText="1"/>
    </xf>
    <xf numFmtId="49" fontId="0" fillId="3" borderId="6" xfId="0" applyNumberFormat="1" applyFill="1" applyBorder="1" applyAlignment="1">
      <alignment wrapText="1"/>
    </xf>
    <xf numFmtId="0" fontId="0" fillId="6" borderId="7" xfId="0" applyFill="1" applyBorder="1" applyAlignment="1" applyProtection="1">
      <alignment horizontal="left"/>
      <protection locked="0"/>
    </xf>
    <xf numFmtId="0" fontId="0" fillId="4" borderId="0" xfId="0" applyFill="1" applyProtection="1">
      <protection locked="0"/>
    </xf>
    <xf numFmtId="0" fontId="11" fillId="3" borderId="2" xfId="0" applyFont="1" applyFill="1" applyBorder="1"/>
    <xf numFmtId="0" fontId="12" fillId="4" borderId="21" xfId="0" applyFont="1" applyFill="1" applyBorder="1" applyAlignment="1">
      <alignment vertical="top"/>
    </xf>
    <xf numFmtId="0" fontId="12" fillId="4" borderId="0" xfId="0" applyFont="1" applyFill="1" applyAlignment="1">
      <alignment vertical="top" wrapText="1"/>
    </xf>
    <xf numFmtId="0" fontId="12" fillId="4" borderId="0" xfId="0" applyFont="1" applyFill="1"/>
    <xf numFmtId="0" fontId="12" fillId="4" borderId="0" xfId="0" applyFont="1" applyFill="1" applyAlignment="1">
      <alignment horizontal="right"/>
    </xf>
    <xf numFmtId="0" fontId="11" fillId="3" borderId="4" xfId="0" applyFont="1" applyFill="1" applyBorder="1"/>
    <xf numFmtId="0" fontId="12" fillId="4" borderId="22" xfId="0" applyFont="1" applyFill="1" applyBorder="1" applyAlignment="1">
      <alignment vertical="top"/>
    </xf>
    <xf numFmtId="0" fontId="11" fillId="3" borderId="23" xfId="0" applyFont="1" applyFill="1" applyBorder="1"/>
    <xf numFmtId="0" fontId="11" fillId="3" borderId="6" xfId="0" applyFont="1" applyFill="1" applyBorder="1" applyAlignment="1">
      <alignment vertical="top"/>
    </xf>
    <xf numFmtId="0" fontId="13" fillId="3" borderId="16" xfId="0" applyFont="1" applyFill="1" applyBorder="1" applyAlignment="1">
      <alignment horizontal="center" wrapText="1"/>
    </xf>
    <xf numFmtId="0" fontId="13" fillId="3" borderId="18" xfId="0" applyFont="1" applyFill="1" applyBorder="1" applyAlignment="1">
      <alignment horizontal="center" wrapText="1"/>
    </xf>
    <xf numFmtId="0" fontId="11" fillId="3" borderId="18" xfId="0" applyFont="1" applyFill="1" applyBorder="1" applyAlignment="1">
      <alignment horizontal="center" wrapText="1"/>
    </xf>
    <xf numFmtId="0" fontId="13" fillId="3" borderId="17" xfId="0" applyFont="1" applyFill="1" applyBorder="1" applyAlignment="1">
      <alignment horizontal="center" wrapText="1"/>
    </xf>
    <xf numFmtId="0" fontId="12" fillId="4" borderId="0" xfId="0" applyFont="1" applyFill="1" applyAlignment="1">
      <alignment wrapText="1"/>
    </xf>
    <xf numFmtId="0" fontId="0" fillId="4" borderId="0" xfId="0" applyFill="1" applyAlignment="1">
      <alignment wrapText="1"/>
    </xf>
    <xf numFmtId="168" fontId="0" fillId="6" borderId="13" xfId="0" applyNumberFormat="1" applyFill="1" applyBorder="1" applyProtection="1">
      <protection locked="0"/>
    </xf>
    <xf numFmtId="2" fontId="0" fillId="6" borderId="13" xfId="0" applyNumberFormat="1" applyFill="1" applyBorder="1" applyProtection="1">
      <protection locked="0"/>
    </xf>
    <xf numFmtId="169" fontId="0" fillId="6" borderId="13" xfId="0" applyNumberFormat="1" applyFill="1" applyBorder="1" applyProtection="1">
      <protection locked="0"/>
    </xf>
    <xf numFmtId="0" fontId="12" fillId="6" borderId="13" xfId="0" applyFont="1" applyFill="1" applyBorder="1" applyProtection="1">
      <protection locked="0"/>
    </xf>
    <xf numFmtId="168" fontId="0" fillId="6" borderId="9" xfId="0" applyNumberFormat="1" applyFill="1" applyBorder="1" applyProtection="1">
      <protection locked="0"/>
    </xf>
    <xf numFmtId="2" fontId="0" fillId="6" borderId="9" xfId="0" applyNumberFormat="1" applyFill="1" applyBorder="1" applyProtection="1">
      <protection locked="0"/>
    </xf>
    <xf numFmtId="169" fontId="0" fillId="6" borderId="9" xfId="0" applyNumberFormat="1" applyFill="1" applyBorder="1" applyProtection="1">
      <protection locked="0"/>
    </xf>
    <xf numFmtId="0" fontId="12" fillId="6" borderId="9" xfId="0" applyFont="1" applyFill="1" applyBorder="1" applyProtection="1">
      <protection locked="0"/>
    </xf>
    <xf numFmtId="0" fontId="10" fillId="3" borderId="16" xfId="0" applyFont="1" applyFill="1" applyBorder="1" applyAlignment="1">
      <alignment horizontal="center" wrapText="1"/>
    </xf>
    <xf numFmtId="0" fontId="10" fillId="3" borderId="18" xfId="0" applyFont="1" applyFill="1" applyBorder="1" applyAlignment="1">
      <alignment horizontal="center" wrapText="1"/>
    </xf>
    <xf numFmtId="0" fontId="10" fillId="3" borderId="17" xfId="0" applyFont="1" applyFill="1" applyBorder="1" applyAlignment="1">
      <alignment horizontal="center" wrapText="1"/>
    </xf>
    <xf numFmtId="0" fontId="10" fillId="4" borderId="0" xfId="0" applyFont="1" applyFill="1" applyAlignment="1">
      <alignment horizontal="center" wrapText="1"/>
    </xf>
    <xf numFmtId="0" fontId="0" fillId="6" borderId="13" xfId="0" applyFill="1" applyBorder="1" applyProtection="1">
      <protection locked="0"/>
    </xf>
    <xf numFmtId="0" fontId="12" fillId="3" borderId="9" xfId="0" applyFont="1" applyFill="1" applyBorder="1"/>
    <xf numFmtId="0" fontId="12" fillId="4" borderId="25" xfId="0" applyFont="1" applyFill="1" applyBorder="1" applyAlignment="1">
      <alignment vertical="top"/>
    </xf>
    <xf numFmtId="0" fontId="12" fillId="4" borderId="26" xfId="0" applyFont="1" applyFill="1" applyBorder="1" applyAlignment="1">
      <alignment vertical="top"/>
    </xf>
    <xf numFmtId="0" fontId="12" fillId="3" borderId="27" xfId="0" applyFont="1" applyFill="1" applyBorder="1"/>
    <xf numFmtId="0" fontId="12" fillId="3" borderId="9" xfId="0" applyFont="1" applyFill="1" applyBorder="1" applyAlignment="1">
      <alignment vertical="top"/>
    </xf>
    <xf numFmtId="0" fontId="0" fillId="3" borderId="9" xfId="0" applyFill="1" applyBorder="1"/>
    <xf numFmtId="169" fontId="18" fillId="6" borderId="9" xfId="1" applyNumberFormat="1" applyFill="1" applyBorder="1" applyAlignment="1" applyProtection="1">
      <alignment horizontal="right"/>
      <protection locked="0"/>
    </xf>
    <xf numFmtId="169" fontId="0" fillId="3" borderId="9" xfId="0" applyNumberFormat="1" applyFill="1" applyBorder="1"/>
    <xf numFmtId="0" fontId="10" fillId="3" borderId="9" xfId="0" applyFont="1" applyFill="1" applyBorder="1" applyAlignment="1">
      <alignment horizontal="center" wrapText="1"/>
    </xf>
    <xf numFmtId="2" fontId="0" fillId="6" borderId="9" xfId="0" applyNumberFormat="1" applyFill="1" applyBorder="1" applyAlignment="1" applyProtection="1">
      <alignment horizontal="center"/>
      <protection locked="0"/>
    </xf>
    <xf numFmtId="171" fontId="0" fillId="6" borderId="9" xfId="0" applyNumberFormat="1" applyFill="1" applyBorder="1" applyProtection="1">
      <protection locked="0"/>
    </xf>
    <xf numFmtId="49" fontId="0" fillId="6" borderId="9" xfId="0" applyNumberFormat="1" applyFill="1" applyBorder="1" applyAlignment="1" applyProtection="1">
      <alignment horizontal="left"/>
      <protection locked="0"/>
    </xf>
    <xf numFmtId="0" fontId="12" fillId="3" borderId="2" xfId="0" applyFont="1" applyFill="1" applyBorder="1"/>
    <xf numFmtId="0" fontId="12" fillId="3" borderId="4" xfId="0" applyFont="1" applyFill="1" applyBorder="1"/>
    <xf numFmtId="0" fontId="12" fillId="3" borderId="23" xfId="0" applyFont="1" applyFill="1" applyBorder="1"/>
    <xf numFmtId="49" fontId="12" fillId="6" borderId="28" xfId="0" applyNumberFormat="1" applyFont="1" applyFill="1" applyBorder="1" applyAlignment="1" applyProtection="1">
      <alignment horizontal="right"/>
      <protection locked="0"/>
    </xf>
    <xf numFmtId="172" fontId="12" fillId="4" borderId="0" xfId="0" applyNumberFormat="1" applyFont="1" applyFill="1" applyAlignment="1">
      <alignment vertical="top" wrapText="1"/>
    </xf>
    <xf numFmtId="0" fontId="12" fillId="3" borderId="6" xfId="0" applyFont="1" applyFill="1" applyBorder="1" applyAlignment="1">
      <alignment vertical="top"/>
    </xf>
    <xf numFmtId="171" fontId="0" fillId="6" borderId="3" xfId="0" applyNumberFormat="1" applyFill="1" applyBorder="1" applyAlignment="1" applyProtection="1">
      <alignment horizontal="right"/>
      <protection locked="0"/>
    </xf>
    <xf numFmtId="169" fontId="0" fillId="6" borderId="3" xfId="0" applyNumberFormat="1" applyFill="1" applyBorder="1" applyAlignment="1" applyProtection="1">
      <alignment horizontal="right"/>
      <protection locked="0"/>
    </xf>
    <xf numFmtId="171" fontId="0" fillId="6" borderId="5" xfId="0" applyNumberFormat="1" applyFill="1" applyBorder="1" applyAlignment="1" applyProtection="1">
      <alignment horizontal="right"/>
      <protection locked="0"/>
    </xf>
    <xf numFmtId="169" fontId="0" fillId="6" borderId="5" xfId="0" applyNumberFormat="1" applyFill="1" applyBorder="1" applyAlignment="1" applyProtection="1">
      <alignment horizontal="right"/>
      <protection locked="0"/>
    </xf>
    <xf numFmtId="171" fontId="0" fillId="6" borderId="7" xfId="0" applyNumberFormat="1" applyFill="1" applyBorder="1" applyAlignment="1" applyProtection="1">
      <alignment horizontal="right"/>
      <protection locked="0"/>
    </xf>
    <xf numFmtId="169" fontId="0" fillId="6" borderId="7" xfId="0" applyNumberFormat="1" applyFill="1" applyBorder="1" applyAlignment="1" applyProtection="1">
      <alignment horizontal="right"/>
      <protection locked="0"/>
    </xf>
    <xf numFmtId="169" fontId="0" fillId="6" borderId="20" xfId="0" applyNumberFormat="1" applyFill="1" applyBorder="1" applyAlignment="1" applyProtection="1">
      <alignment horizontal="right"/>
      <protection locked="0"/>
    </xf>
    <xf numFmtId="0" fontId="0" fillId="4" borderId="20" xfId="0" applyFill="1" applyBorder="1"/>
    <xf numFmtId="0" fontId="0" fillId="4" borderId="3" xfId="0" applyFill="1" applyBorder="1"/>
    <xf numFmtId="1" fontId="0" fillId="6" borderId="9" xfId="0" applyNumberFormat="1" applyFill="1" applyBorder="1" applyAlignment="1" applyProtection="1">
      <alignment horizontal="right"/>
      <protection locked="0"/>
    </xf>
    <xf numFmtId="0" fontId="0" fillId="4" borderId="5" xfId="0" applyFill="1" applyBorder="1"/>
    <xf numFmtId="0" fontId="0" fillId="4" borderId="15" xfId="0" applyFill="1" applyBorder="1"/>
    <xf numFmtId="169" fontId="0" fillId="3" borderId="7" xfId="0" applyNumberFormat="1" applyFill="1" applyBorder="1"/>
    <xf numFmtId="0" fontId="10" fillId="3" borderId="16" xfId="0" applyFont="1" applyFill="1" applyBorder="1"/>
    <xf numFmtId="0" fontId="10" fillId="3" borderId="17" xfId="0" applyFont="1" applyFill="1" applyBorder="1"/>
    <xf numFmtId="0" fontId="10" fillId="3" borderId="18" xfId="0" applyFont="1" applyFill="1" applyBorder="1"/>
    <xf numFmtId="169" fontId="0" fillId="6" borderId="29" xfId="0" applyNumberFormat="1" applyFill="1" applyBorder="1" applyAlignment="1" applyProtection="1">
      <alignment horizontal="right"/>
      <protection locked="0"/>
    </xf>
    <xf numFmtId="171" fontId="0" fillId="6" borderId="20" xfId="0" applyNumberFormat="1" applyFill="1" applyBorder="1" applyAlignment="1" applyProtection="1">
      <alignment horizontal="right"/>
      <protection locked="0"/>
    </xf>
    <xf numFmtId="0" fontId="0" fillId="6" borderId="13" xfId="0" applyFill="1" applyBorder="1" applyAlignment="1" applyProtection="1">
      <alignment horizontal="center"/>
      <protection locked="0"/>
    </xf>
    <xf numFmtId="169" fontId="0" fillId="6" borderId="13" xfId="0" applyNumberFormat="1" applyFill="1" applyBorder="1" applyAlignment="1" applyProtection="1">
      <alignment horizontal="right"/>
      <protection locked="0"/>
    </xf>
    <xf numFmtId="171" fontId="0" fillId="6" borderId="9" xfId="0" applyNumberFormat="1" applyFill="1" applyBorder="1" applyAlignment="1" applyProtection="1">
      <alignment horizontal="right"/>
      <protection locked="0"/>
    </xf>
    <xf numFmtId="0" fontId="0" fillId="6" borderId="9" xfId="0" applyFill="1" applyBorder="1" applyAlignment="1" applyProtection="1">
      <alignment horizontal="center"/>
      <protection locked="0"/>
    </xf>
    <xf numFmtId="169" fontId="0" fillId="6" borderId="9" xfId="0" applyNumberFormat="1" applyFill="1" applyBorder="1" applyAlignment="1" applyProtection="1">
      <alignment horizontal="right"/>
      <protection locked="0"/>
    </xf>
    <xf numFmtId="169" fontId="0" fillId="6" borderId="10" xfId="0" applyNumberFormat="1" applyFill="1" applyBorder="1" applyAlignment="1" applyProtection="1">
      <alignment horizontal="right"/>
      <protection locked="0"/>
    </xf>
    <xf numFmtId="173" fontId="0" fillId="6" borderId="9" xfId="0" applyNumberFormat="1" applyFill="1" applyBorder="1" applyAlignment="1" applyProtection="1">
      <alignment horizontal="right"/>
      <protection locked="0"/>
    </xf>
    <xf numFmtId="174" fontId="0" fillId="6" borderId="9" xfId="0" applyNumberFormat="1" applyFill="1" applyBorder="1" applyAlignment="1" applyProtection="1">
      <alignment horizontal="right"/>
      <protection locked="0"/>
    </xf>
    <xf numFmtId="0" fontId="15" fillId="4" borderId="0" xfId="0" applyFont="1" applyFill="1"/>
    <xf numFmtId="0" fontId="0" fillId="3" borderId="9" xfId="0" applyFill="1" applyBorder="1" applyAlignment="1">
      <alignment horizontal="center" wrapText="1"/>
    </xf>
    <xf numFmtId="0" fontId="0" fillId="4" borderId="0" xfId="0" applyFill="1" applyAlignment="1">
      <alignment horizontal="center" wrapText="1"/>
    </xf>
    <xf numFmtId="175" fontId="0" fillId="6" borderId="9" xfId="0" applyNumberFormat="1" applyFill="1" applyBorder="1" applyProtection="1">
      <protection locked="0"/>
    </xf>
    <xf numFmtId="174" fontId="0" fillId="6" borderId="9" xfId="0" applyNumberFormat="1" applyFill="1" applyBorder="1" applyProtection="1">
      <protection locked="0"/>
    </xf>
    <xf numFmtId="4" fontId="0" fillId="6" borderId="9" xfId="0" applyNumberFormat="1" applyFill="1" applyBorder="1" applyProtection="1">
      <protection locked="0"/>
    </xf>
    <xf numFmtId="176" fontId="0" fillId="6" borderId="9" xfId="0" applyNumberFormat="1" applyFill="1" applyBorder="1" applyProtection="1">
      <protection locked="0"/>
    </xf>
    <xf numFmtId="49" fontId="0" fillId="0" borderId="0" xfId="0" applyNumberFormat="1"/>
    <xf numFmtId="0" fontId="17" fillId="3" borderId="1" xfId="3" applyProtection="1"/>
    <xf numFmtId="49" fontId="17" fillId="3" borderId="1" xfId="3" applyNumberFormat="1" applyProtection="1"/>
    <xf numFmtId="0" fontId="10" fillId="0" borderId="0" xfId="0" applyFont="1"/>
    <xf numFmtId="0" fontId="20" fillId="10" borderId="0" xfId="4" applyFill="1" applyBorder="1"/>
    <xf numFmtId="0" fontId="5" fillId="10" borderId="0" xfId="5" applyFill="1"/>
    <xf numFmtId="0" fontId="5" fillId="10" borderId="0" xfId="5" applyFill="1" applyAlignment="1">
      <alignment horizontal="left"/>
    </xf>
    <xf numFmtId="0" fontId="22" fillId="11" borderId="2" xfId="5" applyFont="1" applyFill="1" applyBorder="1"/>
    <xf numFmtId="0" fontId="22" fillId="10" borderId="21" xfId="5" applyFont="1" applyFill="1" applyBorder="1" applyAlignment="1">
      <alignment vertical="top"/>
    </xf>
    <xf numFmtId="0" fontId="22" fillId="11" borderId="4" xfId="5" applyFont="1" applyFill="1" applyBorder="1"/>
    <xf numFmtId="0" fontId="22" fillId="10" borderId="22" xfId="5" applyFont="1" applyFill="1" applyBorder="1" applyAlignment="1">
      <alignment vertical="top"/>
    </xf>
    <xf numFmtId="0" fontId="22" fillId="11" borderId="23" xfId="5" applyFont="1" applyFill="1" applyBorder="1"/>
    <xf numFmtId="0" fontId="22" fillId="10" borderId="0" xfId="5" applyFont="1" applyFill="1" applyAlignment="1">
      <alignment vertical="top" wrapText="1"/>
    </xf>
    <xf numFmtId="0" fontId="22" fillId="10" borderId="0" xfId="5" applyFont="1" applyFill="1" applyAlignment="1">
      <alignment horizontal="right"/>
    </xf>
    <xf numFmtId="0" fontId="22" fillId="10" borderId="0" xfId="5" applyFont="1" applyFill="1"/>
    <xf numFmtId="0" fontId="22" fillId="11" borderId="6" xfId="5" applyFont="1" applyFill="1" applyBorder="1" applyAlignment="1">
      <alignment vertical="top"/>
    </xf>
    <xf numFmtId="0" fontId="19" fillId="10" borderId="0" xfId="5" applyFont="1" applyFill="1"/>
    <xf numFmtId="0" fontId="5" fillId="11" borderId="8" xfId="5" applyFill="1" applyBorder="1"/>
    <xf numFmtId="169" fontId="5" fillId="12" borderId="3" xfId="5" applyNumberFormat="1" applyFill="1" applyBorder="1" applyAlignment="1">
      <alignment horizontal="right"/>
    </xf>
    <xf numFmtId="0" fontId="19" fillId="11" borderId="2" xfId="5" applyFont="1" applyFill="1" applyBorder="1" applyAlignment="1">
      <alignment horizontal="center"/>
    </xf>
    <xf numFmtId="0" fontId="19" fillId="11" borderId="20" xfId="5" applyFont="1" applyFill="1" applyBorder="1" applyAlignment="1">
      <alignment horizontal="center"/>
    </xf>
    <xf numFmtId="0" fontId="19" fillId="11" borderId="3" xfId="5" applyFont="1" applyFill="1" applyBorder="1" applyAlignment="1">
      <alignment horizontal="center"/>
    </xf>
    <xf numFmtId="0" fontId="5" fillId="11" borderId="33" xfId="5" applyFill="1" applyBorder="1"/>
    <xf numFmtId="169" fontId="5" fillId="12" borderId="5" xfId="5" applyNumberFormat="1" applyFill="1" applyBorder="1" applyAlignment="1">
      <alignment horizontal="right"/>
    </xf>
    <xf numFmtId="0" fontId="5" fillId="12" borderId="4" xfId="5" applyFill="1" applyBorder="1" applyAlignment="1">
      <alignment horizontal="center"/>
    </xf>
    <xf numFmtId="169" fontId="5" fillId="12" borderId="10" xfId="5" applyNumberFormat="1" applyFill="1" applyBorder="1" applyAlignment="1">
      <alignment horizontal="right"/>
    </xf>
    <xf numFmtId="169" fontId="5" fillId="12" borderId="9" xfId="5" applyNumberFormat="1" applyFill="1" applyBorder="1" applyAlignment="1">
      <alignment horizontal="right"/>
    </xf>
    <xf numFmtId="0" fontId="5" fillId="12" borderId="34" xfId="5" applyFill="1" applyBorder="1" applyAlignment="1">
      <alignment horizontal="left"/>
    </xf>
    <xf numFmtId="169" fontId="5" fillId="12" borderId="13" xfId="5" applyNumberFormat="1" applyFill="1" applyBorder="1" applyAlignment="1">
      <alignment horizontal="right"/>
    </xf>
    <xf numFmtId="0" fontId="5" fillId="12" borderId="5" xfId="5" applyFill="1" applyBorder="1" applyAlignment="1">
      <alignment horizontal="left"/>
    </xf>
    <xf numFmtId="0" fontId="5" fillId="11" borderId="35" xfId="5" applyFill="1" applyBorder="1"/>
    <xf numFmtId="169" fontId="5" fillId="12" borderId="7" xfId="5" applyNumberFormat="1" applyFill="1" applyBorder="1" applyAlignment="1">
      <alignment horizontal="right"/>
    </xf>
    <xf numFmtId="0" fontId="5" fillId="11" borderId="6" xfId="5" applyFill="1" applyBorder="1"/>
    <xf numFmtId="177" fontId="24" fillId="12" borderId="36" xfId="5" applyNumberFormat="1" applyFont="1" applyFill="1" applyBorder="1" applyAlignment="1">
      <alignment horizontal="right"/>
    </xf>
    <xf numFmtId="165" fontId="5" fillId="10" borderId="0" xfId="5" applyNumberFormat="1" applyFill="1" applyAlignment="1">
      <alignment horizontal="right"/>
    </xf>
    <xf numFmtId="0" fontId="5" fillId="12" borderId="6" xfId="5" applyFill="1" applyBorder="1" applyAlignment="1">
      <alignment horizontal="center"/>
    </xf>
    <xf numFmtId="169" fontId="5" fillId="12" borderId="15" xfId="5" applyNumberFormat="1" applyFill="1" applyBorder="1" applyAlignment="1">
      <alignment horizontal="right"/>
    </xf>
    <xf numFmtId="0" fontId="5" fillId="12" borderId="7" xfId="5" applyFill="1" applyBorder="1" applyAlignment="1">
      <alignment horizontal="left"/>
    </xf>
    <xf numFmtId="0" fontId="19" fillId="11" borderId="16" xfId="5" applyFont="1" applyFill="1" applyBorder="1" applyAlignment="1">
      <alignment horizontal="center"/>
    </xf>
    <xf numFmtId="0" fontId="19" fillId="11" borderId="18" xfId="5" applyFont="1" applyFill="1" applyBorder="1" applyAlignment="1">
      <alignment horizontal="center"/>
    </xf>
    <xf numFmtId="0" fontId="19" fillId="11" borderId="17" xfId="5" applyFont="1" applyFill="1" applyBorder="1" applyAlignment="1">
      <alignment horizontal="center"/>
    </xf>
    <xf numFmtId="0" fontId="19" fillId="11" borderId="9" xfId="5" applyFont="1" applyFill="1" applyBorder="1" applyAlignment="1">
      <alignment horizontal="center" wrapText="1"/>
    </xf>
    <xf numFmtId="0" fontId="19" fillId="10" borderId="0" xfId="5" applyFont="1" applyFill="1" applyAlignment="1">
      <alignment horizontal="center"/>
    </xf>
    <xf numFmtId="169" fontId="5" fillId="12" borderId="13" xfId="5" applyNumberFormat="1" applyFill="1" applyBorder="1"/>
    <xf numFmtId="0" fontId="5" fillId="12" borderId="13" xfId="5" applyFill="1" applyBorder="1"/>
    <xf numFmtId="0" fontId="5" fillId="12" borderId="9" xfId="5" applyFill="1" applyBorder="1"/>
    <xf numFmtId="0" fontId="5" fillId="12" borderId="9" xfId="5" applyFill="1" applyBorder="1" applyAlignment="1">
      <alignment horizontal="left"/>
    </xf>
    <xf numFmtId="0" fontId="4" fillId="12" borderId="13" xfId="5" applyFont="1" applyFill="1" applyBorder="1"/>
    <xf numFmtId="2" fontId="4" fillId="12" borderId="13" xfId="5" applyNumberFormat="1" applyFont="1" applyFill="1" applyBorder="1"/>
    <xf numFmtId="0" fontId="4" fillId="12" borderId="9" xfId="5" applyFont="1" applyFill="1" applyBorder="1"/>
    <xf numFmtId="169" fontId="4" fillId="12" borderId="13" xfId="5" applyNumberFormat="1" applyFont="1" applyFill="1" applyBorder="1"/>
    <xf numFmtId="0" fontId="4" fillId="12" borderId="13" xfId="5" applyFont="1" applyFill="1" applyBorder="1" applyAlignment="1">
      <alignment horizontal="left"/>
    </xf>
    <xf numFmtId="0" fontId="4" fillId="12" borderId="9" xfId="5" applyFont="1" applyFill="1" applyBorder="1" applyAlignment="1">
      <alignment horizontal="left"/>
    </xf>
    <xf numFmtId="2" fontId="5" fillId="12" borderId="13" xfId="5" applyNumberFormat="1" applyFill="1" applyBorder="1"/>
    <xf numFmtId="169" fontId="3" fillId="12" borderId="13" xfId="5" applyNumberFormat="1" applyFont="1" applyFill="1" applyBorder="1"/>
    <xf numFmtId="0" fontId="3" fillId="12" borderId="13" xfId="5" applyFont="1" applyFill="1" applyBorder="1" applyAlignment="1">
      <alignment horizontal="left"/>
    </xf>
    <xf numFmtId="0" fontId="3" fillId="12" borderId="9" xfId="5" applyFont="1" applyFill="1" applyBorder="1"/>
    <xf numFmtId="0" fontId="3" fillId="12" borderId="9" xfId="5" applyFont="1" applyFill="1" applyBorder="1" applyAlignment="1">
      <alignment horizontal="left"/>
    </xf>
    <xf numFmtId="0" fontId="2" fillId="12" borderId="9" xfId="5" applyFont="1" applyFill="1" applyBorder="1" applyAlignment="1">
      <alignment horizontal="left"/>
    </xf>
    <xf numFmtId="0" fontId="1" fillId="10" borderId="0" xfId="5" applyFont="1" applyFill="1"/>
    <xf numFmtId="0" fontId="1" fillId="10" borderId="0" xfId="5" applyFont="1" applyFill="1" applyAlignment="1">
      <alignment horizontal="left"/>
    </xf>
    <xf numFmtId="0" fontId="1" fillId="12" borderId="9" xfId="5" applyFont="1" applyFill="1" applyBorder="1" applyAlignment="1">
      <alignment horizontal="left"/>
    </xf>
    <xf numFmtId="0" fontId="6" fillId="5" borderId="0" xfId="2" applyFont="1" applyFill="1" applyBorder="1" applyAlignment="1" applyProtection="1">
      <alignment horizontal="left"/>
    </xf>
    <xf numFmtId="49" fontId="0" fillId="6" borderId="3" xfId="0" applyNumberFormat="1" applyFill="1" applyBorder="1" applyAlignment="1" applyProtection="1">
      <alignment horizontal="right"/>
      <protection locked="0"/>
    </xf>
    <xf numFmtId="1" fontId="0" fillId="6" borderId="5" xfId="0" applyNumberFormat="1" applyFill="1" applyBorder="1" applyAlignment="1" applyProtection="1">
      <alignment horizontal="right"/>
      <protection locked="0"/>
    </xf>
    <xf numFmtId="49" fontId="0" fillId="6" borderId="7" xfId="0" applyNumberFormat="1" applyFill="1" applyBorder="1" applyAlignment="1" applyProtection="1">
      <alignment horizontal="right"/>
      <protection locked="0"/>
    </xf>
    <xf numFmtId="0" fontId="0" fillId="6" borderId="3" xfId="0" applyFill="1" applyBorder="1" applyAlignment="1" applyProtection="1">
      <alignment horizontal="left"/>
      <protection locked="0"/>
    </xf>
    <xf numFmtId="0" fontId="0" fillId="6" borderId="5" xfId="0" applyFill="1" applyBorder="1" applyAlignment="1" applyProtection="1">
      <alignment horizontal="left"/>
      <protection locked="0"/>
    </xf>
    <xf numFmtId="0" fontId="0" fillId="6" borderId="7" xfId="0" applyFill="1" applyBorder="1" applyAlignment="1" applyProtection="1">
      <alignment horizontal="center" vertical="top" wrapText="1"/>
      <protection locked="0"/>
    </xf>
    <xf numFmtId="49" fontId="0" fillId="6" borderId="17" xfId="0" applyNumberFormat="1" applyFill="1" applyBorder="1" applyProtection="1">
      <protection locked="0"/>
    </xf>
    <xf numFmtId="0" fontId="10" fillId="3" borderId="18" xfId="0" applyFont="1" applyFill="1" applyBorder="1" applyAlignment="1">
      <alignment horizontal="center" vertical="top" wrapText="1"/>
    </xf>
    <xf numFmtId="0" fontId="0" fillId="6" borderId="9" xfId="0" applyFill="1" applyBorder="1" applyAlignment="1" applyProtection="1">
      <alignment horizontal="right"/>
      <protection locked="0"/>
    </xf>
    <xf numFmtId="0" fontId="0" fillId="6" borderId="15" xfId="0" applyFill="1" applyBorder="1" applyAlignment="1" applyProtection="1">
      <alignment horizontal="right"/>
      <protection locked="0"/>
    </xf>
    <xf numFmtId="0" fontId="0" fillId="6" borderId="13" xfId="0" applyFill="1" applyBorder="1" applyAlignment="1" applyProtection="1">
      <alignment horizontal="right" wrapText="1"/>
      <protection locked="0"/>
    </xf>
    <xf numFmtId="49" fontId="12" fillId="3" borderId="20" xfId="0" applyNumberFormat="1" applyFont="1" applyFill="1" applyBorder="1" applyAlignment="1">
      <alignment horizontal="right"/>
    </xf>
    <xf numFmtId="0" fontId="12" fillId="6" borderId="9" xfId="0" applyFont="1" applyFill="1" applyBorder="1" applyAlignment="1" applyProtection="1">
      <alignment horizontal="right"/>
      <protection locked="0"/>
    </xf>
    <xf numFmtId="167" fontId="12" fillId="3" borderId="9" xfId="0" applyNumberFormat="1" applyFont="1" applyFill="1" applyBorder="1" applyAlignment="1">
      <alignment horizontal="right"/>
    </xf>
    <xf numFmtId="164" fontId="12" fillId="6" borderId="9" xfId="0" applyNumberFormat="1" applyFont="1" applyFill="1" applyBorder="1" applyAlignment="1" applyProtection="1">
      <alignment horizontal="right"/>
      <protection locked="0"/>
    </xf>
    <xf numFmtId="49" fontId="12" fillId="6" borderId="9" xfId="0" applyNumberFormat="1" applyFont="1" applyFill="1" applyBorder="1" applyAlignment="1" applyProtection="1">
      <alignment horizontal="right"/>
      <protection locked="0"/>
    </xf>
    <xf numFmtId="0" fontId="12" fillId="6" borderId="7" xfId="0" applyFont="1" applyFill="1" applyBorder="1" applyAlignment="1" applyProtection="1">
      <alignment horizontal="left" wrapText="1"/>
      <protection locked="0"/>
    </xf>
    <xf numFmtId="0" fontId="11" fillId="6" borderId="7" xfId="0" applyFont="1" applyFill="1" applyBorder="1" applyAlignment="1" applyProtection="1">
      <alignment horizontal="left" vertical="top"/>
      <protection locked="0"/>
    </xf>
    <xf numFmtId="49" fontId="12" fillId="6" borderId="9" xfId="0" applyNumberFormat="1" applyFont="1" applyFill="1" applyBorder="1" applyAlignment="1" applyProtection="1">
      <alignment horizontal="left" wrapText="1"/>
      <protection locked="0"/>
    </xf>
    <xf numFmtId="0" fontId="0" fillId="3" borderId="9" xfId="0" applyFill="1" applyBorder="1" applyAlignment="1">
      <alignment horizontal="left"/>
    </xf>
    <xf numFmtId="0" fontId="6" fillId="5" borderId="24" xfId="2" applyFont="1" applyFill="1" applyBorder="1" applyAlignment="1" applyProtection="1">
      <alignment horizontal="left"/>
    </xf>
    <xf numFmtId="0" fontId="12" fillId="3" borderId="9" xfId="0" applyFont="1" applyFill="1" applyBorder="1" applyAlignment="1">
      <alignment horizontal="right"/>
    </xf>
    <xf numFmtId="0" fontId="12" fillId="3" borderId="4" xfId="0" applyFont="1" applyFill="1" applyBorder="1" applyAlignment="1">
      <alignment horizontal="left"/>
    </xf>
    <xf numFmtId="49" fontId="12" fillId="6" borderId="7" xfId="0" applyNumberFormat="1" applyFont="1" applyFill="1" applyBorder="1" applyAlignment="1" applyProtection="1">
      <alignment horizontal="left" wrapText="1"/>
      <protection locked="0"/>
    </xf>
    <xf numFmtId="0" fontId="14" fillId="5" borderId="0" xfId="2" applyFont="1" applyFill="1" applyBorder="1" applyAlignment="1" applyProtection="1">
      <alignment horizontal="left"/>
    </xf>
    <xf numFmtId="0" fontId="22" fillId="12" borderId="30" xfId="5" applyFont="1" applyFill="1" applyBorder="1" applyAlignment="1">
      <alignment wrapText="1"/>
    </xf>
    <xf numFmtId="0" fontId="22" fillId="12" borderId="31" xfId="5" applyFont="1" applyFill="1" applyBorder="1" applyAlignment="1">
      <alignment wrapText="1"/>
    </xf>
    <xf numFmtId="0" fontId="22" fillId="12" borderId="32" xfId="5" applyFont="1" applyFill="1" applyBorder="1" applyAlignment="1">
      <alignment wrapText="1"/>
    </xf>
    <xf numFmtId="0" fontId="21" fillId="9" borderId="0" xfId="4" applyFont="1" applyFill="1" applyBorder="1" applyAlignment="1">
      <alignment horizontal="left"/>
    </xf>
    <xf numFmtId="0" fontId="22" fillId="11" borderId="20" xfId="5" applyFont="1" applyFill="1" applyBorder="1" applyAlignment="1">
      <alignment horizontal="right"/>
    </xf>
    <xf numFmtId="0" fontId="22" fillId="12" borderId="9" xfId="5" applyFont="1" applyFill="1" applyBorder="1" applyAlignment="1">
      <alignment horizontal="right"/>
    </xf>
    <xf numFmtId="167" fontId="22" fillId="11" borderId="9" xfId="5" applyNumberFormat="1" applyFont="1" applyFill="1" applyBorder="1" applyAlignment="1">
      <alignment horizontal="right"/>
    </xf>
    <xf numFmtId="164" fontId="22" fillId="12" borderId="9" xfId="5" applyNumberFormat="1" applyFont="1" applyFill="1" applyBorder="1" applyAlignment="1">
      <alignment horizontal="right"/>
    </xf>
    <xf numFmtId="164" fontId="22" fillId="12" borderId="10" xfId="5" applyNumberFormat="1" applyFont="1" applyFill="1" applyBorder="1" applyAlignment="1">
      <alignment horizontal="right"/>
    </xf>
    <xf numFmtId="164" fontId="22" fillId="12" borderId="28" xfId="5" applyNumberFormat="1" applyFont="1" applyFill="1" applyBorder="1" applyAlignment="1">
      <alignment horizontal="right"/>
    </xf>
  </cellXfs>
  <cellStyles count="6">
    <cellStyle name="Comma" xfId="1" builtinId="3"/>
    <cellStyle name="Excel Built-in Calculation" xfId="3" xr:uid="{00000000-0005-0000-0000-000007000000}"/>
    <cellStyle name="Excel Built-in Neutral" xfId="2" xr:uid="{00000000-0005-0000-0000-000006000000}"/>
    <cellStyle name="Neutral 2" xfId="4" xr:uid="{EEE8F3C7-B592-46E2-B91E-0D6EDD0F853C}"/>
    <cellStyle name="Normal" xfId="0" builtinId="0"/>
    <cellStyle name="Normal 2" xfId="5" xr:uid="{AF37FB8A-BB8B-4DA5-8C45-149CFF8F2102}"/>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9C6500"/>
      <rgbColor rgb="FF800080"/>
      <rgbColor rgb="FF008080"/>
      <rgbColor rgb="FFBFBFBF"/>
      <rgbColor rgb="FF7F7F7F"/>
      <rgbColor rgb="FF9999FF"/>
      <rgbColor rgb="FF7030A0"/>
      <rgbColor rgb="FFF2F2F2"/>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EB9C"/>
      <rgbColor rgb="FF99CCFF"/>
      <rgbColor rgb="FFFF99CC"/>
      <rgbColor rgb="FFCC99FF"/>
      <rgbColor rgb="FFFCD5B5"/>
      <rgbColor rgb="FF3366FF"/>
      <rgbColor rgb="FF33CCCC"/>
      <rgbColor rgb="FF92D050"/>
      <rgbColor rgb="FFFFCC00"/>
      <rgbColor rgb="FFFF9900"/>
      <rgbColor rgb="FFFA7D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b-NO"/>
              <a:t>salinity</a:t>
            </a:r>
            <a:r>
              <a:rPr lang="nb-NO" baseline="0"/>
              <a:t> from SALO18 core</a:t>
            </a:r>
            <a:endParaRPr lang="nb-N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'Salinity Core'!$B$18:$B$51</c:f>
              <c:numCache>
                <c:formatCode>0" cm"</c:formatCode>
                <c:ptCount val="34"/>
                <c:pt idx="0">
                  <c:v>0</c:v>
                </c:pt>
                <c:pt idx="1">
                  <c:v>5</c:v>
                </c:pt>
                <c:pt idx="2">
                  <c:v>10</c:v>
                </c:pt>
                <c:pt idx="3">
                  <c:v>15</c:v>
                </c:pt>
                <c:pt idx="4">
                  <c:v>20</c:v>
                </c:pt>
                <c:pt idx="5">
                  <c:v>30</c:v>
                </c:pt>
                <c:pt idx="6">
                  <c:v>40</c:v>
                </c:pt>
                <c:pt idx="7">
                  <c:v>50</c:v>
                </c:pt>
                <c:pt idx="8">
                  <c:v>60</c:v>
                </c:pt>
                <c:pt idx="9">
                  <c:v>70</c:v>
                </c:pt>
                <c:pt idx="10">
                  <c:v>80</c:v>
                </c:pt>
                <c:pt idx="11">
                  <c:v>90</c:v>
                </c:pt>
                <c:pt idx="12">
                  <c:v>100</c:v>
                </c:pt>
                <c:pt idx="13">
                  <c:v>110</c:v>
                </c:pt>
                <c:pt idx="14">
                  <c:v>120</c:v>
                </c:pt>
                <c:pt idx="15">
                  <c:v>130</c:v>
                </c:pt>
                <c:pt idx="16">
                  <c:v>140</c:v>
                </c:pt>
                <c:pt idx="17">
                  <c:v>150</c:v>
                </c:pt>
                <c:pt idx="18">
                  <c:v>160</c:v>
                </c:pt>
                <c:pt idx="19">
                  <c:v>170</c:v>
                </c:pt>
                <c:pt idx="20">
                  <c:v>180</c:v>
                </c:pt>
                <c:pt idx="21">
                  <c:v>190</c:v>
                </c:pt>
                <c:pt idx="22">
                  <c:v>200</c:v>
                </c:pt>
                <c:pt idx="23">
                  <c:v>210</c:v>
                </c:pt>
                <c:pt idx="24">
                  <c:v>220</c:v>
                </c:pt>
                <c:pt idx="25">
                  <c:v>230</c:v>
                </c:pt>
                <c:pt idx="26">
                  <c:v>240</c:v>
                </c:pt>
                <c:pt idx="27">
                  <c:v>250</c:v>
                </c:pt>
                <c:pt idx="28">
                  <c:v>260</c:v>
                </c:pt>
                <c:pt idx="29">
                  <c:v>270</c:v>
                </c:pt>
                <c:pt idx="30">
                  <c:v>280</c:v>
                </c:pt>
                <c:pt idx="31">
                  <c:v>290</c:v>
                </c:pt>
                <c:pt idx="32">
                  <c:v>300</c:v>
                </c:pt>
                <c:pt idx="33" formatCode="General">
                  <c:v>306</c:v>
                </c:pt>
              </c:numCache>
            </c:numRef>
          </c:xVal>
          <c:yVal>
            <c:numRef>
              <c:f>'Salinity Core'!$D$18:$D$51</c:f>
              <c:numCache>
                <c:formatCode>0.00</c:formatCode>
                <c:ptCount val="34"/>
                <c:pt idx="0">
                  <c:v>0</c:v>
                </c:pt>
                <c:pt idx="1">
                  <c:v>0</c:v>
                </c:pt>
                <c:pt idx="2">
                  <c:v>0</c:v>
                </c:pt>
                <c:pt idx="3">
                  <c:v>0</c:v>
                </c:pt>
                <c:pt idx="4">
                  <c:v>0</c:v>
                </c:pt>
                <c:pt idx="5">
                  <c:v>0.2</c:v>
                </c:pt>
                <c:pt idx="6">
                  <c:v>0.5</c:v>
                </c:pt>
                <c:pt idx="7">
                  <c:v>0.8</c:v>
                </c:pt>
                <c:pt idx="8">
                  <c:v>0.8</c:v>
                </c:pt>
                <c:pt idx="9">
                  <c:v>1.7</c:v>
                </c:pt>
                <c:pt idx="10">
                  <c:v>1.4</c:v>
                </c:pt>
                <c:pt idx="11">
                  <c:v>2.2000000000000002</c:v>
                </c:pt>
                <c:pt idx="12">
                  <c:v>1.6</c:v>
                </c:pt>
                <c:pt idx="13">
                  <c:v>2</c:v>
                </c:pt>
                <c:pt idx="14">
                  <c:v>1.8</c:v>
                </c:pt>
                <c:pt idx="15">
                  <c:v>3.1</c:v>
                </c:pt>
                <c:pt idx="16">
                  <c:v>2.8</c:v>
                </c:pt>
                <c:pt idx="17">
                  <c:v>1.9</c:v>
                </c:pt>
                <c:pt idx="18">
                  <c:v>2.4</c:v>
                </c:pt>
                <c:pt idx="19">
                  <c:v>2.8</c:v>
                </c:pt>
                <c:pt idx="20">
                  <c:v>2.7</c:v>
                </c:pt>
                <c:pt idx="21">
                  <c:v>2.9</c:v>
                </c:pt>
                <c:pt idx="22">
                  <c:v>2.5</c:v>
                </c:pt>
                <c:pt idx="23">
                  <c:v>2.2999999999999998</c:v>
                </c:pt>
                <c:pt idx="24">
                  <c:v>3.3</c:v>
                </c:pt>
                <c:pt idx="25">
                  <c:v>2.5</c:v>
                </c:pt>
                <c:pt idx="26">
                  <c:v>2.9</c:v>
                </c:pt>
                <c:pt idx="27">
                  <c:v>4.2</c:v>
                </c:pt>
                <c:pt idx="28">
                  <c:v>3.9</c:v>
                </c:pt>
                <c:pt idx="29">
                  <c:v>3.4</c:v>
                </c:pt>
                <c:pt idx="30">
                  <c:v>3.7</c:v>
                </c:pt>
                <c:pt idx="31">
                  <c:v>3.5</c:v>
                </c:pt>
                <c:pt idx="32">
                  <c:v>4.2</c:v>
                </c:pt>
                <c:pt idx="33" formatCode="General">
                  <c:v>6.4</c:v>
                </c:pt>
              </c:numCache>
            </c:numRef>
          </c:yVal>
          <c:smooth val="1"/>
          <c:extLst>
            <c:ext xmlns:c16="http://schemas.microsoft.com/office/drawing/2014/chart" uri="{C3380CC4-5D6E-409C-BE32-E72D297353CC}">
              <c16:uniqueId val="{00000000-C530-46CC-BCC4-F82E116776C1}"/>
            </c:ext>
          </c:extLst>
        </c:ser>
        <c:dLbls>
          <c:showLegendKey val="0"/>
          <c:showVal val="0"/>
          <c:showCatName val="0"/>
          <c:showSerName val="0"/>
          <c:showPercent val="0"/>
          <c:showBubbleSize val="0"/>
        </c:dLbls>
        <c:axId val="324195439"/>
        <c:axId val="324193519"/>
      </c:scatterChart>
      <c:valAx>
        <c:axId val="324195439"/>
        <c:scaling>
          <c:orientation val="minMax"/>
        </c:scaling>
        <c:delete val="0"/>
        <c:axPos val="b"/>
        <c:majorGridlines>
          <c:spPr>
            <a:ln w="9525" cap="flat" cmpd="sng" algn="ctr">
              <a:solidFill>
                <a:schemeClr val="tx1">
                  <a:lumMod val="15000"/>
                  <a:lumOff val="85000"/>
                </a:schemeClr>
              </a:solidFill>
              <a:round/>
            </a:ln>
            <a:effectLst/>
          </c:spPr>
        </c:majorGridlines>
        <c:numFmt formatCode="0&quot; cm&quot;"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193519"/>
        <c:crosses val="autoZero"/>
        <c:crossBetween val="midCat"/>
      </c:valAx>
      <c:valAx>
        <c:axId val="3241935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19543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b-NO"/>
              <a:t>ice density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'Density Core'!$G$23:$G$83</c:f>
              <c:numCache>
                <c:formatCode>0" cm"</c:formatCode>
                <c:ptCount val="61"/>
                <c:pt idx="0">
                  <c:v>2.5</c:v>
                </c:pt>
                <c:pt idx="1">
                  <c:v>7.5</c:v>
                </c:pt>
                <c:pt idx="2">
                  <c:v>12.5</c:v>
                </c:pt>
                <c:pt idx="3">
                  <c:v>17.5</c:v>
                </c:pt>
                <c:pt idx="4">
                  <c:v>22.5</c:v>
                </c:pt>
                <c:pt idx="5">
                  <c:v>27.5</c:v>
                </c:pt>
                <c:pt idx="6">
                  <c:v>32.5</c:v>
                </c:pt>
                <c:pt idx="7">
                  <c:v>37.5</c:v>
                </c:pt>
                <c:pt idx="8">
                  <c:v>42.5</c:v>
                </c:pt>
                <c:pt idx="9">
                  <c:v>47.5</c:v>
                </c:pt>
                <c:pt idx="10">
                  <c:v>53</c:v>
                </c:pt>
                <c:pt idx="11">
                  <c:v>58</c:v>
                </c:pt>
                <c:pt idx="12">
                  <c:v>62.5</c:v>
                </c:pt>
                <c:pt idx="13">
                  <c:v>67.5</c:v>
                </c:pt>
                <c:pt idx="14">
                  <c:v>72.5</c:v>
                </c:pt>
                <c:pt idx="15">
                  <c:v>77</c:v>
                </c:pt>
                <c:pt idx="16">
                  <c:v>82.5</c:v>
                </c:pt>
                <c:pt idx="17">
                  <c:v>87.5</c:v>
                </c:pt>
                <c:pt idx="18">
                  <c:v>92.5</c:v>
                </c:pt>
                <c:pt idx="19">
                  <c:v>97.5</c:v>
                </c:pt>
                <c:pt idx="20">
                  <c:v>102.5</c:v>
                </c:pt>
                <c:pt idx="21">
                  <c:v>107.5</c:v>
                </c:pt>
                <c:pt idx="22">
                  <c:v>112.5</c:v>
                </c:pt>
                <c:pt idx="23">
                  <c:v>117.5</c:v>
                </c:pt>
                <c:pt idx="24">
                  <c:v>122.5</c:v>
                </c:pt>
                <c:pt idx="25">
                  <c:v>127.5</c:v>
                </c:pt>
                <c:pt idx="26">
                  <c:v>132.5</c:v>
                </c:pt>
                <c:pt idx="27">
                  <c:v>137.5</c:v>
                </c:pt>
                <c:pt idx="28">
                  <c:v>142.5</c:v>
                </c:pt>
                <c:pt idx="29">
                  <c:v>147.5</c:v>
                </c:pt>
                <c:pt idx="30">
                  <c:v>152.5</c:v>
                </c:pt>
                <c:pt idx="31">
                  <c:v>157.5</c:v>
                </c:pt>
                <c:pt idx="32">
                  <c:v>162.5</c:v>
                </c:pt>
                <c:pt idx="33">
                  <c:v>167.5</c:v>
                </c:pt>
                <c:pt idx="34">
                  <c:v>172.5</c:v>
                </c:pt>
                <c:pt idx="35">
                  <c:v>177.5</c:v>
                </c:pt>
                <c:pt idx="36">
                  <c:v>183.25</c:v>
                </c:pt>
                <c:pt idx="37" formatCode="General">
                  <c:v>188.25</c:v>
                </c:pt>
                <c:pt idx="38" formatCode="General">
                  <c:v>192.5</c:v>
                </c:pt>
                <c:pt idx="39" formatCode="General">
                  <c:v>197.5</c:v>
                </c:pt>
                <c:pt idx="40" formatCode="General">
                  <c:v>202.5</c:v>
                </c:pt>
                <c:pt idx="41" formatCode="General">
                  <c:v>207.5</c:v>
                </c:pt>
                <c:pt idx="42" formatCode="General">
                  <c:v>212.5</c:v>
                </c:pt>
                <c:pt idx="43" formatCode="General">
                  <c:v>217.5</c:v>
                </c:pt>
                <c:pt idx="44" formatCode="General">
                  <c:v>222.5</c:v>
                </c:pt>
                <c:pt idx="45" formatCode="General">
                  <c:v>227.5</c:v>
                </c:pt>
                <c:pt idx="46" formatCode="General">
                  <c:v>232.5</c:v>
                </c:pt>
                <c:pt idx="47" formatCode="General">
                  <c:v>237.5</c:v>
                </c:pt>
                <c:pt idx="48" formatCode="General">
                  <c:v>242.5</c:v>
                </c:pt>
                <c:pt idx="49" formatCode="General">
                  <c:v>247.5</c:v>
                </c:pt>
                <c:pt idx="50" formatCode="General">
                  <c:v>252.5</c:v>
                </c:pt>
                <c:pt idx="51" formatCode="General">
                  <c:v>257.5</c:v>
                </c:pt>
                <c:pt idx="52" formatCode="General">
                  <c:v>262.5</c:v>
                </c:pt>
                <c:pt idx="53" formatCode="General">
                  <c:v>267.5</c:v>
                </c:pt>
                <c:pt idx="54" formatCode="General">
                  <c:v>272.5</c:v>
                </c:pt>
                <c:pt idx="55" formatCode="General">
                  <c:v>277.5</c:v>
                </c:pt>
                <c:pt idx="56" formatCode="General">
                  <c:v>282.5</c:v>
                </c:pt>
                <c:pt idx="57" formatCode="General">
                  <c:v>287.5</c:v>
                </c:pt>
                <c:pt idx="58" formatCode="General">
                  <c:v>292.5</c:v>
                </c:pt>
                <c:pt idx="59" formatCode="General">
                  <c:v>297.5</c:v>
                </c:pt>
                <c:pt idx="60" formatCode="General">
                  <c:v>301.5</c:v>
                </c:pt>
              </c:numCache>
            </c:numRef>
          </c:xVal>
          <c:yVal>
            <c:numRef>
              <c:f>'Density Core'!$H$23:$H$83</c:f>
              <c:numCache>
                <c:formatCode>General</c:formatCode>
                <c:ptCount val="61"/>
                <c:pt idx="0">
                  <c:v>0.85792757299368549</c:v>
                </c:pt>
                <c:pt idx="1">
                  <c:v>0.83599999999999997</c:v>
                </c:pt>
                <c:pt idx="2">
                  <c:v>0.84307329931972796</c:v>
                </c:pt>
                <c:pt idx="3">
                  <c:v>0.88370732862386048</c:v>
                </c:pt>
                <c:pt idx="4">
                  <c:v>0.91207926988265975</c:v>
                </c:pt>
                <c:pt idx="5">
                  <c:v>0.90990544143013952</c:v>
                </c:pt>
                <c:pt idx="6">
                  <c:v>0.90440696608615934</c:v>
                </c:pt>
                <c:pt idx="7">
                  <c:v>0.90616730853217919</c:v>
                </c:pt>
                <c:pt idx="8">
                  <c:v>0.90857795893489768</c:v>
                </c:pt>
                <c:pt idx="9">
                  <c:v>0.90916917431192668</c:v>
                </c:pt>
                <c:pt idx="10">
                  <c:v>0.90986450202934743</c:v>
                </c:pt>
                <c:pt idx="11">
                  <c:v>0.90944493011710104</c:v>
                </c:pt>
                <c:pt idx="12">
                  <c:v>0.91011075949367082</c:v>
                </c:pt>
                <c:pt idx="13">
                  <c:v>0.9064960632916208</c:v>
                </c:pt>
                <c:pt idx="14">
                  <c:v>0.91164140993616427</c:v>
                </c:pt>
                <c:pt idx="15">
                  <c:v>0.91404930662557782</c:v>
                </c:pt>
                <c:pt idx="16">
                  <c:v>0.90893152799214261</c:v>
                </c:pt>
                <c:pt idx="17">
                  <c:v>0.90015771177117709</c:v>
                </c:pt>
                <c:pt idx="18">
                  <c:v>0.90656115918695901</c:v>
                </c:pt>
                <c:pt idx="19">
                  <c:v>0.91304357859917684</c:v>
                </c:pt>
                <c:pt idx="20">
                  <c:v>0.91443916816767645</c:v>
                </c:pt>
                <c:pt idx="21">
                  <c:v>0.91398847006651873</c:v>
                </c:pt>
                <c:pt idx="22">
                  <c:v>0.91687966045272973</c:v>
                </c:pt>
                <c:pt idx="23">
                  <c:v>0.91262995309720196</c:v>
                </c:pt>
                <c:pt idx="24">
                  <c:v>0.91801113457477446</c:v>
                </c:pt>
                <c:pt idx="25">
                  <c:v>0.91546706771556363</c:v>
                </c:pt>
                <c:pt idx="26">
                  <c:v>0.9118756336060666</c:v>
                </c:pt>
                <c:pt idx="27">
                  <c:v>0.90895291375291376</c:v>
                </c:pt>
                <c:pt idx="28">
                  <c:v>0.91343478929560129</c:v>
                </c:pt>
                <c:pt idx="29">
                  <c:v>0.91333156190318021</c:v>
                </c:pt>
                <c:pt idx="30">
                  <c:v>0.91229514563106795</c:v>
                </c:pt>
                <c:pt idx="31">
                  <c:v>0.91208299963596651</c:v>
                </c:pt>
                <c:pt idx="32">
                  <c:v>0.91276686925354522</c:v>
                </c:pt>
                <c:pt idx="33">
                  <c:v>0.91403402734617756</c:v>
                </c:pt>
                <c:pt idx="34">
                  <c:v>0.91395393995883334</c:v>
                </c:pt>
                <c:pt idx="35">
                  <c:v>0.9157631343283581</c:v>
                </c:pt>
                <c:pt idx="36">
                  <c:v>0.91567494263895066</c:v>
                </c:pt>
                <c:pt idx="37">
                  <c:v>0.91668410622275076</c:v>
                </c:pt>
                <c:pt idx="38">
                  <c:v>0.91852074267478967</c:v>
                </c:pt>
                <c:pt idx="39">
                  <c:v>0.91708341116459513</c:v>
                </c:pt>
                <c:pt idx="40">
                  <c:v>0.91723582089552247</c:v>
                </c:pt>
                <c:pt idx="41">
                  <c:v>0.91551756552218588</c:v>
                </c:pt>
                <c:pt idx="42">
                  <c:v>0.91485747681757956</c:v>
                </c:pt>
                <c:pt idx="43">
                  <c:v>0.91144652291874917</c:v>
                </c:pt>
                <c:pt idx="44">
                  <c:v>0.91674407779901923</c:v>
                </c:pt>
                <c:pt idx="45">
                  <c:v>0.91761184660577033</c:v>
                </c:pt>
                <c:pt idx="46">
                  <c:v>0.91930686573916975</c:v>
                </c:pt>
                <c:pt idx="47">
                  <c:v>0.9164820512820514</c:v>
                </c:pt>
                <c:pt idx="48">
                  <c:v>0.91849977450699027</c:v>
                </c:pt>
                <c:pt idx="49">
                  <c:v>0.91726506952045073</c:v>
                </c:pt>
                <c:pt idx="50">
                  <c:v>0.91920903861275505</c:v>
                </c:pt>
                <c:pt idx="51">
                  <c:v>0.9174167938931298</c:v>
                </c:pt>
                <c:pt idx="52">
                  <c:v>0.91919401834579506</c:v>
                </c:pt>
                <c:pt idx="53">
                  <c:v>0.91867444643925789</c:v>
                </c:pt>
                <c:pt idx="54">
                  <c:v>0.91557724616508396</c:v>
                </c:pt>
                <c:pt idx="55">
                  <c:v>0.9166794055201698</c:v>
                </c:pt>
                <c:pt idx="56">
                  <c:v>0.91880247944783933</c:v>
                </c:pt>
                <c:pt idx="57">
                  <c:v>0.91690106007067129</c:v>
                </c:pt>
                <c:pt idx="58">
                  <c:v>0.91949027562343399</c:v>
                </c:pt>
                <c:pt idx="59">
                  <c:v>0.91827651715039571</c:v>
                </c:pt>
                <c:pt idx="60">
                  <c:v>0.91523979499547781</c:v>
                </c:pt>
              </c:numCache>
            </c:numRef>
          </c:yVal>
          <c:smooth val="1"/>
          <c:extLst>
            <c:ext xmlns:c16="http://schemas.microsoft.com/office/drawing/2014/chart" uri="{C3380CC4-5D6E-409C-BE32-E72D297353CC}">
              <c16:uniqueId val="{00000000-6F8D-4853-A9C0-2E539DD00CF0}"/>
            </c:ext>
          </c:extLst>
        </c:ser>
        <c:dLbls>
          <c:showLegendKey val="0"/>
          <c:showVal val="0"/>
          <c:showCatName val="0"/>
          <c:showSerName val="0"/>
          <c:showPercent val="0"/>
          <c:showBubbleSize val="0"/>
        </c:dLbls>
        <c:axId val="1764006336"/>
        <c:axId val="1764006816"/>
      </c:scatterChart>
      <c:valAx>
        <c:axId val="1764006336"/>
        <c:scaling>
          <c:orientation val="minMax"/>
          <c:max val="300"/>
        </c:scaling>
        <c:delete val="0"/>
        <c:axPos val="b"/>
        <c:majorGridlines>
          <c:spPr>
            <a:ln w="9525" cap="flat" cmpd="sng" algn="ctr">
              <a:solidFill>
                <a:schemeClr val="tx1">
                  <a:lumMod val="15000"/>
                  <a:lumOff val="85000"/>
                </a:schemeClr>
              </a:solidFill>
              <a:round/>
            </a:ln>
            <a:effectLst/>
          </c:spPr>
        </c:majorGridlines>
        <c:numFmt formatCode="0&quot; cm&quot;"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006816"/>
        <c:crosses val="autoZero"/>
        <c:crossBetween val="midCat"/>
      </c:valAx>
      <c:valAx>
        <c:axId val="1764006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00633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b-NO"/>
              <a:t>ice salinity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'Density Core'!$G$23:$G$59</c:f>
              <c:numCache>
                <c:formatCode>0" cm"</c:formatCode>
                <c:ptCount val="37"/>
                <c:pt idx="0">
                  <c:v>2.5</c:v>
                </c:pt>
                <c:pt idx="1">
                  <c:v>7.5</c:v>
                </c:pt>
                <c:pt idx="2">
                  <c:v>12.5</c:v>
                </c:pt>
                <c:pt idx="3">
                  <c:v>17.5</c:v>
                </c:pt>
                <c:pt idx="4">
                  <c:v>22.5</c:v>
                </c:pt>
                <c:pt idx="5">
                  <c:v>27.5</c:v>
                </c:pt>
                <c:pt idx="6">
                  <c:v>32.5</c:v>
                </c:pt>
                <c:pt idx="7">
                  <c:v>37.5</c:v>
                </c:pt>
                <c:pt idx="8">
                  <c:v>42.5</c:v>
                </c:pt>
                <c:pt idx="9">
                  <c:v>47.5</c:v>
                </c:pt>
                <c:pt idx="10">
                  <c:v>53</c:v>
                </c:pt>
                <c:pt idx="11">
                  <c:v>58</c:v>
                </c:pt>
                <c:pt idx="12">
                  <c:v>62.5</c:v>
                </c:pt>
                <c:pt idx="13">
                  <c:v>67.5</c:v>
                </c:pt>
                <c:pt idx="14">
                  <c:v>72.5</c:v>
                </c:pt>
                <c:pt idx="15">
                  <c:v>77</c:v>
                </c:pt>
                <c:pt idx="16">
                  <c:v>82.5</c:v>
                </c:pt>
                <c:pt idx="17">
                  <c:v>87.5</c:v>
                </c:pt>
                <c:pt idx="18">
                  <c:v>92.5</c:v>
                </c:pt>
                <c:pt idx="19">
                  <c:v>97.5</c:v>
                </c:pt>
                <c:pt idx="20">
                  <c:v>102.5</c:v>
                </c:pt>
                <c:pt idx="21">
                  <c:v>107.5</c:v>
                </c:pt>
                <c:pt idx="22">
                  <c:v>112.5</c:v>
                </c:pt>
                <c:pt idx="23">
                  <c:v>117.5</c:v>
                </c:pt>
                <c:pt idx="24">
                  <c:v>122.5</c:v>
                </c:pt>
                <c:pt idx="25">
                  <c:v>127.5</c:v>
                </c:pt>
                <c:pt idx="26">
                  <c:v>132.5</c:v>
                </c:pt>
                <c:pt idx="27">
                  <c:v>137.5</c:v>
                </c:pt>
                <c:pt idx="28">
                  <c:v>142.5</c:v>
                </c:pt>
                <c:pt idx="29">
                  <c:v>147.5</c:v>
                </c:pt>
                <c:pt idx="30">
                  <c:v>152.5</c:v>
                </c:pt>
                <c:pt idx="31">
                  <c:v>157.5</c:v>
                </c:pt>
                <c:pt idx="32">
                  <c:v>162.5</c:v>
                </c:pt>
                <c:pt idx="33">
                  <c:v>167.5</c:v>
                </c:pt>
                <c:pt idx="34">
                  <c:v>172.5</c:v>
                </c:pt>
                <c:pt idx="35">
                  <c:v>177.5</c:v>
                </c:pt>
                <c:pt idx="36">
                  <c:v>183.25</c:v>
                </c:pt>
              </c:numCache>
            </c:numRef>
          </c:xVal>
          <c:yVal>
            <c:numRef>
              <c:f>'Density Core'!$J$23:$J$59</c:f>
              <c:numCache>
                <c:formatCode>General</c:formatCode>
                <c:ptCount val="37"/>
                <c:pt idx="0">
                  <c:v>0.5</c:v>
                </c:pt>
                <c:pt idx="1">
                  <c:v>0.8</c:v>
                </c:pt>
                <c:pt idx="2">
                  <c:v>1.2</c:v>
                </c:pt>
                <c:pt idx="3">
                  <c:v>0.3</c:v>
                </c:pt>
                <c:pt idx="4">
                  <c:v>0</c:v>
                </c:pt>
                <c:pt idx="5">
                  <c:v>0.1</c:v>
                </c:pt>
                <c:pt idx="6">
                  <c:v>0.3</c:v>
                </c:pt>
                <c:pt idx="7">
                  <c:v>0.5</c:v>
                </c:pt>
                <c:pt idx="8">
                  <c:v>0.5</c:v>
                </c:pt>
                <c:pt idx="9">
                  <c:v>0.8</c:v>
                </c:pt>
                <c:pt idx="10">
                  <c:v>0.7</c:v>
                </c:pt>
                <c:pt idx="11">
                  <c:v>0.9</c:v>
                </c:pt>
                <c:pt idx="12">
                  <c:v>1</c:v>
                </c:pt>
                <c:pt idx="13">
                  <c:v>0.8</c:v>
                </c:pt>
                <c:pt idx="14">
                  <c:v>0.8</c:v>
                </c:pt>
                <c:pt idx="15">
                  <c:v>1.2</c:v>
                </c:pt>
                <c:pt idx="16">
                  <c:v>2</c:v>
                </c:pt>
                <c:pt idx="17">
                  <c:v>2.2999999999999998</c:v>
                </c:pt>
                <c:pt idx="18">
                  <c:v>2.1</c:v>
                </c:pt>
                <c:pt idx="19">
                  <c:v>1.4</c:v>
                </c:pt>
                <c:pt idx="20">
                  <c:v>1.3</c:v>
                </c:pt>
                <c:pt idx="21">
                  <c:v>2</c:v>
                </c:pt>
                <c:pt idx="22">
                  <c:v>1.8</c:v>
                </c:pt>
                <c:pt idx="23">
                  <c:v>1.9</c:v>
                </c:pt>
                <c:pt idx="24">
                  <c:v>2.1</c:v>
                </c:pt>
                <c:pt idx="25">
                  <c:v>2.5</c:v>
                </c:pt>
                <c:pt idx="26">
                  <c:v>3</c:v>
                </c:pt>
                <c:pt idx="27">
                  <c:v>2.7</c:v>
                </c:pt>
                <c:pt idx="28">
                  <c:v>1.7</c:v>
                </c:pt>
                <c:pt idx="29">
                  <c:v>2</c:v>
                </c:pt>
                <c:pt idx="30">
                  <c:v>2.5</c:v>
                </c:pt>
                <c:pt idx="31">
                  <c:v>3.3</c:v>
                </c:pt>
                <c:pt idx="32">
                  <c:v>2.9</c:v>
                </c:pt>
                <c:pt idx="33">
                  <c:v>2.5</c:v>
                </c:pt>
                <c:pt idx="34">
                  <c:v>2.2000000000000002</c:v>
                </c:pt>
                <c:pt idx="35">
                  <c:v>2.2000000000000002</c:v>
                </c:pt>
                <c:pt idx="36">
                  <c:v>2.1</c:v>
                </c:pt>
              </c:numCache>
            </c:numRef>
          </c:yVal>
          <c:smooth val="1"/>
          <c:extLst>
            <c:ext xmlns:c16="http://schemas.microsoft.com/office/drawing/2014/chart" uri="{C3380CC4-5D6E-409C-BE32-E72D297353CC}">
              <c16:uniqueId val="{00000000-45B3-441F-A14F-681592D89A78}"/>
            </c:ext>
          </c:extLst>
        </c:ser>
        <c:dLbls>
          <c:showLegendKey val="0"/>
          <c:showVal val="0"/>
          <c:showCatName val="0"/>
          <c:showSerName val="0"/>
          <c:showPercent val="0"/>
          <c:showBubbleSize val="0"/>
        </c:dLbls>
        <c:axId val="1230243423"/>
        <c:axId val="1230243903"/>
      </c:scatterChart>
      <c:valAx>
        <c:axId val="1230243423"/>
        <c:scaling>
          <c:orientation val="minMax"/>
        </c:scaling>
        <c:delete val="0"/>
        <c:axPos val="b"/>
        <c:majorGridlines>
          <c:spPr>
            <a:ln w="9525" cap="flat" cmpd="sng" algn="ctr">
              <a:solidFill>
                <a:schemeClr val="tx1">
                  <a:lumMod val="15000"/>
                  <a:lumOff val="85000"/>
                </a:schemeClr>
              </a:solidFill>
              <a:round/>
            </a:ln>
            <a:effectLst/>
          </c:spPr>
        </c:majorGridlines>
        <c:numFmt formatCode="0&quot; cm&quot;"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243903"/>
        <c:crosses val="autoZero"/>
        <c:crossBetween val="midCat"/>
      </c:valAx>
      <c:valAx>
        <c:axId val="1230243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24342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523875</xdr:colOff>
      <xdr:row>52</xdr:row>
      <xdr:rowOff>80963</xdr:rowOff>
    </xdr:from>
    <xdr:to>
      <xdr:col>8</xdr:col>
      <xdr:colOff>790575</xdr:colOff>
      <xdr:row>67</xdr:row>
      <xdr:rowOff>109538</xdr:rowOff>
    </xdr:to>
    <xdr:graphicFrame macro="">
      <xdr:nvGraphicFramePr>
        <xdr:cNvPr id="2" name="Chart 1">
          <a:extLst>
            <a:ext uri="{FF2B5EF4-FFF2-40B4-BE49-F238E27FC236}">
              <a16:creationId xmlns:a16="http://schemas.microsoft.com/office/drawing/2014/main" id="{1D3BB101-1846-BC59-0F1A-E7229DC3F8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13</xdr:col>
      <xdr:colOff>253365</xdr:colOff>
      <xdr:row>70</xdr:row>
      <xdr:rowOff>12383</xdr:rowOff>
    </xdr:from>
    <xdr:to>
      <xdr:col>20</xdr:col>
      <xdr:colOff>411480</xdr:colOff>
      <xdr:row>85</xdr:row>
      <xdr:rowOff>40958</xdr:rowOff>
    </xdr:to>
    <xdr:graphicFrame macro="">
      <xdr:nvGraphicFramePr>
        <xdr:cNvPr id="2" name="Chart 1">
          <a:extLst>
            <a:ext uri="{FF2B5EF4-FFF2-40B4-BE49-F238E27FC236}">
              <a16:creationId xmlns:a16="http://schemas.microsoft.com/office/drawing/2014/main" id="{88B2061A-EE34-4B46-9FAA-D847A989B8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584835</xdr:colOff>
      <xdr:row>51</xdr:row>
      <xdr:rowOff>30798</xdr:rowOff>
    </xdr:from>
    <xdr:to>
      <xdr:col>20</xdr:col>
      <xdr:colOff>121285</xdr:colOff>
      <xdr:row>66</xdr:row>
      <xdr:rowOff>59373</xdr:rowOff>
    </xdr:to>
    <xdr:graphicFrame macro="">
      <xdr:nvGraphicFramePr>
        <xdr:cNvPr id="3" name="Chart 2">
          <a:extLst>
            <a:ext uri="{FF2B5EF4-FFF2-40B4-BE49-F238E27FC236}">
              <a16:creationId xmlns:a16="http://schemas.microsoft.com/office/drawing/2014/main" id="{7E1AA2E4-948C-41A2-97C0-46FD9F1002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work\Svalbard_seaice_work\KF2025_field_work_AprMay\IceStation6_02052025_Dyrevika\02-05-25%20KF2025%20Station%206_11112025_with_densities_final.xlsx" TargetMode="External"/><Relationship Id="rId1" Type="http://schemas.openxmlformats.org/officeDocument/2006/relationships/externalLinkPath" Target="file:///D:\work\Svalbard_seaice_work\KF2025_field_work_AprMay\IceStation6_02052025_Dyrevika\02-05-25%20KF2025%20Station%206_11112025_with_densities_final.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tionOverview"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tation Overview"/>
      <sheetName val="Thickness Drilling"/>
      <sheetName val="Salinity Core"/>
      <sheetName val="Temperature Core"/>
      <sheetName val="Chemistry core"/>
      <sheetName val="Density Core"/>
      <sheetName val="Archive Core"/>
      <sheetName val="BioCores Philipp"/>
      <sheetName val="BioCores NCPOR"/>
      <sheetName val="Snow Pit"/>
      <sheetName val="Lists"/>
    </sheetNames>
    <sheetDataSet>
      <sheetData sheetId="0">
        <row r="4">
          <cell r="B4" t="str">
            <v>KF2025</v>
          </cell>
        </row>
        <row r="5">
          <cell r="B5">
            <v>6</v>
          </cell>
        </row>
        <row r="6">
          <cell r="B6">
            <v>1</v>
          </cell>
        </row>
        <row r="17">
          <cell r="B17">
            <v>45779</v>
          </cell>
        </row>
      </sheetData>
      <sheetData sheetId="1" refreshError="1"/>
      <sheetData sheetId="2" refreshError="1"/>
      <sheetData sheetId="3" refreshError="1"/>
      <sheetData sheetId="4" refreshError="1"/>
      <sheetData sheetId="5">
        <row r="23">
          <cell r="G23">
            <v>2.5</v>
          </cell>
        </row>
      </sheetData>
      <sheetData sheetId="6" refreshError="1"/>
      <sheetData sheetId="7" refreshError="1"/>
      <sheetData sheetId="8" refreshError="1"/>
      <sheetData sheetId="9" refreshError="1"/>
      <sheetData sheetId="10">
        <row r="2">
          <cell r="A2" t="str">
            <v>UTC-12</v>
          </cell>
          <cell r="B2" t="str">
            <v>Fast ice visit</v>
          </cell>
          <cell r="C2" t="str">
            <v>Cold, snow (winter/spring conditions)</v>
          </cell>
          <cell r="D2" t="str">
            <v>Fist</v>
          </cell>
          <cell r="E2" t="str">
            <v>I-A</v>
          </cell>
          <cell r="F2" t="str">
            <v>Yes</v>
          </cell>
        </row>
        <row r="3">
          <cell r="A3" t="str">
            <v>UTC-11</v>
          </cell>
          <cell r="B3" t="str">
            <v>Fast ice repeated location</v>
          </cell>
          <cell r="C3" t="str">
            <v>Melting snow</v>
          </cell>
          <cell r="D3" t="str">
            <v>4 fingers</v>
          </cell>
          <cell r="E3" t="str">
            <v>I-B</v>
          </cell>
          <cell r="F3" t="str">
            <v>No</v>
          </cell>
        </row>
        <row r="4">
          <cell r="A4" t="str">
            <v>UTC-10</v>
          </cell>
          <cell r="B4" t="str">
            <v>Ice floe, single-day station</v>
          </cell>
          <cell r="C4" t="str">
            <v>Flooded</v>
          </cell>
          <cell r="D4" t="str">
            <v>3 fingers</v>
          </cell>
          <cell r="E4" t="str">
            <v>II-A-1</v>
          </cell>
        </row>
        <row r="5">
          <cell r="A5" t="str">
            <v>UTC-9</v>
          </cell>
          <cell r="B5" t="str">
            <v>Ice floe, multi-day station</v>
          </cell>
          <cell r="C5" t="str">
            <v>Bare ice, warm, few or no melt ponds</v>
          </cell>
          <cell r="D5" t="str">
            <v>2 fingers</v>
          </cell>
          <cell r="E5" t="str">
            <v>II-A-2</v>
          </cell>
        </row>
        <row r="6">
          <cell r="A6" t="str">
            <v>UTC-8</v>
          </cell>
          <cell r="C6" t="str">
            <v>Bare ice, warm, with melt ponds</v>
          </cell>
          <cell r="D6" t="str">
            <v>1 finger</v>
          </cell>
          <cell r="E6" t="str">
            <v>II-B-1</v>
          </cell>
        </row>
        <row r="7">
          <cell r="A7" t="str">
            <v>UTC-7</v>
          </cell>
          <cell r="C7" t="str">
            <v>Bare ice, warm, partially refrozen melt ponds</v>
          </cell>
          <cell r="D7" t="str">
            <v>Pencil</v>
          </cell>
          <cell r="E7" t="str">
            <v>II-B-2</v>
          </cell>
        </row>
        <row r="8">
          <cell r="A8" t="str">
            <v>UTC-6</v>
          </cell>
          <cell r="C8" t="str">
            <v>Bare ice, frozen, few or no melt ponds</v>
          </cell>
          <cell r="D8" t="str">
            <v>Knife</v>
          </cell>
          <cell r="E8" t="str">
            <v>III-A-1</v>
          </cell>
        </row>
        <row r="9">
          <cell r="A9" t="str">
            <v>UTC-5</v>
          </cell>
          <cell r="C9" t="str">
            <v>Bare ice, frozen, with melt ponds</v>
          </cell>
          <cell r="D9" t="str">
            <v>Ice</v>
          </cell>
          <cell r="E9" t="str">
            <v>III-A-2</v>
          </cell>
        </row>
        <row r="10">
          <cell r="A10" t="str">
            <v>UTC-4</v>
          </cell>
          <cell r="C10" t="str">
            <v>Bare ice, frozen, partially refrozen melt ponds</v>
          </cell>
          <cell r="E10" t="str">
            <v>III-A-3</v>
          </cell>
        </row>
        <row r="11">
          <cell r="A11" t="str">
            <v>UTC-3</v>
          </cell>
          <cell r="C11" t="str">
            <v>New (summer/autumn) snow, warm, few or no melt ponds</v>
          </cell>
          <cell r="E11" t="str">
            <v>IV-A</v>
          </cell>
        </row>
        <row r="12">
          <cell r="A12" t="str">
            <v>UTC-2</v>
          </cell>
          <cell r="C12" t="str">
            <v>New (summer/autumn) snow, warm, with melt ponds</v>
          </cell>
          <cell r="E12" t="str">
            <v>IV-B</v>
          </cell>
        </row>
        <row r="13">
          <cell r="A13" t="str">
            <v>UTC-1</v>
          </cell>
          <cell r="C13" t="str">
            <v>New (summer/autumn) snow, warm, partially refrozen melt ponds</v>
          </cell>
          <cell r="E13" t="str">
            <v>Glacier Ice</v>
          </cell>
        </row>
        <row r="14">
          <cell r="A14" t="str">
            <v>UTC</v>
          </cell>
          <cell r="C14" t="str">
            <v>New (summer/autumn) snow, frozen, few or no melt ponds</v>
          </cell>
        </row>
        <row r="15">
          <cell r="A15" t="str">
            <v>UTC+1 (Norwegian SDT)</v>
          </cell>
          <cell r="C15" t="str">
            <v>New (summer/autumn) snow, frozen, with melt ponds</v>
          </cell>
        </row>
        <row r="16">
          <cell r="A16" t="str">
            <v>UTC+2 (Norwegian DST)</v>
          </cell>
          <cell r="C16" t="str">
            <v>New (summer/autumn) snow, frozen, partially refrozen melt ponds</v>
          </cell>
        </row>
        <row r="17">
          <cell r="A17" t="str">
            <v>UTC+3</v>
          </cell>
        </row>
        <row r="18">
          <cell r="A18" t="str">
            <v>UTC+4</v>
          </cell>
        </row>
        <row r="19">
          <cell r="A19" t="str">
            <v>UTC+5</v>
          </cell>
        </row>
        <row r="20">
          <cell r="A20" t="str">
            <v>UTC+6</v>
          </cell>
        </row>
        <row r="21">
          <cell r="A21" t="str">
            <v>UTC+7</v>
          </cell>
        </row>
        <row r="22">
          <cell r="A22" t="str">
            <v>UTC+8</v>
          </cell>
        </row>
        <row r="23">
          <cell r="A23" t="str">
            <v>UTC+9</v>
          </cell>
        </row>
        <row r="24">
          <cell r="A24" t="str">
            <v>UTC+10</v>
          </cell>
        </row>
        <row r="25">
          <cell r="A25" t="str">
            <v>UTC+11</v>
          </cell>
        </row>
        <row r="26">
          <cell r="A26" t="str">
            <v>UTC+12</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tionOverview"/>
    </sheetNames>
    <sheetDataSet>
      <sheetData sheetId="0"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pageSetUpPr fitToPage="1"/>
  </sheetPr>
  <dimension ref="A1:AMJ46"/>
  <sheetViews>
    <sheetView zoomScale="80" zoomScaleNormal="80" workbookViewId="0">
      <selection activeCell="F25" sqref="F25"/>
    </sheetView>
  </sheetViews>
  <sheetFormatPr defaultColWidth="9.140625" defaultRowHeight="15" x14ac:dyDescent="0.25"/>
  <cols>
    <col min="1" max="1" width="22.7109375" style="2" customWidth="1"/>
    <col min="2" max="2" width="12.7109375" style="2" customWidth="1"/>
    <col min="3" max="5" width="10.7109375" style="2" customWidth="1"/>
    <col min="6" max="6" width="32.7109375" style="2" customWidth="1"/>
    <col min="7" max="1024" width="9.140625" style="2"/>
  </cols>
  <sheetData>
    <row r="1" spans="1:9" ht="31.5" x14ac:dyDescent="0.5">
      <c r="A1" s="184" t="s">
        <v>0</v>
      </c>
      <c r="B1" s="184"/>
      <c r="C1" s="184"/>
      <c r="D1" s="184"/>
      <c r="E1" s="184"/>
      <c r="F1" s="3"/>
      <c r="G1" s="3"/>
      <c r="H1" s="3"/>
    </row>
    <row r="2" spans="1:9" ht="15.75" customHeight="1" x14ac:dyDescent="0.35">
      <c r="A2" s="4"/>
      <c r="D2" s="3"/>
      <c r="E2" s="3"/>
      <c r="F2" s="3"/>
      <c r="G2" s="3"/>
      <c r="H2" s="3"/>
    </row>
    <row r="3" spans="1:9" x14ac:dyDescent="0.25">
      <c r="A3" s="5" t="s">
        <v>1</v>
      </c>
      <c r="D3" s="3"/>
      <c r="E3" s="3"/>
    </row>
    <row r="4" spans="1:9" x14ac:dyDescent="0.25">
      <c r="A4" s="6" t="s">
        <v>2</v>
      </c>
      <c r="B4" s="185" t="s">
        <v>3</v>
      </c>
      <c r="C4" s="185"/>
      <c r="H4" s="7"/>
      <c r="I4" s="7"/>
    </row>
    <row r="5" spans="1:9" x14ac:dyDescent="0.25">
      <c r="A5" s="8" t="s">
        <v>4</v>
      </c>
      <c r="B5" s="186">
        <v>3</v>
      </c>
      <c r="C5" s="186"/>
      <c r="H5" s="7"/>
      <c r="I5" s="7"/>
    </row>
    <row r="6" spans="1:9" x14ac:dyDescent="0.25">
      <c r="A6" s="8" t="s">
        <v>5</v>
      </c>
      <c r="B6" s="186">
        <v>1</v>
      </c>
      <c r="C6" s="186"/>
    </row>
    <row r="7" spans="1:9" x14ac:dyDescent="0.25">
      <c r="A7" s="9" t="s">
        <v>6</v>
      </c>
      <c r="B7" s="187" t="s">
        <v>7</v>
      </c>
      <c r="C7" s="187"/>
    </row>
    <row r="9" spans="1:9" x14ac:dyDescent="0.25">
      <c r="A9" s="5" t="s">
        <v>8</v>
      </c>
    </row>
    <row r="10" spans="1:9" x14ac:dyDescent="0.25">
      <c r="A10" s="6" t="s">
        <v>9</v>
      </c>
      <c r="B10" s="188" t="s">
        <v>10</v>
      </c>
      <c r="C10" s="188"/>
      <c r="D10" s="188"/>
      <c r="E10" s="188"/>
    </row>
    <row r="11" spans="1:9" x14ac:dyDescent="0.25">
      <c r="A11" s="8" t="s">
        <v>11</v>
      </c>
      <c r="B11" s="189" t="s">
        <v>12</v>
      </c>
      <c r="C11" s="189"/>
      <c r="D11" s="189"/>
      <c r="E11" s="189"/>
    </row>
    <row r="12" spans="1:9" ht="14.45" customHeight="1" x14ac:dyDescent="0.25">
      <c r="A12" s="10" t="s">
        <v>13</v>
      </c>
      <c r="B12" s="190" t="s">
        <v>14</v>
      </c>
      <c r="C12" s="190"/>
      <c r="D12" s="190"/>
      <c r="E12" s="190"/>
    </row>
    <row r="13" spans="1:9" x14ac:dyDescent="0.25">
      <c r="A13" s="10"/>
      <c r="B13" s="190"/>
      <c r="C13" s="190"/>
      <c r="D13" s="190"/>
      <c r="E13" s="190"/>
    </row>
    <row r="14" spans="1:9" x14ac:dyDescent="0.25">
      <c r="A14" s="11"/>
      <c r="B14" s="190"/>
      <c r="C14" s="190"/>
      <c r="D14" s="190"/>
      <c r="E14" s="190"/>
    </row>
    <row r="15" spans="1:9" x14ac:dyDescent="0.25">
      <c r="A15" s="12"/>
      <c r="B15" s="13"/>
      <c r="C15" s="13"/>
      <c r="D15" s="13"/>
      <c r="E15" s="13"/>
    </row>
    <row r="16" spans="1:9" x14ac:dyDescent="0.25">
      <c r="A16" s="5" t="s">
        <v>15</v>
      </c>
    </row>
    <row r="17" spans="1:6" x14ac:dyDescent="0.25">
      <c r="A17" s="14" t="s">
        <v>16</v>
      </c>
      <c r="B17" s="15" t="s">
        <v>17</v>
      </c>
    </row>
    <row r="18" spans="1:6" x14ac:dyDescent="0.25">
      <c r="A18" s="8" t="s">
        <v>18</v>
      </c>
      <c r="B18" s="16"/>
      <c r="C18" s="17" t="s">
        <v>19</v>
      </c>
      <c r="D18" s="18"/>
      <c r="E18" s="19"/>
    </row>
    <row r="19" spans="1:6" x14ac:dyDescent="0.25">
      <c r="A19" s="20"/>
      <c r="B19" s="21"/>
      <c r="C19" s="22" t="s">
        <v>20</v>
      </c>
      <c r="D19" s="22" t="s">
        <v>21</v>
      </c>
      <c r="E19" s="23" t="s">
        <v>22</v>
      </c>
    </row>
    <row r="20" spans="1:6" x14ac:dyDescent="0.25">
      <c r="A20" s="8" t="s">
        <v>23</v>
      </c>
      <c r="B20" s="24"/>
      <c r="C20" s="25">
        <v>78</v>
      </c>
      <c r="D20">
        <v>39.799999999999997</v>
      </c>
      <c r="E20" s="26"/>
    </row>
    <row r="21" spans="1:6" ht="15.75" thickBot="1" x14ac:dyDescent="0.3">
      <c r="A21" s="9" t="s">
        <v>24</v>
      </c>
      <c r="B21" s="27"/>
      <c r="C21" s="28">
        <v>-6</v>
      </c>
      <c r="D21">
        <v>25.43</v>
      </c>
      <c r="E21" s="29"/>
    </row>
    <row r="23" spans="1:6" x14ac:dyDescent="0.25">
      <c r="A23" s="5" t="s">
        <v>25</v>
      </c>
      <c r="B23" s="30"/>
      <c r="E23" s="31"/>
    </row>
    <row r="24" spans="1:6" x14ac:dyDescent="0.25">
      <c r="A24" s="14" t="s">
        <v>26</v>
      </c>
      <c r="B24" s="15" t="s">
        <v>17</v>
      </c>
    </row>
    <row r="25" spans="1:6" x14ac:dyDescent="0.25">
      <c r="A25" s="8" t="s">
        <v>27</v>
      </c>
      <c r="B25" s="16">
        <v>0.58611111111111103</v>
      </c>
      <c r="C25" s="17"/>
      <c r="D25" s="18"/>
      <c r="E25" s="19"/>
    </row>
    <row r="26" spans="1:6" x14ac:dyDescent="0.25">
      <c r="A26" s="20"/>
      <c r="B26" s="21"/>
      <c r="D26" s="22" t="s">
        <v>21</v>
      </c>
      <c r="E26" s="23" t="s">
        <v>22</v>
      </c>
    </row>
    <row r="27" spans="1:6" x14ac:dyDescent="0.25">
      <c r="A27" s="8" t="s">
        <v>28</v>
      </c>
      <c r="B27" s="24"/>
      <c r="C27" s="22">
        <v>78</v>
      </c>
      <c r="D27" s="25">
        <v>35.933999999999997</v>
      </c>
      <c r="E27" s="26"/>
    </row>
    <row r="28" spans="1:6" x14ac:dyDescent="0.25">
      <c r="A28" s="9" t="s">
        <v>29</v>
      </c>
      <c r="B28" s="27"/>
      <c r="C28" s="28">
        <v>-6</v>
      </c>
      <c r="D28" s="28">
        <v>32.243600000000001</v>
      </c>
      <c r="E28" s="29"/>
    </row>
    <row r="29" spans="1:6" x14ac:dyDescent="0.25">
      <c r="B29" s="32"/>
      <c r="C29" s="33"/>
    </row>
    <row r="30" spans="1:6" x14ac:dyDescent="0.25">
      <c r="A30" s="34" t="s">
        <v>30</v>
      </c>
      <c r="B30" s="191" t="s">
        <v>31</v>
      </c>
      <c r="C30" s="191"/>
      <c r="D30" s="191"/>
      <c r="E30" s="191"/>
    </row>
    <row r="32" spans="1:6" ht="30" customHeight="1" x14ac:dyDescent="0.25">
      <c r="A32" s="35"/>
      <c r="B32" s="192" t="s">
        <v>32</v>
      </c>
      <c r="C32" s="192"/>
      <c r="D32" s="192" t="s">
        <v>33</v>
      </c>
      <c r="E32" s="192"/>
      <c r="F32" s="36" t="s">
        <v>34</v>
      </c>
    </row>
    <row r="33" spans="1:6" ht="30" customHeight="1" x14ac:dyDescent="0.25">
      <c r="A33" s="37" t="s">
        <v>35</v>
      </c>
      <c r="B33" s="195"/>
      <c r="C33" s="195"/>
      <c r="D33" s="195"/>
      <c r="E33" s="195"/>
      <c r="F33" s="38"/>
    </row>
    <row r="34" spans="1:6" ht="30" customHeight="1" x14ac:dyDescent="0.25">
      <c r="A34" s="39" t="s">
        <v>35</v>
      </c>
      <c r="B34" s="193"/>
      <c r="C34" s="193"/>
      <c r="D34" s="193"/>
      <c r="E34" s="193"/>
      <c r="F34" s="1"/>
    </row>
    <row r="35" spans="1:6" ht="30" customHeight="1" x14ac:dyDescent="0.25">
      <c r="A35" s="39" t="s">
        <v>35</v>
      </c>
      <c r="B35" s="193"/>
      <c r="C35" s="193"/>
      <c r="D35" s="193"/>
      <c r="E35" s="193"/>
      <c r="F35" s="1"/>
    </row>
    <row r="36" spans="1:6" ht="30" customHeight="1" x14ac:dyDescent="0.25">
      <c r="A36" s="39" t="s">
        <v>35</v>
      </c>
      <c r="B36" s="193"/>
      <c r="C36" s="193"/>
      <c r="D36" s="193"/>
      <c r="E36" s="193"/>
      <c r="F36" s="1"/>
    </row>
    <row r="37" spans="1:6" ht="30" customHeight="1" x14ac:dyDescent="0.25">
      <c r="A37" s="40" t="s">
        <v>35</v>
      </c>
      <c r="B37" s="194"/>
      <c r="C37" s="194"/>
      <c r="D37" s="194"/>
      <c r="E37" s="194"/>
      <c r="F37" s="41"/>
    </row>
    <row r="38" spans="1:6" x14ac:dyDescent="0.25">
      <c r="B38" s="42"/>
      <c r="C38" s="42"/>
      <c r="D38" s="42"/>
      <c r="E38" s="42"/>
      <c r="F38" s="42"/>
    </row>
    <row r="39" spans="1:6" x14ac:dyDescent="0.25">
      <c r="B39" s="42"/>
      <c r="C39" s="42"/>
      <c r="D39" s="42"/>
      <c r="E39" s="42"/>
      <c r="F39" s="42"/>
    </row>
    <row r="40" spans="1:6" x14ac:dyDescent="0.25">
      <c r="B40" s="42"/>
      <c r="C40" s="42"/>
      <c r="D40" s="42"/>
      <c r="E40" s="42"/>
      <c r="F40" s="42"/>
    </row>
    <row r="41" spans="1:6" x14ac:dyDescent="0.25">
      <c r="B41" s="42"/>
      <c r="C41" s="42"/>
      <c r="D41" s="42"/>
      <c r="E41" s="42"/>
      <c r="F41" s="42"/>
    </row>
    <row r="42" spans="1:6" x14ac:dyDescent="0.25">
      <c r="B42" s="42"/>
      <c r="C42" s="42"/>
      <c r="D42" s="42"/>
      <c r="E42" s="42"/>
      <c r="F42" s="42"/>
    </row>
    <row r="43" spans="1:6" x14ac:dyDescent="0.25">
      <c r="B43" s="42"/>
      <c r="C43" s="42"/>
      <c r="D43" s="42"/>
      <c r="E43" s="42"/>
      <c r="F43" s="42"/>
    </row>
    <row r="44" spans="1:6" x14ac:dyDescent="0.25">
      <c r="B44" s="42"/>
      <c r="C44" s="42"/>
      <c r="D44" s="42"/>
      <c r="E44" s="42"/>
      <c r="F44" s="42"/>
    </row>
    <row r="45" spans="1:6" x14ac:dyDescent="0.25">
      <c r="B45" s="42"/>
      <c r="C45" s="42"/>
      <c r="D45" s="42"/>
      <c r="E45" s="42"/>
      <c r="F45" s="42"/>
    </row>
    <row r="46" spans="1:6" x14ac:dyDescent="0.25">
      <c r="B46" s="42"/>
      <c r="C46" s="42"/>
      <c r="D46" s="42"/>
      <c r="E46" s="42"/>
      <c r="F46" s="42"/>
    </row>
  </sheetData>
  <mergeCells count="21">
    <mergeCell ref="B36:C36"/>
    <mergeCell ref="D36:E36"/>
    <mergeCell ref="B37:C37"/>
    <mergeCell ref="D37:E37"/>
    <mergeCell ref="B33:C33"/>
    <mergeCell ref="D33:E33"/>
    <mergeCell ref="B34:C34"/>
    <mergeCell ref="D34:E34"/>
    <mergeCell ref="B35:C35"/>
    <mergeCell ref="D35:E35"/>
    <mergeCell ref="B10:E10"/>
    <mergeCell ref="B11:E11"/>
    <mergeCell ref="B12:E14"/>
    <mergeCell ref="B30:E30"/>
    <mergeCell ref="B32:C32"/>
    <mergeCell ref="D32:E32"/>
    <mergeCell ref="A1:E1"/>
    <mergeCell ref="B4:C4"/>
    <mergeCell ref="B5:C5"/>
    <mergeCell ref="B6:C6"/>
    <mergeCell ref="B7:C7"/>
  </mergeCells>
  <dataValidations count="23">
    <dataValidation type="custom" allowBlank="1" showInputMessage="1" showErrorMessage="1" error="Must be blank if entered decimal degrees in first cell; otherwise, must be a  number between 0 and 60" prompt="Ending longitude seconds (0 to less than 60)_x000a_Leave blank if decimal degrees entered in previous cell" sqref="E28" xr:uid="{00000000-0002-0000-0000-000000000000}">
      <formula1>IF(C28=INT(C28),AND(E28&gt;=0,E28&lt;60),ISBLANK(E28))</formula1>
      <formula2>0</formula2>
    </dataValidation>
    <dataValidation type="custom" allowBlank="1" showInputMessage="1" showErrorMessage="1" error="Must be blank if entered decimal degrees in first cell; otherwise, must be a  number between 0 and 60" prompt="Starting longitude seconds (0 to less than 60)_x000a_Leave blank if decimal degrees entered in previous cell" sqref="E21" xr:uid="{00000000-0002-0000-0000-000001000000}">
      <formula1>IF(C21=INT(C21),AND(E21&gt;=0,E21&lt;60),ISBLANK(E21))</formula1>
      <formula2>0</formula2>
    </dataValidation>
    <dataValidation type="custom" allowBlank="1" showInputMessage="1" showErrorMessage="1" error="Must be blank if entered decimal degrees in first cell; otherwise, must be a  number between 0 and 60" prompt="Starting latitude seconds (0 to less than 60)_x000a_Leave blank if decimal degrees entered in previous cell" sqref="E20" xr:uid="{00000000-0002-0000-0000-000002000000}">
      <formula1>IF(C20=INT(C20),AND(E20&gt;=0,E20&lt;60),ISBLANK(E20))</formula1>
      <formula2>0</formula2>
    </dataValidation>
    <dataValidation allowBlank="1" showInputMessage="1" showErrorMessage="1" promptTitle="Identify associated stations" prompt="Enter the station number (from the expedition in the previous cell) of the station with which this station should be associated" sqref="D33:D37" xr:uid="{00000000-0002-0000-0000-000003000000}">
      <formula1>0</formula1>
      <formula2>0</formula2>
    </dataValidation>
    <dataValidation allowBlank="1" showInputMessage="1" showErrorMessage="1" promptTitle="Identify associated stations" prompt="Explain the reason for the association given in this row" sqref="F33:F37" xr:uid="{00000000-0002-0000-0000-000004000000}">
      <formula1>0</formula1>
      <formula2>0</formula2>
    </dataValidation>
    <dataValidation allowBlank="1" showInputMessage="1" showErrorMessage="1" promptTitle="Identify associated stations" prompt="If this station should be associated with any others, enter them here and explain the reason._x000a__x000a_Enter the Expedition ID of the associated station" sqref="B33:B37" xr:uid="{00000000-0002-0000-0000-000005000000}">
      <formula1>0</formula1>
      <formula2>0</formula2>
    </dataValidation>
    <dataValidation type="list" allowBlank="1" showInputMessage="1" showErrorMessage="1" error="Must choose a value from the list" prompt="Choose from drop down list" sqref="B10" xr:uid="{00000000-0002-0000-0000-000006000000}">
      <formula1>StationTypes</formula1>
      <formula2>0</formula2>
    </dataValidation>
    <dataValidation allowBlank="1" showInputMessage="1" showErrorMessage="1" prompt="Any general comments about the station.  Free text." sqref="B12 B15:E15" xr:uid="{00000000-0002-0000-0000-000007000000}">
      <formula1>0</formula1>
      <formula2>0</formula2>
    </dataValidation>
    <dataValidation type="list" allowBlank="1" showInputMessage="1" showErrorMessage="1" error="Must choose a value from the list" prompt="Choose a description from the drop down list" sqref="B11" xr:uid="{00000000-0002-0000-0000-000008000000}">
      <formula1>GeneralConditions</formula1>
      <formula2>0</formula2>
    </dataValidation>
    <dataValidation type="decimal" allowBlank="1" showInputMessage="1" showErrorMessage="1" error="Must be blank if entered decimal degrees in first cell; otherwise, must be a whole number between 0 and 59" prompt="Starting latitude minutes 0 to 59 or 0,0 to 59,99_x000a_Leave blank if decimal degrees entered in previous cell" sqref="D27:D28" xr:uid="{00000000-0002-0000-0000-000009000000}">
      <formula1>0</formula1>
      <formula2>59.99</formula2>
    </dataValidation>
    <dataValidation type="decimal" allowBlank="1" showInputMessage="1" showErrorMessage="1" error="Must be a valid longitude between -180 and 360" promptTitle="Longitude at end time" prompt="Enter DD MM SS.sss in the three cells, or DD.dddd in this cell (then leave others blank)._x000a_For western longitudes, enter either a value between 180 and 360, or make the degrees between 0 and -180 (minutes and seconds, if entered, remain positive)." sqref="C28" xr:uid="{00000000-0002-0000-0000-00000A000000}">
      <formula1>-180</formula1>
      <formula2>360</formula2>
    </dataValidation>
    <dataValidation type="decimal" allowBlank="1" showInputMessage="1" showErrorMessage="1" error="Must be a valid latitude between -90 and 90" promptTitle="Latitude at start time" prompt="Enter DD MM SS.sss in the three cells, or DD.dddd in this cell (then leave others blank)._x000a_For southern latitudes, enter a negative value for degrees (minutes and seconds, if entered, remain positive)." sqref="C20" xr:uid="{00000000-0002-0000-0000-00000B000000}">
      <formula1>-90</formula1>
      <formula2>90</formula2>
    </dataValidation>
    <dataValidation type="decimal" allowBlank="1" showInputMessage="1" showErrorMessage="1" error="Must be a valid longitude between -180 and 360" promptTitle="Longitude at start time" prompt="Enter DD MM SS.sss in the three cells, or DD.dddd in this cell (then leave others blank)._x000a_For western longitudes, enter either a value between 180 and 360, or make the degrees between 0 and -180 (minutes and seconds, if entered, remain positive)." sqref="C21" xr:uid="{00000000-0002-0000-0000-00000C000000}">
      <formula1>-180</formula1>
      <formula2>180</formula2>
    </dataValidation>
    <dataValidation type="whole" allowBlank="1" showInputMessage="1" showErrorMessage="1" error="Must be a valid hour, whole number 0-23" prompt="Number between 0 and 23_x000a_Hour the work began" sqref="B29" xr:uid="{00000000-0002-0000-0000-00000D000000}">
      <formula1>0</formula1>
      <formula2>23</formula2>
    </dataValidation>
    <dataValidation type="list" allowBlank="1" showInputMessage="1" showErrorMessage="1" sqref="C29 B30:E30" xr:uid="{00000000-0002-0000-0000-00000E000000}">
      <formula1>TimeZones</formula1>
      <formula2>0</formula2>
    </dataValidation>
    <dataValidation type="time" allowBlank="1" showInputMessage="1" showErrorMessage="1" errorTitle="End Time for Ice Station" error="Must be a valid time between 00:00 and 23:59" promptTitle="End Time for Ice Station" prompt="Number between 00:00 and 23:59_x000a_" sqref="B25" xr:uid="{00000000-0002-0000-0000-00000F000000}">
      <formula1>0</formula1>
      <formula2>0.999305555555556</formula2>
    </dataValidation>
    <dataValidation type="whole" allowBlank="1" showInputMessage="1" showErrorMessage="1" error="Value must be a number between 1 and 99" promptTitle="It's the Nth day at the station" prompt="Number between 1 and 99_x000a_If the station lasts less than one day, enter 1." sqref="B6" xr:uid="{00000000-0002-0000-0000-000010000000}">
      <formula1>1</formula1>
      <formula2>99</formula2>
    </dataValidation>
    <dataValidation type="whole" allowBlank="1" showInputMessage="1" showErrorMessage="1" error="Value must be a number between 1 and 99" promptTitle="Unique number for this station" prompt="Generally number sequentially._x000a__x000a_On a cruise, each floe is typically a station.  On fast ice, two distinctly different locations might be given different station numbers, just agree with coworkers._x000a__x000a_Number between 1 and 99" sqref="B5" xr:uid="{00000000-0002-0000-0000-000011000000}">
      <formula1>1</formula1>
      <formula2>99</formula2>
    </dataValidation>
    <dataValidation type="custom" allowBlank="1" showInputMessage="1" showErrorMessage="1" errorTitle="Must enter an ID" promptTitle="Enter a unique expedition ID" prompt="Text with no spaces_x000a_Examples: FS08 or KF_April2010" sqref="B4" xr:uid="{00000000-0002-0000-0000-000012000000}">
      <formula1>ISERROR(FIND(" ",B4))</formula1>
      <formula2>0</formula2>
    </dataValidation>
    <dataValidation type="time" allowBlank="1" showInputMessage="1" showErrorMessage="1" errorTitle="Start time for Ice Station" error="Must be a valid time between 00:00 and 23:59" promptTitle="Start time for Ice Station" prompt="Number between 00:00 and 23:59_x000a_" sqref="B23" xr:uid="{00000000-0002-0000-0000-000013000000}">
      <formula1>0</formula1>
      <formula2>0.999305555555556</formula2>
    </dataValidation>
    <dataValidation type="time" allowBlank="1" showInputMessage="1" showErrorMessage="1" errorTitle="Ice Station Starting Time" error="Must be a valid time between 00:00 and 23:59" promptTitle="Ice Station Starting Time" prompt="Number between 00:00 and 23:59_x000a_" sqref="B18" xr:uid="{00000000-0002-0000-0000-000014000000}">
      <formula1>0</formula1>
      <formula2>0.999305555555556</formula2>
    </dataValidation>
    <dataValidation allowBlank="1" showInputMessage="1" showErrorMessage="1" error="Value must be a number between 1 and 99" promptTitle="Observer" prompt="Give name of observer." sqref="B7:C7" xr:uid="{00000000-0002-0000-0000-000015000000}">
      <formula1>0</formula1>
      <formula2>0</formula2>
    </dataValidation>
    <dataValidation type="custom" allowBlank="1" showInputMessage="1" showErrorMessage="1" error="Must be blank if entered decimal degrees in first cell; otherwise, must be a  number between 0 and 60" prompt="Ending latitude seconds (0 to less than 60)_x000a_Leave blank if decimal degrees entered in previous cell" sqref="E27" xr:uid="{00000000-0002-0000-0000-000016000000}">
      <formula1>IF(#REF!=INT(#REF!),AND(E27&gt;=0,E27&lt;60),ISBLANK(E27))</formula1>
      <formula2>0</formula2>
    </dataValidation>
  </dataValidations>
  <pageMargins left="0.7" right="0.7" top="0.75" bottom="0.75" header="0.51180555555555496" footer="0.51180555555555496"/>
  <pageSetup paperSize="9" firstPageNumber="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AMJ42"/>
  <sheetViews>
    <sheetView zoomScale="80" zoomScaleNormal="80" workbookViewId="0">
      <selection activeCell="B10" sqref="B10:D10"/>
    </sheetView>
  </sheetViews>
  <sheetFormatPr defaultColWidth="9.140625" defaultRowHeight="15" x14ac:dyDescent="0.25"/>
  <cols>
    <col min="1" max="1" width="21.42578125" style="2" customWidth="1"/>
    <col min="2" max="10" width="15.7109375" style="2" customWidth="1"/>
    <col min="11" max="11" width="36.7109375" style="2" customWidth="1"/>
    <col min="12" max="12" width="8.5703125" style="2" customWidth="1"/>
    <col min="13" max="1024" width="9.140625" style="2"/>
  </cols>
  <sheetData>
    <row r="1" spans="1:15" ht="31.5" x14ac:dyDescent="0.5">
      <c r="A1" s="184" t="s">
        <v>36</v>
      </c>
      <c r="B1" s="184"/>
      <c r="C1" s="184"/>
      <c r="D1" s="184"/>
    </row>
    <row r="2" spans="1:15" ht="15" customHeight="1" x14ac:dyDescent="0.25">
      <c r="A2" s="43" t="s">
        <v>37</v>
      </c>
      <c r="B2" s="196" t="str">
        <f>CONCATENATE(ExpID,"-",StnNum,"-",StnDay)</f>
        <v>AO2023-I-3-1</v>
      </c>
      <c r="C2" s="196"/>
      <c r="D2" s="44"/>
      <c r="E2" s="45"/>
      <c r="F2" s="45"/>
      <c r="G2" s="45"/>
      <c r="H2" s="45"/>
      <c r="I2" s="46"/>
      <c r="J2" s="47"/>
      <c r="K2" s="46"/>
    </row>
    <row r="3" spans="1:15" x14ac:dyDescent="0.25">
      <c r="A3" s="48" t="s">
        <v>38</v>
      </c>
      <c r="B3" s="197"/>
      <c r="C3" s="197"/>
      <c r="D3" s="49"/>
      <c r="E3" s="45"/>
      <c r="F3" s="45"/>
      <c r="G3" s="45"/>
      <c r="H3" s="45"/>
      <c r="I3" s="46"/>
      <c r="J3" s="47"/>
      <c r="K3" s="46"/>
    </row>
    <row r="4" spans="1:15" x14ac:dyDescent="0.25">
      <c r="A4" s="48" t="s">
        <v>39</v>
      </c>
      <c r="B4" s="198" t="str">
        <f>ObsDate</f>
        <v>13.06.2023</v>
      </c>
      <c r="C4" s="198"/>
      <c r="D4" s="49"/>
      <c r="E4" s="45"/>
      <c r="F4" s="45"/>
      <c r="G4" s="45"/>
      <c r="H4" s="45"/>
      <c r="I4" s="45"/>
      <c r="J4" s="47"/>
      <c r="K4" s="46"/>
    </row>
    <row r="5" spans="1:15" x14ac:dyDescent="0.25">
      <c r="A5" s="50" t="s">
        <v>40</v>
      </c>
      <c r="B5" s="199"/>
      <c r="C5" s="199"/>
      <c r="D5" s="49"/>
      <c r="E5" s="45"/>
      <c r="F5" s="45"/>
      <c r="G5" s="45"/>
      <c r="H5" s="45"/>
      <c r="I5" s="45"/>
      <c r="J5" s="47"/>
      <c r="K5" s="46"/>
    </row>
    <row r="6" spans="1:15" x14ac:dyDescent="0.25">
      <c r="A6" s="50" t="s">
        <v>6</v>
      </c>
      <c r="B6" s="200" t="s">
        <v>41</v>
      </c>
      <c r="C6" s="200"/>
      <c r="D6" s="49"/>
      <c r="E6" s="45"/>
      <c r="F6" s="45"/>
      <c r="G6" s="45"/>
      <c r="H6" s="45"/>
      <c r="I6" s="45"/>
      <c r="J6" s="47"/>
      <c r="K6" s="46"/>
    </row>
    <row r="7" spans="1:15" x14ac:dyDescent="0.25">
      <c r="A7" s="50" t="s">
        <v>42</v>
      </c>
      <c r="B7" s="200" t="s">
        <v>43</v>
      </c>
      <c r="C7" s="200"/>
      <c r="D7" s="49"/>
      <c r="E7" s="45"/>
      <c r="F7" s="45"/>
      <c r="G7" s="45"/>
      <c r="H7" s="45"/>
      <c r="I7" s="45"/>
      <c r="J7" s="47"/>
      <c r="K7" s="46"/>
    </row>
    <row r="8" spans="1:15" x14ac:dyDescent="0.25">
      <c r="A8" s="50" t="s">
        <v>44</v>
      </c>
      <c r="B8" s="200"/>
      <c r="C8" s="200"/>
      <c r="D8" s="49"/>
      <c r="E8" s="45"/>
      <c r="F8" s="45"/>
      <c r="G8" s="45"/>
      <c r="H8" s="45"/>
      <c r="I8" s="45"/>
      <c r="J8" s="47"/>
      <c r="K8" s="46"/>
    </row>
    <row r="9" spans="1:15" x14ac:dyDescent="0.25">
      <c r="A9" s="50" t="s">
        <v>45</v>
      </c>
      <c r="B9" s="197" t="s">
        <v>46</v>
      </c>
      <c r="C9" s="197"/>
      <c r="D9" s="49"/>
      <c r="E9" s="45"/>
      <c r="F9" s="45"/>
      <c r="G9" s="45"/>
      <c r="H9" s="45"/>
      <c r="I9" s="45"/>
      <c r="J9" s="47"/>
      <c r="K9" s="46"/>
    </row>
    <row r="10" spans="1:15" ht="45" customHeight="1" x14ac:dyDescent="0.25">
      <c r="A10" s="51" t="s">
        <v>47</v>
      </c>
      <c r="B10" s="201" t="s">
        <v>48</v>
      </c>
      <c r="C10" s="201"/>
      <c r="D10" s="201"/>
      <c r="E10" s="46"/>
      <c r="F10" s="46"/>
      <c r="G10" s="46"/>
      <c r="H10" s="46"/>
      <c r="I10" s="46"/>
      <c r="J10" s="46"/>
      <c r="M10" s="46"/>
    </row>
    <row r="11" spans="1:15" x14ac:dyDescent="0.25">
      <c r="A11" s="46"/>
      <c r="B11" s="46"/>
      <c r="C11" s="46"/>
      <c r="D11" s="46"/>
      <c r="E11" s="46"/>
      <c r="F11" s="46"/>
      <c r="G11" s="46"/>
      <c r="H11" s="46"/>
      <c r="I11" s="46"/>
      <c r="J11" s="46"/>
      <c r="M11" s="46"/>
    </row>
    <row r="12" spans="1:15" s="57" customFormat="1" ht="45" x14ac:dyDescent="0.25">
      <c r="A12" s="52" t="s">
        <v>49</v>
      </c>
      <c r="B12" s="53" t="s">
        <v>50</v>
      </c>
      <c r="C12" s="53" t="s">
        <v>51</v>
      </c>
      <c r="D12" s="53" t="s">
        <v>52</v>
      </c>
      <c r="E12" s="54" t="s">
        <v>53</v>
      </c>
      <c r="F12" s="54" t="s">
        <v>54</v>
      </c>
      <c r="G12" s="54" t="s">
        <v>55</v>
      </c>
      <c r="H12" s="54" t="s">
        <v>56</v>
      </c>
      <c r="I12" s="53" t="s">
        <v>57</v>
      </c>
      <c r="J12" s="53" t="s">
        <v>58</v>
      </c>
      <c r="K12" s="55" t="s">
        <v>13</v>
      </c>
      <c r="L12" s="56"/>
      <c r="M12" s="56"/>
      <c r="N12" s="56"/>
      <c r="O12" s="56"/>
    </row>
    <row r="13" spans="1:15" x14ac:dyDescent="0.25">
      <c r="A13" s="58"/>
      <c r="B13" s="59"/>
      <c r="C13" s="59"/>
      <c r="D13" s="60"/>
      <c r="E13" s="59"/>
      <c r="F13" s="60"/>
      <c r="G13" s="60"/>
      <c r="H13" s="60"/>
      <c r="I13" s="60"/>
      <c r="J13" s="60"/>
      <c r="K13" s="61" t="s">
        <v>59</v>
      </c>
      <c r="L13" s="46"/>
      <c r="M13" s="46"/>
    </row>
    <row r="14" spans="1:15" x14ac:dyDescent="0.25">
      <c r="A14" s="62"/>
      <c r="B14" s="63"/>
      <c r="C14" s="63"/>
      <c r="D14" s="64"/>
      <c r="E14" s="63"/>
      <c r="F14" s="64"/>
      <c r="G14" s="64"/>
      <c r="H14" s="64"/>
      <c r="I14" s="64"/>
      <c r="J14" s="64"/>
      <c r="K14" s="61" t="s">
        <v>60</v>
      </c>
      <c r="L14" s="46"/>
      <c r="M14" s="46"/>
    </row>
    <row r="15" spans="1:15" x14ac:dyDescent="0.25">
      <c r="A15" s="62"/>
      <c r="B15" s="63"/>
      <c r="C15" s="63"/>
      <c r="D15" s="64"/>
      <c r="E15" s="63"/>
      <c r="F15" s="64"/>
      <c r="G15" s="64"/>
      <c r="H15" s="64"/>
      <c r="I15" s="64"/>
      <c r="J15" s="64"/>
      <c r="K15" s="61" t="s">
        <v>61</v>
      </c>
      <c r="L15" s="46"/>
      <c r="M15" s="46"/>
    </row>
    <row r="16" spans="1:15" x14ac:dyDescent="0.25">
      <c r="A16" s="62"/>
      <c r="B16" s="63"/>
      <c r="C16" s="63"/>
      <c r="D16" s="64"/>
      <c r="E16" s="63"/>
      <c r="F16" s="64"/>
      <c r="G16" s="64"/>
      <c r="H16" s="64"/>
      <c r="I16" s="64"/>
      <c r="J16" s="64"/>
      <c r="K16" s="61" t="s">
        <v>62</v>
      </c>
      <c r="L16" s="46"/>
      <c r="M16" s="46"/>
    </row>
    <row r="17" spans="1:13" x14ac:dyDescent="0.25">
      <c r="A17" s="62"/>
      <c r="B17" s="63"/>
      <c r="C17" s="63"/>
      <c r="D17" s="64"/>
      <c r="E17" s="63"/>
      <c r="F17" s="64"/>
      <c r="G17" s="64"/>
      <c r="H17" s="64"/>
      <c r="I17" s="64"/>
      <c r="J17" s="64"/>
      <c r="K17" s="61" t="s">
        <v>63</v>
      </c>
      <c r="L17" s="46"/>
      <c r="M17" s="46"/>
    </row>
    <row r="18" spans="1:13" x14ac:dyDescent="0.25">
      <c r="A18" s="62"/>
      <c r="B18" s="63"/>
      <c r="C18" s="63"/>
      <c r="D18" s="64"/>
      <c r="E18" s="63"/>
      <c r="F18" s="64"/>
      <c r="G18" s="64"/>
      <c r="H18" s="64"/>
      <c r="I18" s="64"/>
      <c r="J18" s="64"/>
      <c r="K18" s="61" t="s">
        <v>64</v>
      </c>
      <c r="L18" s="46"/>
      <c r="M18" s="46"/>
    </row>
    <row r="19" spans="1:13" x14ac:dyDescent="0.25">
      <c r="A19" s="62"/>
      <c r="B19" s="63"/>
      <c r="C19" s="63"/>
      <c r="D19" s="64"/>
      <c r="E19" s="63"/>
      <c r="F19" s="64"/>
      <c r="G19" s="64"/>
      <c r="H19" s="64"/>
      <c r="I19" s="64"/>
      <c r="J19" s="64"/>
      <c r="K19" s="61" t="s">
        <v>65</v>
      </c>
      <c r="L19" s="46"/>
      <c r="M19" s="46"/>
    </row>
    <row r="20" spans="1:13" x14ac:dyDescent="0.25">
      <c r="A20" s="62"/>
      <c r="B20" s="63"/>
      <c r="C20" s="63"/>
      <c r="D20" s="64"/>
      <c r="E20" s="63"/>
      <c r="F20" s="64"/>
      <c r="G20" s="64"/>
      <c r="H20" s="64"/>
      <c r="I20" s="64"/>
      <c r="J20" s="64"/>
      <c r="K20" s="65" t="s">
        <v>66</v>
      </c>
      <c r="L20" s="46"/>
      <c r="M20" s="46"/>
    </row>
    <row r="21" spans="1:13" x14ac:dyDescent="0.25">
      <c r="A21" s="62"/>
      <c r="B21" s="63"/>
      <c r="C21" s="63"/>
      <c r="D21" s="64"/>
      <c r="E21" s="63"/>
      <c r="F21" s="64"/>
      <c r="G21" s="64"/>
      <c r="H21" s="64"/>
      <c r="I21" s="64"/>
      <c r="J21" s="64"/>
      <c r="K21" s="65" t="s">
        <v>67</v>
      </c>
      <c r="L21" s="46"/>
      <c r="M21" s="46"/>
    </row>
    <row r="22" spans="1:13" x14ac:dyDescent="0.25">
      <c r="A22" s="62"/>
      <c r="B22" s="63"/>
      <c r="C22" s="63"/>
      <c r="D22" s="64"/>
      <c r="E22" s="63"/>
      <c r="F22" s="64"/>
      <c r="G22" s="64"/>
      <c r="H22" s="64"/>
      <c r="I22" s="64"/>
      <c r="J22" s="64"/>
      <c r="K22" s="65" t="s">
        <v>68</v>
      </c>
      <c r="L22" s="46"/>
      <c r="M22" s="46"/>
    </row>
    <row r="23" spans="1:13" x14ac:dyDescent="0.25">
      <c r="A23" s="62"/>
      <c r="B23" s="63"/>
      <c r="C23" s="63"/>
      <c r="D23" s="64"/>
      <c r="E23" s="63"/>
      <c r="F23" s="64"/>
      <c r="G23" s="64"/>
      <c r="H23" s="64"/>
      <c r="I23" s="64"/>
      <c r="J23" s="64"/>
      <c r="K23" s="65" t="s">
        <v>69</v>
      </c>
      <c r="L23" s="46"/>
      <c r="M23" s="46"/>
    </row>
    <row r="24" spans="1:13" x14ac:dyDescent="0.25">
      <c r="A24" s="62"/>
      <c r="B24" s="63"/>
      <c r="C24" s="63"/>
      <c r="D24" s="64"/>
      <c r="E24" s="63"/>
      <c r="F24" s="64"/>
      <c r="G24" s="64"/>
      <c r="H24" s="64"/>
      <c r="I24" s="64"/>
      <c r="J24" s="64"/>
      <c r="K24" s="65" t="s">
        <v>70</v>
      </c>
      <c r="L24" s="46"/>
      <c r="M24" s="46"/>
    </row>
    <row r="25" spans="1:13" x14ac:dyDescent="0.25">
      <c r="A25" s="62"/>
      <c r="B25" s="63"/>
      <c r="C25" s="63"/>
      <c r="D25" s="64"/>
      <c r="E25" s="63"/>
      <c r="F25" s="64"/>
      <c r="G25" s="64"/>
      <c r="H25" s="64"/>
      <c r="I25" s="64"/>
      <c r="J25" s="64"/>
      <c r="K25" s="65" t="s">
        <v>71</v>
      </c>
      <c r="L25" s="46"/>
      <c r="M25" s="46"/>
    </row>
    <row r="26" spans="1:13" x14ac:dyDescent="0.25">
      <c r="A26" s="62"/>
      <c r="B26" s="63"/>
      <c r="C26" s="63"/>
      <c r="D26" s="64"/>
      <c r="E26" s="63"/>
      <c r="F26" s="64"/>
      <c r="G26" s="64"/>
      <c r="H26" s="64"/>
      <c r="I26" s="64"/>
      <c r="J26" s="64"/>
      <c r="K26" s="65"/>
    </row>
    <row r="27" spans="1:13" x14ac:dyDescent="0.25">
      <c r="A27" s="62"/>
      <c r="B27" s="63"/>
      <c r="C27" s="63"/>
      <c r="D27" s="64"/>
      <c r="E27" s="63"/>
      <c r="F27" s="64"/>
      <c r="G27" s="64"/>
      <c r="H27" s="64"/>
      <c r="I27" s="64"/>
      <c r="J27" s="64"/>
      <c r="K27" s="65"/>
    </row>
    <row r="28" spans="1:13" x14ac:dyDescent="0.25">
      <c r="A28" s="62"/>
      <c r="B28" s="63"/>
      <c r="C28" s="63"/>
      <c r="D28" s="64"/>
      <c r="E28" s="63"/>
      <c r="F28" s="64"/>
      <c r="G28" s="64"/>
      <c r="H28" s="64"/>
      <c r="I28" s="64"/>
      <c r="J28" s="64"/>
      <c r="K28" s="65"/>
    </row>
    <row r="29" spans="1:13" x14ac:dyDescent="0.25">
      <c r="A29" s="62"/>
      <c r="B29" s="63"/>
      <c r="C29" s="63"/>
      <c r="D29" s="64"/>
      <c r="E29" s="63"/>
      <c r="F29" s="64"/>
      <c r="G29" s="64"/>
      <c r="H29" s="64"/>
      <c r="I29" s="64"/>
      <c r="J29" s="64"/>
      <c r="K29" s="65"/>
    </row>
    <row r="30" spans="1:13" x14ac:dyDescent="0.25">
      <c r="A30" s="62"/>
      <c r="B30" s="63"/>
      <c r="C30" s="63"/>
      <c r="D30" s="64"/>
      <c r="E30" s="63"/>
      <c r="F30" s="64"/>
      <c r="G30" s="64"/>
      <c r="H30" s="64"/>
      <c r="I30" s="64"/>
      <c r="J30" s="64"/>
      <c r="K30" s="65"/>
    </row>
    <row r="31" spans="1:13" x14ac:dyDescent="0.25">
      <c r="A31" s="62"/>
      <c r="B31" s="63"/>
      <c r="C31" s="63"/>
      <c r="D31" s="64"/>
      <c r="E31" s="63"/>
      <c r="F31" s="64"/>
      <c r="G31" s="64"/>
      <c r="H31" s="64"/>
      <c r="I31" s="64"/>
      <c r="J31" s="64"/>
      <c r="K31" s="65"/>
    </row>
    <row r="32" spans="1:13" x14ac:dyDescent="0.25">
      <c r="A32" s="62"/>
      <c r="B32" s="63"/>
      <c r="C32" s="63"/>
      <c r="D32" s="64"/>
      <c r="E32" s="63"/>
      <c r="F32" s="64"/>
      <c r="G32" s="64"/>
      <c r="H32" s="64"/>
      <c r="I32" s="64"/>
      <c r="J32" s="64"/>
      <c r="K32" s="65"/>
    </row>
    <row r="33" spans="1:11" x14ac:dyDescent="0.25">
      <c r="A33" s="62"/>
      <c r="B33" s="63"/>
      <c r="C33" s="63"/>
      <c r="D33" s="64"/>
      <c r="E33" s="63"/>
      <c r="F33" s="64"/>
      <c r="G33" s="64"/>
      <c r="H33" s="64"/>
      <c r="I33" s="64"/>
      <c r="J33" s="64"/>
      <c r="K33" s="65"/>
    </row>
    <row r="34" spans="1:11" x14ac:dyDescent="0.25">
      <c r="A34" s="62"/>
      <c r="B34" s="63"/>
      <c r="C34" s="63"/>
      <c r="D34" s="64"/>
      <c r="E34" s="63"/>
      <c r="F34" s="64"/>
      <c r="G34" s="64"/>
      <c r="H34" s="64"/>
      <c r="I34" s="64"/>
      <c r="J34" s="64"/>
      <c r="K34" s="65"/>
    </row>
    <row r="35" spans="1:11" x14ac:dyDescent="0.25">
      <c r="A35" s="62"/>
      <c r="B35" s="63"/>
      <c r="C35" s="63"/>
      <c r="D35" s="64"/>
      <c r="E35" s="63"/>
      <c r="F35" s="64"/>
      <c r="G35" s="64"/>
      <c r="H35" s="64"/>
      <c r="I35" s="64"/>
      <c r="J35" s="64"/>
      <c r="K35" s="65"/>
    </row>
    <row r="36" spans="1:11" x14ac:dyDescent="0.25">
      <c r="A36" s="62"/>
      <c r="B36" s="63"/>
      <c r="C36" s="63"/>
      <c r="D36" s="64"/>
      <c r="E36" s="63"/>
      <c r="F36" s="64"/>
      <c r="G36" s="64"/>
      <c r="H36" s="64"/>
      <c r="I36" s="64"/>
      <c r="J36" s="64"/>
      <c r="K36" s="65"/>
    </row>
    <row r="37" spans="1:11" x14ac:dyDescent="0.25">
      <c r="A37" s="62"/>
      <c r="B37" s="63"/>
      <c r="C37" s="63"/>
      <c r="D37" s="64"/>
      <c r="E37" s="63"/>
      <c r="F37" s="64"/>
      <c r="G37" s="64"/>
      <c r="H37" s="64"/>
      <c r="I37" s="64"/>
      <c r="J37" s="64"/>
      <c r="K37" s="65"/>
    </row>
    <row r="38" spans="1:11" x14ac:dyDescent="0.25">
      <c r="A38" s="62"/>
      <c r="B38" s="63"/>
      <c r="C38" s="63"/>
      <c r="D38" s="64"/>
      <c r="E38" s="63"/>
      <c r="F38" s="64"/>
      <c r="G38" s="64"/>
      <c r="H38" s="64"/>
      <c r="I38" s="64"/>
      <c r="J38" s="64"/>
      <c r="K38" s="65"/>
    </row>
    <row r="39" spans="1:11" x14ac:dyDescent="0.25">
      <c r="A39" s="62"/>
      <c r="B39" s="63"/>
      <c r="C39" s="63"/>
      <c r="D39" s="64"/>
      <c r="E39" s="63"/>
      <c r="F39" s="64"/>
      <c r="G39" s="64"/>
      <c r="H39" s="64"/>
      <c r="I39" s="64"/>
      <c r="J39" s="64"/>
      <c r="K39" s="65"/>
    </row>
    <row r="40" spans="1:11" x14ac:dyDescent="0.25">
      <c r="A40" s="62"/>
      <c r="B40" s="63"/>
      <c r="C40" s="63"/>
      <c r="D40" s="64"/>
      <c r="E40" s="63"/>
      <c r="F40" s="64"/>
      <c r="G40" s="64"/>
      <c r="H40" s="64"/>
      <c r="I40" s="64"/>
      <c r="J40" s="64"/>
      <c r="K40" s="65"/>
    </row>
    <row r="41" spans="1:11" x14ac:dyDescent="0.25">
      <c r="A41" s="62"/>
      <c r="B41" s="63"/>
      <c r="C41" s="63"/>
      <c r="D41" s="64"/>
      <c r="E41" s="63"/>
      <c r="F41" s="64"/>
      <c r="G41" s="64"/>
      <c r="H41" s="64"/>
      <c r="I41" s="64"/>
      <c r="J41" s="64"/>
      <c r="K41" s="65"/>
    </row>
    <row r="42" spans="1:11" x14ac:dyDescent="0.25">
      <c r="A42" s="62"/>
      <c r="B42" s="63"/>
      <c r="C42" s="63"/>
      <c r="D42" s="64"/>
      <c r="E42" s="63"/>
      <c r="F42" s="64"/>
      <c r="G42" s="64"/>
      <c r="H42" s="64"/>
      <c r="I42" s="64"/>
      <c r="J42" s="64"/>
      <c r="K42" s="65"/>
    </row>
  </sheetData>
  <mergeCells count="10">
    <mergeCell ref="B6:C6"/>
    <mergeCell ref="B7:C7"/>
    <mergeCell ref="B8:C8"/>
    <mergeCell ref="B9:C9"/>
    <mergeCell ref="B10:D10"/>
    <mergeCell ref="A1:D1"/>
    <mergeCell ref="B2:C2"/>
    <mergeCell ref="B3:C3"/>
    <mergeCell ref="B4:C4"/>
    <mergeCell ref="B5:C5"/>
  </mergeCells>
  <dataValidations count="4">
    <dataValidation type="decimal" operator="notEqual" allowBlank="1" showErrorMessage="1" error="Must enter a number" promptTitle="Start here" prompt="Enter the distance along the profile in this column.  The rows with entries in this column will then be ready for data in the other columns." sqref="A13:A42" xr:uid="{00000000-0002-0000-0100-000000000000}">
      <formula1>-1874525.21548457</formula1>
      <formula2>0</formula2>
    </dataValidation>
    <dataValidation type="decimal" operator="greaterThanOrEqual" allowBlank="1" showInputMessage="1" showErrorMessage="1" error="Must be a positive number" promptTitle="Snow thickness" sqref="B13:B42" xr:uid="{00000000-0002-0000-0100-000001000000}">
      <formula1>0</formula1>
      <formula2>0</formula2>
    </dataValidation>
    <dataValidation type="decimal" operator="greaterThanOrEqual" allowBlank="1" showErrorMessage="1" error="Must enter a positive number" promptTitle="EM Observation" prompt="Enter the data value recorded from the EM-31" sqref="C13:C42" xr:uid="{00000000-0002-0000-0100-000002000000}">
      <formula1>0</formula1>
      <formula2>0</formula2>
    </dataValidation>
    <dataValidation allowBlank="1" showErrorMessage="1" promptTitle="Snow Thickness" prompt="Enter the measured snow thickness (in cm)." sqref="D13:D42" xr:uid="{00000000-0002-0000-0100-000003000000}">
      <formula1>0</formula1>
      <formula2>0</formula2>
    </dataValidation>
  </dataValidations>
  <pageMargins left="0.7" right="0.7" top="0.75" bottom="0.75" header="0.51180555555555496" footer="0.51180555555555496"/>
  <pageSetup paperSize="9" firstPageNumber="0"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AMJ38"/>
  <sheetViews>
    <sheetView zoomScale="80" zoomScaleNormal="80" workbookViewId="0">
      <selection activeCell="E8" sqref="E8"/>
    </sheetView>
  </sheetViews>
  <sheetFormatPr defaultColWidth="9.140625" defaultRowHeight="15" x14ac:dyDescent="0.25"/>
  <cols>
    <col min="1" max="1" width="18.7109375" style="2" customWidth="1"/>
    <col min="2" max="7" width="15.7109375" style="2" customWidth="1"/>
    <col min="8" max="8" width="36.7109375" style="2" customWidth="1"/>
    <col min="9" max="1024" width="9.140625" style="2"/>
  </cols>
  <sheetData>
    <row r="1" spans="1:9" ht="31.5" x14ac:dyDescent="0.5">
      <c r="A1" s="184" t="s">
        <v>72</v>
      </c>
      <c r="B1" s="184"/>
      <c r="C1" s="184"/>
      <c r="D1" s="184"/>
    </row>
    <row r="2" spans="1:9" x14ac:dyDescent="0.25">
      <c r="A2" s="43" t="s">
        <v>37</v>
      </c>
      <c r="B2" s="196" t="str">
        <f>CONCATENATE(ExpID,"-",StnNum,"-",StnDay)</f>
        <v>AO2023-I-3-1</v>
      </c>
      <c r="C2" s="196"/>
      <c r="D2" s="44"/>
    </row>
    <row r="3" spans="1:9" x14ac:dyDescent="0.25">
      <c r="A3" s="48" t="s">
        <v>38</v>
      </c>
      <c r="B3" s="197"/>
      <c r="C3" s="197"/>
      <c r="D3" s="49"/>
    </row>
    <row r="4" spans="1:9" x14ac:dyDescent="0.25">
      <c r="A4" s="48" t="s">
        <v>39</v>
      </c>
      <c r="B4" s="198" t="str">
        <f>ObsDate</f>
        <v>13.06.2023</v>
      </c>
      <c r="C4" s="198"/>
      <c r="D4" s="49"/>
    </row>
    <row r="5" spans="1:9" x14ac:dyDescent="0.25">
      <c r="A5" s="50" t="s">
        <v>40</v>
      </c>
      <c r="B5" s="199"/>
      <c r="C5" s="199"/>
      <c r="D5" s="49"/>
    </row>
    <row r="6" spans="1:9" x14ac:dyDescent="0.25">
      <c r="A6" s="50" t="s">
        <v>6</v>
      </c>
      <c r="B6" s="200" t="s">
        <v>73</v>
      </c>
      <c r="C6" s="200"/>
      <c r="D6" s="49"/>
      <c r="E6" s="45"/>
      <c r="F6" s="45"/>
      <c r="G6" s="45"/>
      <c r="H6" s="47"/>
      <c r="I6" s="46"/>
    </row>
    <row r="7" spans="1:9" x14ac:dyDescent="0.25">
      <c r="A7" s="50" t="s">
        <v>74</v>
      </c>
      <c r="B7" s="197"/>
      <c r="C7" s="197"/>
      <c r="D7" s="49"/>
      <c r="E7" s="45"/>
      <c r="F7" s="45"/>
      <c r="G7" s="45"/>
      <c r="H7" s="47"/>
      <c r="I7" s="46"/>
    </row>
    <row r="8" spans="1:9" ht="30" customHeight="1" x14ac:dyDescent="0.25">
      <c r="A8" s="51" t="s">
        <v>47</v>
      </c>
      <c r="B8" s="202" t="s">
        <v>75</v>
      </c>
      <c r="C8" s="202"/>
      <c r="D8" s="202"/>
      <c r="E8" s="2" t="s">
        <v>76</v>
      </c>
    </row>
    <row r="10" spans="1:9" s="69" customFormat="1" ht="45" x14ac:dyDescent="0.25">
      <c r="A10" s="66" t="s">
        <v>49</v>
      </c>
      <c r="B10" s="53" t="s">
        <v>77</v>
      </c>
      <c r="C10" s="67" t="s">
        <v>54</v>
      </c>
      <c r="D10" s="67" t="s">
        <v>55</v>
      </c>
      <c r="E10" s="67" t="s">
        <v>56</v>
      </c>
      <c r="F10" s="67" t="s">
        <v>57</v>
      </c>
      <c r="G10" s="67" t="s">
        <v>78</v>
      </c>
      <c r="H10" s="68" t="s">
        <v>13</v>
      </c>
    </row>
    <row r="11" spans="1:9" x14ac:dyDescent="0.25">
      <c r="A11" s="58"/>
      <c r="B11" s="60">
        <v>19</v>
      </c>
      <c r="C11" s="60">
        <f>240-3.5</f>
        <v>236.5</v>
      </c>
      <c r="D11" s="60"/>
      <c r="E11" s="60">
        <f>283-3.5</f>
        <v>279.5</v>
      </c>
      <c r="F11" s="60">
        <f>E11-B11-C11</f>
        <v>24</v>
      </c>
      <c r="G11" s="60">
        <f>E11-B11</f>
        <v>260.5</v>
      </c>
      <c r="H11" s="70" t="s">
        <v>79</v>
      </c>
    </row>
    <row r="12" spans="1:9" x14ac:dyDescent="0.25">
      <c r="A12" s="62"/>
      <c r="B12" s="64">
        <v>18</v>
      </c>
      <c r="C12" s="64">
        <f>245-3.5</f>
        <v>241.5</v>
      </c>
      <c r="D12" s="64"/>
      <c r="E12" s="64">
        <f>287-3.5</f>
        <v>283.5</v>
      </c>
      <c r="F12" s="60">
        <f>E12-B12-C12</f>
        <v>24</v>
      </c>
      <c r="G12" s="60">
        <f>E12-B12</f>
        <v>265.5</v>
      </c>
      <c r="H12" s="25" t="s">
        <v>80</v>
      </c>
    </row>
    <row r="13" spans="1:9" x14ac:dyDescent="0.25">
      <c r="A13" s="62"/>
      <c r="B13" s="64">
        <v>18</v>
      </c>
      <c r="C13" s="64">
        <f>250-3.5</f>
        <v>246.5</v>
      </c>
      <c r="D13" s="64"/>
      <c r="E13" s="64">
        <f>289-3.5</f>
        <v>285.5</v>
      </c>
      <c r="F13" s="60">
        <f>E13-B13-C13</f>
        <v>21</v>
      </c>
      <c r="G13" s="60">
        <f>E13-B13</f>
        <v>267.5</v>
      </c>
      <c r="H13" s="70" t="s">
        <v>81</v>
      </c>
    </row>
    <row r="14" spans="1:9" x14ac:dyDescent="0.25">
      <c r="A14" s="62"/>
      <c r="B14" s="64">
        <v>15</v>
      </c>
      <c r="C14" s="64">
        <f>250-3.5</f>
        <v>246.5</v>
      </c>
      <c r="D14" s="64"/>
      <c r="E14" s="64">
        <f>285-3.5</f>
        <v>281.5</v>
      </c>
      <c r="F14" s="60">
        <f>E14-B14-C14</f>
        <v>20</v>
      </c>
      <c r="G14" s="60">
        <f>E14-B14</f>
        <v>266.5</v>
      </c>
      <c r="H14" s="25" t="s">
        <v>82</v>
      </c>
    </row>
    <row r="15" spans="1:9" x14ac:dyDescent="0.25">
      <c r="A15" s="62"/>
      <c r="B15" s="64">
        <v>18</v>
      </c>
      <c r="C15" s="64">
        <f>248-3.5</f>
        <v>244.5</v>
      </c>
      <c r="D15" s="64"/>
      <c r="E15" s="64">
        <f>278-3.5</f>
        <v>274.5</v>
      </c>
      <c r="F15" s="60">
        <f>E15-B15-C15</f>
        <v>12</v>
      </c>
      <c r="G15" s="60">
        <f>E15-B15</f>
        <v>256.5</v>
      </c>
      <c r="H15" s="70" t="s">
        <v>83</v>
      </c>
    </row>
    <row r="16" spans="1:9" x14ac:dyDescent="0.25">
      <c r="A16" s="62"/>
      <c r="B16" s="64"/>
      <c r="C16" s="64"/>
      <c r="D16" s="64"/>
      <c r="E16" s="64"/>
      <c r="F16" s="64"/>
      <c r="G16" s="64"/>
      <c r="H16" s="25" t="s">
        <v>84</v>
      </c>
    </row>
    <row r="17" spans="1:8" x14ac:dyDescent="0.25">
      <c r="A17" s="62"/>
      <c r="B17" s="64"/>
      <c r="C17" s="64"/>
      <c r="D17" s="64"/>
      <c r="E17" s="64"/>
      <c r="F17" s="64"/>
      <c r="G17" s="64"/>
      <c r="H17" s="25"/>
    </row>
    <row r="18" spans="1:8" x14ac:dyDescent="0.25">
      <c r="A18" s="62"/>
      <c r="B18" s="64"/>
      <c r="C18" s="64"/>
      <c r="D18" s="64"/>
      <c r="E18" s="64"/>
      <c r="F18" s="64"/>
      <c r="G18" s="64"/>
      <c r="H18" s="25"/>
    </row>
    <row r="19" spans="1:8" x14ac:dyDescent="0.25">
      <c r="A19" s="62"/>
      <c r="B19" s="64"/>
      <c r="C19" s="64"/>
      <c r="D19" s="64"/>
      <c r="E19" s="64"/>
      <c r="F19" s="64"/>
      <c r="G19" s="64"/>
      <c r="H19" s="25"/>
    </row>
    <row r="20" spans="1:8" x14ac:dyDescent="0.25">
      <c r="A20" s="62"/>
      <c r="B20" s="64"/>
      <c r="C20" s="64"/>
      <c r="D20" s="64"/>
      <c r="E20" s="64"/>
      <c r="F20" s="64"/>
      <c r="G20" s="64"/>
      <c r="H20" s="25"/>
    </row>
    <row r="21" spans="1:8" x14ac:dyDescent="0.25">
      <c r="A21" s="62"/>
      <c r="B21" s="64"/>
      <c r="C21" s="64"/>
      <c r="D21" s="64"/>
      <c r="E21" s="64"/>
      <c r="F21" s="64"/>
      <c r="G21" s="64"/>
      <c r="H21" s="25"/>
    </row>
    <row r="22" spans="1:8" x14ac:dyDescent="0.25">
      <c r="A22" s="62"/>
      <c r="B22" s="64"/>
      <c r="C22" s="64"/>
      <c r="D22" s="64"/>
      <c r="E22" s="64"/>
      <c r="F22" s="64"/>
      <c r="G22" s="64"/>
      <c r="H22" s="25"/>
    </row>
    <row r="23" spans="1:8" x14ac:dyDescent="0.25">
      <c r="A23" s="62"/>
      <c r="B23" s="64"/>
      <c r="C23" s="64"/>
      <c r="D23" s="64"/>
      <c r="E23" s="64"/>
      <c r="F23" s="64"/>
      <c r="G23" s="64"/>
      <c r="H23" s="25"/>
    </row>
    <row r="24" spans="1:8" x14ac:dyDescent="0.25">
      <c r="A24" s="62"/>
      <c r="B24" s="64"/>
      <c r="C24" s="64"/>
      <c r="D24" s="64"/>
      <c r="E24" s="64"/>
      <c r="F24" s="64"/>
      <c r="G24" s="64"/>
      <c r="H24" s="25"/>
    </row>
    <row r="25" spans="1:8" x14ac:dyDescent="0.25">
      <c r="A25" s="62"/>
      <c r="B25" s="64"/>
      <c r="C25" s="64"/>
      <c r="D25" s="64"/>
      <c r="E25" s="64"/>
      <c r="F25" s="64"/>
      <c r="G25" s="64"/>
      <c r="H25" s="25"/>
    </row>
    <row r="26" spans="1:8" x14ac:dyDescent="0.25">
      <c r="A26" s="62"/>
      <c r="B26" s="64"/>
      <c r="C26" s="64"/>
      <c r="D26" s="64"/>
      <c r="E26" s="64"/>
      <c r="F26" s="64"/>
      <c r="G26" s="64"/>
      <c r="H26" s="25"/>
    </row>
    <row r="27" spans="1:8" x14ac:dyDescent="0.25">
      <c r="A27" s="62"/>
      <c r="B27" s="64"/>
      <c r="C27" s="64"/>
      <c r="D27" s="64"/>
      <c r="E27" s="64"/>
      <c r="F27" s="64"/>
      <c r="G27" s="64"/>
      <c r="H27" s="25"/>
    </row>
    <row r="28" spans="1:8" x14ac:dyDescent="0.25">
      <c r="A28" s="62"/>
      <c r="B28" s="64"/>
      <c r="C28" s="64"/>
      <c r="D28" s="64"/>
      <c r="E28" s="64"/>
      <c r="F28" s="64"/>
      <c r="G28" s="64"/>
      <c r="H28" s="25"/>
    </row>
    <row r="29" spans="1:8" x14ac:dyDescent="0.25">
      <c r="A29" s="62"/>
      <c r="B29" s="64"/>
      <c r="C29" s="64"/>
      <c r="D29" s="64"/>
      <c r="E29" s="64"/>
      <c r="F29" s="64"/>
      <c r="G29" s="64"/>
      <c r="H29" s="25"/>
    </row>
    <row r="30" spans="1:8" x14ac:dyDescent="0.25">
      <c r="A30" s="62"/>
      <c r="B30" s="64"/>
      <c r="C30" s="64"/>
      <c r="D30" s="64"/>
      <c r="E30" s="64"/>
      <c r="F30" s="64"/>
      <c r="G30" s="64"/>
      <c r="H30" s="25"/>
    </row>
    <row r="31" spans="1:8" x14ac:dyDescent="0.25">
      <c r="A31" s="62"/>
      <c r="B31" s="64"/>
      <c r="C31" s="64"/>
      <c r="D31" s="64"/>
      <c r="E31" s="64"/>
      <c r="F31" s="64"/>
      <c r="G31" s="64"/>
      <c r="H31" s="25"/>
    </row>
    <row r="32" spans="1:8" x14ac:dyDescent="0.25">
      <c r="A32" s="62"/>
      <c r="B32" s="64"/>
      <c r="C32" s="64"/>
      <c r="D32" s="64"/>
      <c r="E32" s="64"/>
      <c r="F32" s="64"/>
      <c r="G32" s="64"/>
      <c r="H32" s="25"/>
    </row>
    <row r="33" spans="1:8" x14ac:dyDescent="0.25">
      <c r="A33" s="62"/>
      <c r="B33" s="64"/>
      <c r="C33" s="64"/>
      <c r="D33" s="64"/>
      <c r="E33" s="64"/>
      <c r="F33" s="64"/>
      <c r="G33" s="64"/>
      <c r="H33" s="25"/>
    </row>
    <row r="34" spans="1:8" x14ac:dyDescent="0.25">
      <c r="A34" s="62"/>
      <c r="B34" s="64"/>
      <c r="C34" s="64"/>
      <c r="D34" s="64"/>
      <c r="E34" s="64"/>
      <c r="F34" s="64"/>
      <c r="G34" s="64"/>
      <c r="H34" s="25"/>
    </row>
    <row r="35" spans="1:8" x14ac:dyDescent="0.25">
      <c r="A35" s="62"/>
      <c r="B35" s="64"/>
      <c r="C35" s="64"/>
      <c r="D35" s="64"/>
      <c r="E35" s="64"/>
      <c r="F35" s="64"/>
      <c r="G35" s="64"/>
      <c r="H35" s="25"/>
    </row>
    <row r="36" spans="1:8" x14ac:dyDescent="0.25">
      <c r="A36" s="62"/>
      <c r="B36" s="64"/>
      <c r="C36" s="64"/>
      <c r="D36" s="64"/>
      <c r="E36" s="64"/>
      <c r="F36" s="64"/>
      <c r="G36" s="64"/>
      <c r="H36" s="25"/>
    </row>
    <row r="37" spans="1:8" x14ac:dyDescent="0.25">
      <c r="A37" s="62"/>
      <c r="B37" s="64"/>
      <c r="C37" s="64"/>
      <c r="D37" s="64"/>
      <c r="E37" s="64"/>
      <c r="F37" s="64"/>
      <c r="G37" s="64"/>
      <c r="H37" s="25"/>
    </row>
    <row r="38" spans="1:8" x14ac:dyDescent="0.25">
      <c r="A38" s="62"/>
      <c r="B38" s="64"/>
      <c r="C38" s="64"/>
      <c r="D38" s="64"/>
      <c r="E38" s="64"/>
      <c r="F38" s="64"/>
      <c r="G38" s="64"/>
      <c r="H38" s="25"/>
    </row>
  </sheetData>
  <mergeCells count="8">
    <mergeCell ref="B6:C6"/>
    <mergeCell ref="B7:C7"/>
    <mergeCell ref="B8:D8"/>
    <mergeCell ref="A1:D1"/>
    <mergeCell ref="B2:C2"/>
    <mergeCell ref="B3:C3"/>
    <mergeCell ref="B4:C4"/>
    <mergeCell ref="B5:C5"/>
  </mergeCells>
  <pageMargins left="0.7" right="0.7" top="0.75" bottom="0.75" header="0.51180555555555496" footer="0.51180555555555496"/>
  <pageSetup paperSize="9" firstPageNumber="0"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AMJ51"/>
  <sheetViews>
    <sheetView topLeftCell="A36" zoomScale="80" zoomScaleNormal="80" workbookViewId="0">
      <selection activeCell="K54" sqref="K54"/>
    </sheetView>
  </sheetViews>
  <sheetFormatPr defaultColWidth="9.140625" defaultRowHeight="15" x14ac:dyDescent="0.25"/>
  <cols>
    <col min="1" max="1" width="29.42578125" style="2" customWidth="1"/>
    <col min="2" max="8" width="15.7109375" style="2" customWidth="1"/>
    <col min="9" max="9" width="36.7109375" style="2" customWidth="1"/>
    <col min="10" max="10" width="9.140625" style="2"/>
    <col min="11" max="13" width="15.7109375" style="2" customWidth="1"/>
    <col min="14" max="14" width="36.7109375" style="2" customWidth="1"/>
    <col min="15" max="1024" width="9.140625" style="2"/>
  </cols>
  <sheetData>
    <row r="1" spans="1:13" ht="31.5" x14ac:dyDescent="0.5">
      <c r="A1" s="205" t="s">
        <v>85</v>
      </c>
      <c r="B1" s="205"/>
      <c r="C1" s="205"/>
      <c r="D1" s="205"/>
    </row>
    <row r="2" spans="1:13" x14ac:dyDescent="0.25">
      <c r="A2" s="71" t="s">
        <v>37</v>
      </c>
      <c r="B2" s="206" t="str">
        <f>CONCATENATE(ExpID,"-",StnNum,"-",StnDay)</f>
        <v>AO2023-I-3-1</v>
      </c>
      <c r="C2" s="206"/>
      <c r="D2" s="72"/>
    </row>
    <row r="3" spans="1:13" x14ac:dyDescent="0.25">
      <c r="A3" s="71" t="s">
        <v>38</v>
      </c>
      <c r="B3" s="197" t="s">
        <v>86</v>
      </c>
      <c r="C3" s="197"/>
      <c r="D3" s="73"/>
    </row>
    <row r="4" spans="1:13" x14ac:dyDescent="0.25">
      <c r="A4" s="71" t="s">
        <v>39</v>
      </c>
      <c r="B4" s="198" t="str">
        <f>ObsDate</f>
        <v>13.06.2023</v>
      </c>
      <c r="C4" s="198"/>
      <c r="D4" s="73"/>
    </row>
    <row r="5" spans="1:13" x14ac:dyDescent="0.25">
      <c r="A5" s="74" t="s">
        <v>40</v>
      </c>
      <c r="B5" s="199">
        <v>0.30625000000000002</v>
      </c>
      <c r="C5" s="199"/>
      <c r="D5" s="73"/>
    </row>
    <row r="6" spans="1:13" x14ac:dyDescent="0.25">
      <c r="A6" s="74" t="s">
        <v>6</v>
      </c>
      <c r="B6" s="200" t="s">
        <v>87</v>
      </c>
      <c r="C6" s="200"/>
      <c r="D6" s="73"/>
      <c r="E6" s="45"/>
    </row>
    <row r="7" spans="1:13" ht="30" customHeight="1" x14ac:dyDescent="0.25">
      <c r="A7" s="75" t="s">
        <v>47</v>
      </c>
      <c r="B7" s="203" t="s">
        <v>88</v>
      </c>
      <c r="C7" s="203"/>
      <c r="D7" s="203"/>
      <c r="E7" s="2" t="s">
        <v>89</v>
      </c>
    </row>
    <row r="9" spans="1:13" x14ac:dyDescent="0.25">
      <c r="A9" s="5" t="s">
        <v>90</v>
      </c>
    </row>
    <row r="10" spans="1:13" x14ac:dyDescent="0.25">
      <c r="A10" s="76" t="s">
        <v>91</v>
      </c>
      <c r="B10" s="77">
        <f>315-3.5</f>
        <v>311.5</v>
      </c>
      <c r="K10" s="204" t="s">
        <v>92</v>
      </c>
      <c r="L10" s="204"/>
      <c r="M10" s="64">
        <v>311</v>
      </c>
    </row>
    <row r="11" spans="1:13" x14ac:dyDescent="0.25">
      <c r="A11" s="76" t="s">
        <v>93</v>
      </c>
      <c r="B11" s="77">
        <f>B10-B15</f>
        <v>301.5</v>
      </c>
      <c r="K11" s="204" t="s">
        <v>94</v>
      </c>
      <c r="L11" s="204"/>
      <c r="M11" s="25">
        <v>5</v>
      </c>
    </row>
    <row r="12" spans="1:13" x14ac:dyDescent="0.25">
      <c r="A12" s="76" t="s">
        <v>95</v>
      </c>
      <c r="B12" s="77">
        <f>278-3.5</f>
        <v>274.5</v>
      </c>
      <c r="K12" s="76" t="s">
        <v>96</v>
      </c>
      <c r="L12" s="76"/>
      <c r="M12" s="78">
        <v>311</v>
      </c>
    </row>
    <row r="13" spans="1:13" x14ac:dyDescent="0.25">
      <c r="A13" s="76" t="s">
        <v>57</v>
      </c>
      <c r="B13" s="77">
        <f>B14-B12</f>
        <v>27.5</v>
      </c>
    </row>
    <row r="14" spans="1:13" x14ac:dyDescent="0.25">
      <c r="A14" s="76" t="s">
        <v>78</v>
      </c>
      <c r="B14" s="77">
        <v>302</v>
      </c>
    </row>
    <row r="15" spans="1:13" x14ac:dyDescent="0.25">
      <c r="A15" s="76" t="s">
        <v>77</v>
      </c>
      <c r="B15" s="77">
        <v>10</v>
      </c>
    </row>
    <row r="17" spans="1:14" s="57" customFormat="1" ht="45" x14ac:dyDescent="0.25">
      <c r="A17" s="79" t="s">
        <v>97</v>
      </c>
      <c r="B17" s="79" t="s">
        <v>98</v>
      </c>
      <c r="C17" s="79" t="s">
        <v>99</v>
      </c>
      <c r="D17" s="79" t="s">
        <v>100</v>
      </c>
      <c r="E17" s="79" t="s">
        <v>101</v>
      </c>
      <c r="F17" s="79" t="s">
        <v>102</v>
      </c>
      <c r="G17" s="79" t="s">
        <v>103</v>
      </c>
      <c r="H17" s="79" t="s">
        <v>104</v>
      </c>
      <c r="I17" s="79" t="s">
        <v>13</v>
      </c>
      <c r="K17" s="79" t="s">
        <v>105</v>
      </c>
      <c r="L17" s="79" t="s">
        <v>106</v>
      </c>
      <c r="M17" s="79" t="s">
        <v>107</v>
      </c>
      <c r="N17" s="79" t="s">
        <v>13</v>
      </c>
    </row>
    <row r="18" spans="1:14" x14ac:dyDescent="0.25">
      <c r="A18" s="80" t="s">
        <v>108</v>
      </c>
      <c r="B18" s="77">
        <v>0</v>
      </c>
      <c r="C18" s="77">
        <v>5</v>
      </c>
      <c r="D18" s="63">
        <v>0</v>
      </c>
      <c r="E18" s="63">
        <v>7.2599999999999998E-2</v>
      </c>
      <c r="F18" s="81">
        <v>14.6</v>
      </c>
      <c r="G18" s="77"/>
      <c r="H18" s="63"/>
      <c r="I18" s="82"/>
      <c r="K18" s="80">
        <v>1</v>
      </c>
      <c r="L18" s="77"/>
      <c r="M18" s="77">
        <v>76</v>
      </c>
      <c r="N18" s="82"/>
    </row>
    <row r="19" spans="1:14" x14ac:dyDescent="0.25">
      <c r="A19" s="80" t="s">
        <v>109</v>
      </c>
      <c r="B19" s="77">
        <v>5</v>
      </c>
      <c r="C19" s="77">
        <v>10</v>
      </c>
      <c r="D19" s="63">
        <v>0</v>
      </c>
      <c r="E19" s="63">
        <v>3.3300000000000003E-2</v>
      </c>
      <c r="F19" s="81">
        <v>14.9</v>
      </c>
      <c r="G19" s="77"/>
      <c r="H19" s="63"/>
      <c r="I19" s="82"/>
      <c r="K19" s="80">
        <v>2</v>
      </c>
      <c r="L19" s="77"/>
      <c r="M19" s="77">
        <v>64</v>
      </c>
      <c r="N19" s="82"/>
    </row>
    <row r="20" spans="1:14" x14ac:dyDescent="0.25">
      <c r="A20" s="80" t="s">
        <v>110</v>
      </c>
      <c r="B20" s="77">
        <v>10</v>
      </c>
      <c r="C20" s="77">
        <v>15</v>
      </c>
      <c r="D20" s="63">
        <v>0</v>
      </c>
      <c r="E20" s="63">
        <v>4.2999999999999997E-2</v>
      </c>
      <c r="F20" s="81">
        <v>12.4</v>
      </c>
      <c r="G20" s="77"/>
      <c r="H20" s="63"/>
      <c r="I20" s="82"/>
      <c r="K20" s="80">
        <v>3</v>
      </c>
      <c r="L20" s="77"/>
      <c r="M20" s="77">
        <v>54</v>
      </c>
      <c r="N20" s="82"/>
    </row>
    <row r="21" spans="1:14" x14ac:dyDescent="0.25">
      <c r="A21" s="80" t="s">
        <v>111</v>
      </c>
      <c r="B21" s="77">
        <v>15</v>
      </c>
      <c r="C21" s="77">
        <v>20</v>
      </c>
      <c r="D21" s="63">
        <v>0</v>
      </c>
      <c r="E21" s="63">
        <v>9.5000000000000001E-2</v>
      </c>
      <c r="F21" s="81">
        <v>14.8</v>
      </c>
      <c r="G21" s="77"/>
      <c r="H21" s="63"/>
      <c r="I21" s="82"/>
      <c r="K21" s="80">
        <v>4</v>
      </c>
      <c r="L21" s="77"/>
      <c r="M21" s="77">
        <v>59</v>
      </c>
      <c r="N21" s="82"/>
    </row>
    <row r="22" spans="1:14" x14ac:dyDescent="0.25">
      <c r="A22" s="80" t="s">
        <v>112</v>
      </c>
      <c r="B22" s="77">
        <v>20</v>
      </c>
      <c r="C22" s="77">
        <v>30</v>
      </c>
      <c r="D22" s="63">
        <v>0</v>
      </c>
      <c r="E22" s="63">
        <v>0.20899999999999999</v>
      </c>
      <c r="F22" s="81">
        <v>6.4</v>
      </c>
      <c r="G22" s="77"/>
      <c r="H22" s="63"/>
      <c r="I22" s="82"/>
      <c r="K22" s="80">
        <v>5</v>
      </c>
      <c r="L22" s="77"/>
      <c r="M22" s="77">
        <v>58</v>
      </c>
      <c r="N22" s="82"/>
    </row>
    <row r="23" spans="1:14" x14ac:dyDescent="0.25">
      <c r="A23" s="80" t="s">
        <v>113</v>
      </c>
      <c r="B23" s="77">
        <v>30</v>
      </c>
      <c r="C23" s="77">
        <v>40</v>
      </c>
      <c r="D23" s="63">
        <v>0.2</v>
      </c>
      <c r="E23" s="63">
        <v>0.65400000000000003</v>
      </c>
      <c r="F23" s="81">
        <v>10.9</v>
      </c>
      <c r="G23" s="77"/>
      <c r="H23" s="63"/>
      <c r="I23" s="82"/>
      <c r="K23" s="80"/>
      <c r="L23" s="77"/>
      <c r="M23" s="77"/>
      <c r="N23" s="82"/>
    </row>
    <row r="24" spans="1:14" x14ac:dyDescent="0.25">
      <c r="A24" s="80" t="s">
        <v>114</v>
      </c>
      <c r="B24" s="77">
        <v>40</v>
      </c>
      <c r="C24" s="77">
        <v>50</v>
      </c>
      <c r="D24" s="63">
        <v>0.5</v>
      </c>
      <c r="E24" s="63">
        <v>1.2769999999999999</v>
      </c>
      <c r="F24" s="81">
        <v>8.1</v>
      </c>
      <c r="G24" s="77"/>
      <c r="H24" s="63"/>
      <c r="I24" s="82"/>
      <c r="K24" s="80"/>
      <c r="L24" s="77"/>
      <c r="M24" s="77"/>
      <c r="N24" s="82"/>
    </row>
    <row r="25" spans="1:14" x14ac:dyDescent="0.25">
      <c r="A25" s="80" t="s">
        <v>115</v>
      </c>
      <c r="B25" s="77">
        <v>50</v>
      </c>
      <c r="C25" s="77">
        <v>60</v>
      </c>
      <c r="D25" s="63">
        <v>0.8</v>
      </c>
      <c r="E25" s="63">
        <v>1.6619999999999999</v>
      </c>
      <c r="F25" s="81">
        <v>10.6</v>
      </c>
      <c r="G25" s="77"/>
      <c r="H25" s="63"/>
      <c r="I25" s="82"/>
      <c r="K25" s="80"/>
      <c r="L25" s="77"/>
      <c r="M25" s="77"/>
      <c r="N25" s="82"/>
    </row>
    <row r="26" spans="1:14" x14ac:dyDescent="0.25">
      <c r="A26" s="80" t="s">
        <v>116</v>
      </c>
      <c r="B26" s="77">
        <v>60</v>
      </c>
      <c r="C26" s="77">
        <v>70</v>
      </c>
      <c r="D26" s="63">
        <v>0.8</v>
      </c>
      <c r="E26" s="63">
        <v>1.7450000000000001</v>
      </c>
      <c r="F26" s="81">
        <v>8.8000000000000007</v>
      </c>
      <c r="G26" s="77"/>
      <c r="H26" s="63"/>
      <c r="I26" s="82"/>
      <c r="K26" s="80"/>
      <c r="L26" s="77"/>
      <c r="M26" s="77"/>
      <c r="N26" s="82"/>
    </row>
    <row r="27" spans="1:14" x14ac:dyDescent="0.25">
      <c r="A27" s="80" t="s">
        <v>117</v>
      </c>
      <c r="B27" s="77">
        <v>70</v>
      </c>
      <c r="C27" s="77">
        <v>80</v>
      </c>
      <c r="D27" s="63">
        <v>1.7</v>
      </c>
      <c r="E27" s="63">
        <v>3.34</v>
      </c>
      <c r="F27" s="81">
        <v>10.8</v>
      </c>
      <c r="G27" s="77"/>
      <c r="H27" s="63"/>
      <c r="I27" s="82" t="s">
        <v>118</v>
      </c>
      <c r="K27" s="80"/>
      <c r="L27" s="77"/>
      <c r="M27" s="77"/>
      <c r="N27" s="82"/>
    </row>
    <row r="28" spans="1:14" x14ac:dyDescent="0.25">
      <c r="A28" s="80" t="s">
        <v>119</v>
      </c>
      <c r="B28" s="77">
        <v>80</v>
      </c>
      <c r="C28" s="77">
        <v>90</v>
      </c>
      <c r="D28" s="63">
        <v>1.4</v>
      </c>
      <c r="E28" s="63">
        <v>2.72</v>
      </c>
      <c r="F28" s="81">
        <v>9.3000000000000007</v>
      </c>
      <c r="G28" s="77"/>
      <c r="H28" s="63"/>
      <c r="I28" s="82"/>
      <c r="K28" s="80"/>
      <c r="L28" s="77"/>
      <c r="M28" s="77"/>
      <c r="N28" s="82"/>
    </row>
    <row r="29" spans="1:14" x14ac:dyDescent="0.25">
      <c r="A29" s="80" t="s">
        <v>120</v>
      </c>
      <c r="B29" s="77">
        <v>90</v>
      </c>
      <c r="C29" s="77">
        <v>100</v>
      </c>
      <c r="D29" s="63">
        <v>2.2000000000000002</v>
      </c>
      <c r="E29" s="63">
        <v>4.1900000000000004</v>
      </c>
      <c r="F29" s="81">
        <v>10</v>
      </c>
      <c r="G29" s="77"/>
      <c r="H29" s="63"/>
      <c r="I29" s="82"/>
      <c r="K29" s="80"/>
      <c r="L29" s="77"/>
      <c r="M29" s="77"/>
      <c r="N29" s="82"/>
    </row>
    <row r="30" spans="1:14" x14ac:dyDescent="0.25">
      <c r="A30" s="80" t="s">
        <v>121</v>
      </c>
      <c r="B30" s="77">
        <v>100</v>
      </c>
      <c r="C30" s="77">
        <v>110</v>
      </c>
      <c r="D30" s="63">
        <v>1.6</v>
      </c>
      <c r="E30" s="63">
        <v>3.25</v>
      </c>
      <c r="F30" s="81">
        <v>8.4</v>
      </c>
      <c r="G30" s="77"/>
      <c r="H30" s="63"/>
      <c r="I30" s="82"/>
      <c r="K30" s="80"/>
      <c r="L30" s="77"/>
      <c r="M30" s="77"/>
      <c r="N30" s="82"/>
    </row>
    <row r="31" spans="1:14" x14ac:dyDescent="0.25">
      <c r="A31" s="80" t="s">
        <v>122</v>
      </c>
      <c r="B31" s="77">
        <v>110</v>
      </c>
      <c r="C31" s="77">
        <v>120</v>
      </c>
      <c r="D31" s="63">
        <v>2</v>
      </c>
      <c r="E31" s="63">
        <v>3.9</v>
      </c>
      <c r="F31" s="81">
        <v>9.6</v>
      </c>
      <c r="G31" s="77"/>
      <c r="H31" s="63"/>
      <c r="I31" s="82"/>
      <c r="K31" s="80"/>
      <c r="L31" s="77"/>
      <c r="M31" s="77"/>
      <c r="N31" s="82"/>
    </row>
    <row r="32" spans="1:14" x14ac:dyDescent="0.25">
      <c r="A32" s="80" t="s">
        <v>123</v>
      </c>
      <c r="B32" s="77">
        <v>120</v>
      </c>
      <c r="C32" s="77">
        <v>130</v>
      </c>
      <c r="D32" s="63">
        <v>1.8</v>
      </c>
      <c r="E32" s="63">
        <v>3.62</v>
      </c>
      <c r="F32" s="81">
        <v>5.3</v>
      </c>
      <c r="G32" s="77"/>
      <c r="H32" s="63"/>
      <c r="I32" s="82"/>
      <c r="K32" s="80"/>
      <c r="L32" s="77"/>
      <c r="M32" s="77"/>
      <c r="N32" s="82"/>
    </row>
    <row r="33" spans="1:14" x14ac:dyDescent="0.25">
      <c r="A33" s="80" t="s">
        <v>124</v>
      </c>
      <c r="B33" s="77">
        <v>130</v>
      </c>
      <c r="C33" s="77">
        <v>140</v>
      </c>
      <c r="D33" s="63">
        <v>3.1</v>
      </c>
      <c r="E33" s="63">
        <v>5.8</v>
      </c>
      <c r="F33" s="81">
        <v>10.4</v>
      </c>
      <c r="G33" s="77"/>
      <c r="H33" s="63"/>
      <c r="I33" s="82" t="s">
        <v>125</v>
      </c>
      <c r="K33" s="80"/>
      <c r="L33" s="77"/>
      <c r="M33" s="77"/>
      <c r="N33" s="82"/>
    </row>
    <row r="34" spans="1:14" x14ac:dyDescent="0.25">
      <c r="A34" s="80" t="s">
        <v>126</v>
      </c>
      <c r="B34" s="77">
        <v>140</v>
      </c>
      <c r="C34" s="77">
        <v>150</v>
      </c>
      <c r="D34" s="63">
        <v>2.8</v>
      </c>
      <c r="E34" s="63">
        <v>5.36</v>
      </c>
      <c r="F34" s="81">
        <v>8.5</v>
      </c>
      <c r="G34" s="77"/>
      <c r="H34" s="63"/>
      <c r="I34" s="82"/>
      <c r="K34" s="80"/>
      <c r="L34" s="77"/>
      <c r="M34" s="77"/>
      <c r="N34" s="82"/>
    </row>
    <row r="35" spans="1:14" x14ac:dyDescent="0.25">
      <c r="A35" s="80" t="s">
        <v>127</v>
      </c>
      <c r="B35" s="77">
        <v>150</v>
      </c>
      <c r="C35" s="77">
        <v>160</v>
      </c>
      <c r="D35" s="63">
        <v>1.9</v>
      </c>
      <c r="E35" s="63">
        <v>3.74</v>
      </c>
      <c r="F35" s="81">
        <v>6.9</v>
      </c>
      <c r="G35" s="77"/>
      <c r="H35" s="63"/>
      <c r="I35" s="82"/>
      <c r="K35" s="80"/>
      <c r="L35" s="77"/>
      <c r="M35" s="77"/>
      <c r="N35" s="82"/>
    </row>
    <row r="36" spans="1:14" x14ac:dyDescent="0.25">
      <c r="A36" s="80" t="s">
        <v>128</v>
      </c>
      <c r="B36" s="77">
        <v>160</v>
      </c>
      <c r="C36" s="77">
        <v>170</v>
      </c>
      <c r="D36" s="63">
        <v>2.4</v>
      </c>
      <c r="E36" s="63">
        <v>4.53</v>
      </c>
      <c r="F36" s="81">
        <v>12.3</v>
      </c>
      <c r="G36" s="77"/>
      <c r="H36" s="63"/>
      <c r="I36" s="82"/>
      <c r="K36" s="80"/>
      <c r="L36" s="77"/>
      <c r="M36" s="77"/>
      <c r="N36" s="82"/>
    </row>
    <row r="37" spans="1:14" x14ac:dyDescent="0.25">
      <c r="A37" s="80" t="s">
        <v>129</v>
      </c>
      <c r="B37" s="77">
        <v>170</v>
      </c>
      <c r="C37" s="77">
        <v>180</v>
      </c>
      <c r="D37" s="63">
        <v>2.8</v>
      </c>
      <c r="E37" s="63">
        <v>5.29</v>
      </c>
      <c r="F37" s="81">
        <v>9.6</v>
      </c>
      <c r="G37" s="77"/>
      <c r="H37" s="63"/>
      <c r="I37" s="82"/>
      <c r="K37" s="80"/>
      <c r="L37" s="77"/>
      <c r="M37" s="77"/>
      <c r="N37" s="82"/>
    </row>
    <row r="38" spans="1:14" x14ac:dyDescent="0.25">
      <c r="A38" s="80" t="s">
        <v>130</v>
      </c>
      <c r="B38" s="77">
        <v>180</v>
      </c>
      <c r="C38" s="77">
        <v>190</v>
      </c>
      <c r="D38" s="63">
        <v>2.7</v>
      </c>
      <c r="E38" s="63">
        <v>5.13</v>
      </c>
      <c r="F38" s="81">
        <v>8.6</v>
      </c>
      <c r="G38" s="77"/>
      <c r="H38" s="63"/>
      <c r="I38" s="82" t="s">
        <v>131</v>
      </c>
      <c r="K38" s="80"/>
      <c r="L38" s="77"/>
      <c r="M38" s="77"/>
      <c r="N38" s="82"/>
    </row>
    <row r="39" spans="1:14" x14ac:dyDescent="0.25">
      <c r="A39" s="80" t="s">
        <v>132</v>
      </c>
      <c r="B39" s="77">
        <v>190</v>
      </c>
      <c r="C39" s="77">
        <v>200</v>
      </c>
      <c r="D39" s="63">
        <v>2.9</v>
      </c>
      <c r="E39" s="63">
        <v>5.38</v>
      </c>
      <c r="F39" s="81">
        <v>11.9</v>
      </c>
      <c r="G39" s="77"/>
      <c r="H39" s="63"/>
      <c r="I39" s="82"/>
      <c r="K39" s="80"/>
      <c r="L39" s="77"/>
      <c r="M39" s="77"/>
      <c r="N39" s="82"/>
    </row>
    <row r="40" spans="1:14" x14ac:dyDescent="0.25">
      <c r="A40" s="80" t="s">
        <v>133</v>
      </c>
      <c r="B40" s="77">
        <v>200</v>
      </c>
      <c r="C40" s="77">
        <v>210</v>
      </c>
      <c r="D40" s="63">
        <v>2.5</v>
      </c>
      <c r="E40" s="63">
        <v>4.72</v>
      </c>
      <c r="F40" s="81">
        <v>8.4</v>
      </c>
      <c r="G40" s="77"/>
      <c r="H40" s="63"/>
      <c r="I40" s="82"/>
      <c r="K40" s="80"/>
      <c r="L40" s="77"/>
      <c r="M40" s="77"/>
      <c r="N40" s="82"/>
    </row>
    <row r="41" spans="1:14" x14ac:dyDescent="0.25">
      <c r="A41" s="80" t="s">
        <v>134</v>
      </c>
      <c r="B41" s="77">
        <v>210</v>
      </c>
      <c r="C41" s="77">
        <v>220</v>
      </c>
      <c r="D41" s="63">
        <v>2.2999999999999998</v>
      </c>
      <c r="E41" s="63">
        <v>4.47</v>
      </c>
      <c r="F41" s="81">
        <v>11.3</v>
      </c>
      <c r="G41" s="77"/>
      <c r="H41" s="63"/>
      <c r="I41" s="82"/>
      <c r="K41" s="80"/>
      <c r="L41" s="77"/>
      <c r="M41" s="77"/>
      <c r="N41" s="82"/>
    </row>
    <row r="42" spans="1:14" x14ac:dyDescent="0.25">
      <c r="A42" s="80" t="s">
        <v>135</v>
      </c>
      <c r="B42" s="77">
        <v>220</v>
      </c>
      <c r="C42" s="77">
        <v>230</v>
      </c>
      <c r="D42" s="63">
        <v>3.3</v>
      </c>
      <c r="E42" s="63">
        <v>6.14</v>
      </c>
      <c r="F42" s="81">
        <v>11.1</v>
      </c>
      <c r="G42" s="77"/>
      <c r="H42" s="63"/>
      <c r="I42" s="82"/>
      <c r="K42" s="80"/>
      <c r="L42" s="77"/>
      <c r="M42" s="77"/>
      <c r="N42" s="82"/>
    </row>
    <row r="43" spans="1:14" x14ac:dyDescent="0.25">
      <c r="A43" s="80" t="s">
        <v>136</v>
      </c>
      <c r="B43" s="77">
        <v>230</v>
      </c>
      <c r="C43" s="77">
        <v>240</v>
      </c>
      <c r="D43" s="63">
        <v>2.5</v>
      </c>
      <c r="E43" s="63">
        <v>4.82</v>
      </c>
      <c r="F43" s="81">
        <v>10.9</v>
      </c>
      <c r="G43" s="77"/>
      <c r="H43" s="63"/>
      <c r="I43" s="82"/>
      <c r="K43" s="80"/>
      <c r="L43" s="77"/>
      <c r="M43" s="77"/>
      <c r="N43" s="82"/>
    </row>
    <row r="44" spans="1:14" x14ac:dyDescent="0.25">
      <c r="A44" s="80" t="s">
        <v>137</v>
      </c>
      <c r="B44" s="77">
        <v>240</v>
      </c>
      <c r="C44" s="77">
        <v>250</v>
      </c>
      <c r="D44" s="63">
        <v>2.9</v>
      </c>
      <c r="E44" s="63">
        <v>5.48</v>
      </c>
      <c r="F44" s="81">
        <v>9.4</v>
      </c>
      <c r="G44" s="77"/>
      <c r="H44" s="63"/>
      <c r="I44" s="82"/>
      <c r="K44" s="80"/>
      <c r="L44" s="77"/>
      <c r="M44" s="77"/>
      <c r="N44" s="82"/>
    </row>
    <row r="45" spans="1:14" x14ac:dyDescent="0.25">
      <c r="A45" s="80" t="s">
        <v>138</v>
      </c>
      <c r="B45" s="77">
        <v>250</v>
      </c>
      <c r="C45" s="77">
        <v>260</v>
      </c>
      <c r="D45" s="63">
        <v>4.2</v>
      </c>
      <c r="E45" s="63">
        <v>7.76</v>
      </c>
      <c r="F45" s="81">
        <v>11</v>
      </c>
      <c r="G45" s="77"/>
      <c r="H45" s="63"/>
      <c r="I45" s="82" t="s">
        <v>139</v>
      </c>
      <c r="K45" s="80"/>
      <c r="L45" s="77"/>
      <c r="M45" s="77"/>
      <c r="N45" s="82"/>
    </row>
    <row r="46" spans="1:14" x14ac:dyDescent="0.25">
      <c r="A46" s="80" t="s">
        <v>140</v>
      </c>
      <c r="B46" s="77">
        <v>260</v>
      </c>
      <c r="C46" s="77">
        <v>270</v>
      </c>
      <c r="D46" s="63">
        <v>3.9</v>
      </c>
      <c r="E46" s="63">
        <v>7.12</v>
      </c>
      <c r="F46" s="81">
        <v>12.9</v>
      </c>
      <c r="G46" s="77"/>
      <c r="H46" s="63"/>
      <c r="I46" s="82"/>
      <c r="K46" s="80"/>
      <c r="L46" s="77"/>
      <c r="M46" s="77"/>
      <c r="N46" s="82"/>
    </row>
    <row r="47" spans="1:14" x14ac:dyDescent="0.25">
      <c r="A47" s="80" t="s">
        <v>141</v>
      </c>
      <c r="B47" s="77">
        <v>270</v>
      </c>
      <c r="C47" s="77">
        <v>280</v>
      </c>
      <c r="D47" s="63">
        <v>3.4</v>
      </c>
      <c r="E47" s="63">
        <v>6.3</v>
      </c>
      <c r="F47" s="81">
        <v>12.3</v>
      </c>
      <c r="G47" s="77"/>
      <c r="H47" s="63"/>
      <c r="I47" s="82"/>
      <c r="K47" s="80"/>
      <c r="L47" s="77"/>
      <c r="M47" s="77"/>
      <c r="N47" s="82"/>
    </row>
    <row r="48" spans="1:14" x14ac:dyDescent="0.25">
      <c r="A48" s="80" t="s">
        <v>142</v>
      </c>
      <c r="B48" s="77">
        <v>280</v>
      </c>
      <c r="C48" s="77">
        <v>290</v>
      </c>
      <c r="D48" s="63">
        <v>3.7</v>
      </c>
      <c r="E48" s="63">
        <v>6.86</v>
      </c>
      <c r="F48" s="81">
        <v>10.199999999999999</v>
      </c>
      <c r="G48" s="77"/>
      <c r="H48" s="63"/>
      <c r="I48" s="82"/>
      <c r="K48" s="80"/>
      <c r="L48" s="77"/>
      <c r="M48" s="77"/>
      <c r="N48" s="82"/>
    </row>
    <row r="49" spans="1:14" x14ac:dyDescent="0.25">
      <c r="A49" s="80" t="s">
        <v>143</v>
      </c>
      <c r="B49" s="77">
        <v>290</v>
      </c>
      <c r="C49" s="77">
        <v>300</v>
      </c>
      <c r="D49" s="63">
        <v>3.5</v>
      </c>
      <c r="E49" s="63">
        <v>6.55</v>
      </c>
      <c r="F49" s="81">
        <v>8.1999999999999993</v>
      </c>
      <c r="G49" s="77"/>
      <c r="H49" s="63"/>
      <c r="I49" s="82"/>
      <c r="K49" s="80"/>
      <c r="L49" s="77"/>
      <c r="M49" s="77"/>
      <c r="N49" s="82"/>
    </row>
    <row r="50" spans="1:14" x14ac:dyDescent="0.25">
      <c r="A50" s="80" t="s">
        <v>144</v>
      </c>
      <c r="B50" s="77">
        <v>300</v>
      </c>
      <c r="C50" s="77">
        <v>306</v>
      </c>
      <c r="D50" s="63">
        <v>4.2</v>
      </c>
      <c r="E50" s="63">
        <v>7.76</v>
      </c>
      <c r="F50" s="81">
        <v>15.2</v>
      </c>
      <c r="G50" s="77"/>
      <c r="H50" s="63"/>
      <c r="I50" s="82"/>
      <c r="K50" s="80"/>
      <c r="L50" s="77"/>
      <c r="M50" s="77"/>
      <c r="N50" s="82"/>
    </row>
    <row r="51" spans="1:14" x14ac:dyDescent="0.25">
      <c r="A51" s="80" t="s">
        <v>145</v>
      </c>
      <c r="B51" s="2">
        <v>306</v>
      </c>
      <c r="C51" s="2">
        <v>311</v>
      </c>
      <c r="D51" s="2">
        <v>6.4</v>
      </c>
      <c r="E51" s="2">
        <v>11.43</v>
      </c>
      <c r="F51" s="2">
        <v>15</v>
      </c>
    </row>
  </sheetData>
  <mergeCells count="9">
    <mergeCell ref="B6:C6"/>
    <mergeCell ref="B7:D7"/>
    <mergeCell ref="K10:L10"/>
    <mergeCell ref="K11:L11"/>
    <mergeCell ref="A1:D1"/>
    <mergeCell ref="B2:C2"/>
    <mergeCell ref="B3:C3"/>
    <mergeCell ref="B4:C4"/>
    <mergeCell ref="B5:C5"/>
  </mergeCells>
  <pageMargins left="0.7" right="0.7" top="0.75" bottom="0.75" header="0.51180555555555496" footer="0.51180555555555496"/>
  <pageSetup paperSize="9" firstPageNumber="0" fitToHeight="0" orientation="landscape"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pageSetUpPr fitToPage="1"/>
  </sheetPr>
  <dimension ref="A1:AMJ56"/>
  <sheetViews>
    <sheetView zoomScale="80" zoomScaleNormal="80" workbookViewId="0">
      <selection activeCell="B4" sqref="B4:C4"/>
    </sheetView>
  </sheetViews>
  <sheetFormatPr defaultColWidth="9.140625" defaultRowHeight="15" x14ac:dyDescent="0.25"/>
  <cols>
    <col min="1" max="1" width="23.7109375" style="2" customWidth="1"/>
    <col min="2" max="2" width="16.42578125" style="2" customWidth="1"/>
    <col min="3" max="3" width="12.7109375" style="2" customWidth="1"/>
    <col min="4" max="4" width="29.42578125" style="2" customWidth="1"/>
    <col min="5" max="5" width="18.7109375" style="2" customWidth="1"/>
    <col min="6" max="6" width="20.28515625" style="2" customWidth="1"/>
    <col min="7" max="7" width="18.7109375" style="2" customWidth="1"/>
    <col min="8" max="8" width="36.7109375" style="2" customWidth="1"/>
    <col min="9" max="1024" width="9.140625" style="2"/>
  </cols>
  <sheetData>
    <row r="1" spans="1:9" ht="33.75" x14ac:dyDescent="0.5">
      <c r="A1" s="209" t="s">
        <v>146</v>
      </c>
      <c r="B1" s="209"/>
      <c r="C1" s="209"/>
      <c r="D1" s="209"/>
    </row>
    <row r="2" spans="1:9" x14ac:dyDescent="0.25">
      <c r="A2" s="83" t="s">
        <v>37</v>
      </c>
      <c r="B2" s="196" t="str">
        <f>CONCATENATE(ExpID,"-",StnNum,"-",StnDay)</f>
        <v>AO2023-I-3-1</v>
      </c>
      <c r="C2" s="196"/>
      <c r="D2" s="44"/>
    </row>
    <row r="3" spans="1:9" x14ac:dyDescent="0.25">
      <c r="A3" s="84" t="s">
        <v>38</v>
      </c>
      <c r="B3" s="197" t="s">
        <v>147</v>
      </c>
      <c r="C3" s="197"/>
      <c r="D3" s="49"/>
    </row>
    <row r="4" spans="1:9" x14ac:dyDescent="0.25">
      <c r="A4" s="84" t="s">
        <v>39</v>
      </c>
      <c r="B4" s="198" t="str">
        <f>ObsDate</f>
        <v>13.06.2023</v>
      </c>
      <c r="C4" s="198"/>
      <c r="D4" s="49"/>
    </row>
    <row r="5" spans="1:9" x14ac:dyDescent="0.25">
      <c r="A5" s="85" t="s">
        <v>40</v>
      </c>
      <c r="B5" s="199">
        <v>0.47916666666666702</v>
      </c>
      <c r="C5" s="199"/>
      <c r="D5" s="49"/>
    </row>
    <row r="6" spans="1:9" x14ac:dyDescent="0.25">
      <c r="A6" s="85" t="s">
        <v>6</v>
      </c>
      <c r="B6" s="200" t="s">
        <v>73</v>
      </c>
      <c r="C6" s="200"/>
      <c r="D6" s="49"/>
    </row>
    <row r="7" spans="1:9" x14ac:dyDescent="0.25">
      <c r="A7" s="207" t="s">
        <v>148</v>
      </c>
      <c r="B7" s="207"/>
      <c r="C7" s="86" t="s">
        <v>149</v>
      </c>
      <c r="D7" s="49"/>
      <c r="E7" s="87"/>
      <c r="F7" s="45"/>
      <c r="G7" s="45"/>
      <c r="H7" s="47"/>
      <c r="I7" s="46"/>
    </row>
    <row r="8" spans="1:9" ht="30" customHeight="1" x14ac:dyDescent="0.25">
      <c r="A8" s="88" t="s">
        <v>47</v>
      </c>
      <c r="B8" s="208" t="s">
        <v>150</v>
      </c>
      <c r="C8" s="208"/>
      <c r="D8" s="208"/>
    </row>
    <row r="10" spans="1:9" x14ac:dyDescent="0.25">
      <c r="A10" s="5" t="s">
        <v>151</v>
      </c>
      <c r="D10" s="5" t="s">
        <v>90</v>
      </c>
    </row>
    <row r="11" spans="1:9" x14ac:dyDescent="0.25">
      <c r="A11" s="6" t="s">
        <v>152</v>
      </c>
      <c r="B11" s="89">
        <v>0.4</v>
      </c>
      <c r="D11" s="6" t="s">
        <v>91</v>
      </c>
      <c r="E11" s="90">
        <v>303.5</v>
      </c>
      <c r="F11" s="2" t="s">
        <v>153</v>
      </c>
    </row>
    <row r="12" spans="1:9" x14ac:dyDescent="0.25">
      <c r="A12" s="8" t="s">
        <v>154</v>
      </c>
      <c r="B12" s="91">
        <v>-0.1</v>
      </c>
      <c r="D12" s="8" t="s">
        <v>93</v>
      </c>
      <c r="E12" s="92">
        <v>300</v>
      </c>
    </row>
    <row r="13" spans="1:9" x14ac:dyDescent="0.25">
      <c r="A13" s="8" t="s">
        <v>155</v>
      </c>
      <c r="B13" s="91">
        <v>-0.8</v>
      </c>
      <c r="D13" s="8" t="s">
        <v>95</v>
      </c>
      <c r="E13" s="92">
        <v>267.5</v>
      </c>
    </row>
    <row r="14" spans="1:9" x14ac:dyDescent="0.25">
      <c r="A14" s="9" t="s">
        <v>156</v>
      </c>
      <c r="B14" s="93"/>
      <c r="D14" s="8" t="s">
        <v>57</v>
      </c>
      <c r="E14" s="92"/>
    </row>
    <row r="15" spans="1:9" x14ac:dyDescent="0.25">
      <c r="D15" s="8" t="s">
        <v>78</v>
      </c>
      <c r="E15" s="92">
        <v>300</v>
      </c>
    </row>
    <row r="16" spans="1:9" x14ac:dyDescent="0.25">
      <c r="D16" s="9" t="s">
        <v>77</v>
      </c>
      <c r="E16" s="94">
        <v>10</v>
      </c>
      <c r="F16" s="2" t="s">
        <v>157</v>
      </c>
    </row>
    <row r="18" spans="1:8" x14ac:dyDescent="0.25">
      <c r="D18" s="6" t="s">
        <v>92</v>
      </c>
      <c r="E18" s="95"/>
      <c r="F18" s="96"/>
      <c r="G18" s="97"/>
    </row>
    <row r="19" spans="1:8" x14ac:dyDescent="0.25">
      <c r="D19" s="8" t="s">
        <v>94</v>
      </c>
      <c r="E19" s="98">
        <v>5</v>
      </c>
      <c r="F19" s="21"/>
      <c r="G19" s="99"/>
    </row>
    <row r="20" spans="1:8" x14ac:dyDescent="0.25">
      <c r="D20" s="9" t="s">
        <v>96</v>
      </c>
      <c r="E20" s="100"/>
      <c r="F20" s="100"/>
      <c r="G20" s="101">
        <v>307</v>
      </c>
    </row>
    <row r="22" spans="1:8" x14ac:dyDescent="0.25">
      <c r="A22" s="102" t="s">
        <v>158</v>
      </c>
      <c r="B22" s="103" t="s">
        <v>159</v>
      </c>
      <c r="D22" s="102" t="s">
        <v>105</v>
      </c>
      <c r="E22" s="104" t="s">
        <v>160</v>
      </c>
      <c r="F22" s="104" t="s">
        <v>161</v>
      </c>
      <c r="G22" s="104" t="s">
        <v>162</v>
      </c>
      <c r="H22" s="103" t="s">
        <v>13</v>
      </c>
    </row>
    <row r="23" spans="1:8" x14ac:dyDescent="0.25">
      <c r="A23" s="105" t="s">
        <v>163</v>
      </c>
      <c r="B23" s="106">
        <v>-0.8</v>
      </c>
      <c r="D23" s="107">
        <v>1</v>
      </c>
      <c r="E23" s="108"/>
      <c r="F23" s="108"/>
      <c r="G23" s="108">
        <v>74</v>
      </c>
      <c r="H23" s="70" t="s">
        <v>164</v>
      </c>
    </row>
    <row r="24" spans="1:8" x14ac:dyDescent="0.25">
      <c r="A24" s="105">
        <v>2.5</v>
      </c>
      <c r="B24" s="109">
        <v>-0.6</v>
      </c>
      <c r="D24" s="110">
        <v>2</v>
      </c>
      <c r="E24" s="111"/>
      <c r="F24" s="111"/>
      <c r="G24" s="111">
        <v>36</v>
      </c>
      <c r="H24" s="25" t="s">
        <v>165</v>
      </c>
    </row>
    <row r="25" spans="1:8" x14ac:dyDescent="0.25">
      <c r="A25" s="105">
        <v>10</v>
      </c>
      <c r="B25" s="109">
        <v>-1.4</v>
      </c>
      <c r="D25" s="110">
        <v>3</v>
      </c>
      <c r="E25" s="111"/>
      <c r="F25" s="111"/>
      <c r="G25" s="111">
        <v>80</v>
      </c>
      <c r="H25" s="25"/>
    </row>
    <row r="26" spans="1:8" x14ac:dyDescent="0.25">
      <c r="A26" s="112">
        <v>20</v>
      </c>
      <c r="B26" s="109">
        <v>-0.5</v>
      </c>
      <c r="D26" s="110">
        <v>4</v>
      </c>
      <c r="E26" s="111"/>
      <c r="F26" s="111"/>
      <c r="G26" s="111">
        <v>90</v>
      </c>
      <c r="H26" s="25"/>
    </row>
    <row r="27" spans="1:8" x14ac:dyDescent="0.25">
      <c r="A27" s="105">
        <v>30</v>
      </c>
      <c r="B27" s="109">
        <v>-0.5</v>
      </c>
      <c r="D27" s="110">
        <v>5</v>
      </c>
      <c r="E27" s="111"/>
      <c r="F27" s="111"/>
      <c r="G27" s="111">
        <v>27</v>
      </c>
      <c r="H27" s="25" t="s">
        <v>166</v>
      </c>
    </row>
    <row r="28" spans="1:8" x14ac:dyDescent="0.25">
      <c r="A28" s="112">
        <v>40</v>
      </c>
      <c r="B28" s="109">
        <v>-0.9</v>
      </c>
      <c r="D28" s="110"/>
      <c r="E28" s="111"/>
      <c r="F28" s="111"/>
      <c r="G28" s="111"/>
      <c r="H28" s="25"/>
    </row>
    <row r="29" spans="1:8" x14ac:dyDescent="0.25">
      <c r="A29" s="105">
        <v>50</v>
      </c>
      <c r="B29" s="109">
        <v>-1</v>
      </c>
      <c r="D29" s="110"/>
      <c r="E29" s="111"/>
      <c r="F29" s="111"/>
      <c r="G29" s="111"/>
      <c r="H29" s="25"/>
    </row>
    <row r="30" spans="1:8" x14ac:dyDescent="0.25">
      <c r="A30" s="112">
        <v>60</v>
      </c>
      <c r="B30" s="109">
        <v>-1.2</v>
      </c>
      <c r="D30" s="110"/>
      <c r="E30" s="111"/>
      <c r="F30" s="111"/>
      <c r="G30" s="111"/>
      <c r="H30" s="25"/>
    </row>
    <row r="31" spans="1:8" x14ac:dyDescent="0.25">
      <c r="A31" s="105">
        <v>70</v>
      </c>
      <c r="B31" s="109">
        <v>-1.7</v>
      </c>
      <c r="C31" s="2" t="s">
        <v>167</v>
      </c>
      <c r="D31" s="110"/>
      <c r="E31" s="111"/>
      <c r="F31" s="111"/>
      <c r="G31" s="111"/>
      <c r="H31" s="25"/>
    </row>
    <row r="32" spans="1:8" x14ac:dyDescent="0.25">
      <c r="A32" s="112">
        <v>80</v>
      </c>
      <c r="B32" s="109">
        <v>-1.7</v>
      </c>
      <c r="D32" s="110"/>
      <c r="E32" s="111"/>
      <c r="F32" s="111"/>
      <c r="G32" s="111"/>
      <c r="H32" s="25"/>
    </row>
    <row r="33" spans="1:8" x14ac:dyDescent="0.25">
      <c r="A33" s="112">
        <v>90</v>
      </c>
      <c r="B33" s="109">
        <v>-2.2999999999999998</v>
      </c>
      <c r="D33" s="110"/>
      <c r="E33" s="111"/>
      <c r="F33" s="111"/>
      <c r="G33" s="111"/>
      <c r="H33" s="25"/>
    </row>
    <row r="34" spans="1:8" x14ac:dyDescent="0.25">
      <c r="A34" s="112">
        <v>100</v>
      </c>
      <c r="B34" s="109">
        <v>-2.2000000000000002</v>
      </c>
      <c r="D34" s="110"/>
      <c r="E34" s="111"/>
      <c r="F34" s="111"/>
      <c r="G34" s="111"/>
      <c r="H34" s="25"/>
    </row>
    <row r="35" spans="1:8" x14ac:dyDescent="0.25">
      <c r="A35" s="112">
        <v>107</v>
      </c>
      <c r="B35" s="109">
        <v>-2.1</v>
      </c>
      <c r="C35" s="2" t="s">
        <v>168</v>
      </c>
      <c r="D35" s="110"/>
      <c r="E35" s="111"/>
      <c r="F35" s="111"/>
      <c r="G35" s="111"/>
      <c r="H35" s="25"/>
    </row>
    <row r="36" spans="1:8" x14ac:dyDescent="0.25">
      <c r="A36" s="112">
        <v>120</v>
      </c>
      <c r="B36" s="109">
        <v>-2.5</v>
      </c>
      <c r="D36" s="110"/>
      <c r="E36" s="111"/>
      <c r="F36" s="111"/>
      <c r="G36" s="111"/>
      <c r="H36" s="25"/>
    </row>
    <row r="37" spans="1:8" x14ac:dyDescent="0.25">
      <c r="A37" s="112">
        <v>130</v>
      </c>
      <c r="B37" s="109">
        <v>-2.6</v>
      </c>
      <c r="D37" s="110"/>
      <c r="E37" s="111"/>
      <c r="F37" s="111"/>
      <c r="G37" s="111"/>
      <c r="H37" s="25"/>
    </row>
    <row r="38" spans="1:8" x14ac:dyDescent="0.25">
      <c r="A38" s="112">
        <v>140</v>
      </c>
      <c r="B38" s="109">
        <v>-2.7</v>
      </c>
      <c r="D38" s="110"/>
      <c r="E38" s="111"/>
      <c r="F38" s="111"/>
      <c r="G38" s="111"/>
      <c r="H38" s="25"/>
    </row>
    <row r="39" spans="1:8" x14ac:dyDescent="0.25">
      <c r="A39" s="112">
        <v>150</v>
      </c>
      <c r="B39" s="109">
        <v>-2.9</v>
      </c>
      <c r="D39" s="110"/>
      <c r="E39" s="111"/>
      <c r="F39" s="111"/>
      <c r="G39" s="111"/>
      <c r="H39" s="25"/>
    </row>
    <row r="40" spans="1:8" x14ac:dyDescent="0.25">
      <c r="A40" s="112">
        <v>160</v>
      </c>
      <c r="B40" s="109">
        <v>-2.8</v>
      </c>
      <c r="D40" s="110"/>
      <c r="E40" s="111"/>
      <c r="F40" s="111"/>
      <c r="G40" s="111"/>
      <c r="H40" s="25"/>
    </row>
    <row r="41" spans="1:8" x14ac:dyDescent="0.25">
      <c r="A41" s="112">
        <v>170</v>
      </c>
      <c r="B41" s="109">
        <v>-2.6</v>
      </c>
      <c r="D41" s="110"/>
      <c r="E41" s="111"/>
      <c r="F41" s="111"/>
      <c r="G41" s="111"/>
      <c r="H41" s="25"/>
    </row>
    <row r="42" spans="1:8" x14ac:dyDescent="0.25">
      <c r="A42" s="112">
        <v>180</v>
      </c>
      <c r="B42" s="109">
        <v>-2.9</v>
      </c>
      <c r="D42" s="110"/>
      <c r="E42" s="111"/>
      <c r="F42" s="111"/>
      <c r="G42" s="111"/>
      <c r="H42" s="25"/>
    </row>
    <row r="43" spans="1:8" x14ac:dyDescent="0.25">
      <c r="A43" s="112">
        <v>188</v>
      </c>
      <c r="B43" s="109">
        <v>-2.5</v>
      </c>
      <c r="C43" s="2" t="s">
        <v>169</v>
      </c>
      <c r="D43" s="110"/>
      <c r="E43" s="111"/>
      <c r="F43" s="111"/>
      <c r="G43" s="111"/>
      <c r="H43" s="25"/>
    </row>
    <row r="44" spans="1:8" x14ac:dyDescent="0.25">
      <c r="A44" s="112">
        <v>200</v>
      </c>
      <c r="B44" s="109">
        <v>-1.9</v>
      </c>
      <c r="D44" s="110"/>
      <c r="E44" s="111"/>
      <c r="F44" s="111"/>
      <c r="G44" s="111"/>
      <c r="H44" s="25"/>
    </row>
    <row r="45" spans="1:8" x14ac:dyDescent="0.25">
      <c r="A45" s="112">
        <v>210</v>
      </c>
      <c r="B45" s="109">
        <v>-2.2999999999999998</v>
      </c>
      <c r="D45" s="110"/>
      <c r="E45" s="111"/>
      <c r="F45" s="111"/>
      <c r="G45" s="111"/>
      <c r="H45" s="25"/>
    </row>
    <row r="46" spans="1:8" x14ac:dyDescent="0.25">
      <c r="A46" s="112">
        <v>220</v>
      </c>
      <c r="B46" s="109">
        <v>-2.4</v>
      </c>
      <c r="D46" s="110"/>
      <c r="E46" s="111"/>
      <c r="F46" s="111"/>
      <c r="G46" s="111"/>
      <c r="H46" s="25"/>
    </row>
    <row r="47" spans="1:8" x14ac:dyDescent="0.25">
      <c r="A47" s="112">
        <v>230</v>
      </c>
      <c r="B47" s="109">
        <v>-2.5</v>
      </c>
      <c r="D47" s="110"/>
      <c r="E47" s="111"/>
      <c r="F47" s="111"/>
      <c r="G47" s="111"/>
      <c r="H47" s="25"/>
    </row>
    <row r="48" spans="1:8" x14ac:dyDescent="0.25">
      <c r="A48" s="112">
        <v>240</v>
      </c>
      <c r="B48" s="2">
        <v>-2.6</v>
      </c>
    </row>
    <row r="49" spans="1:3" x14ac:dyDescent="0.25">
      <c r="A49" s="112">
        <v>250</v>
      </c>
      <c r="B49" s="2">
        <v>-2.5</v>
      </c>
    </row>
    <row r="50" spans="1:3" x14ac:dyDescent="0.25">
      <c r="A50" s="112">
        <v>260</v>
      </c>
      <c r="B50" s="2">
        <v>-2.2999999999999998</v>
      </c>
    </row>
    <row r="51" spans="1:3" x14ac:dyDescent="0.25">
      <c r="A51" s="112">
        <v>270</v>
      </c>
      <c r="B51" s="2">
        <v>-2.2999999999999998</v>
      </c>
    </row>
    <row r="52" spans="1:3" x14ac:dyDescent="0.25">
      <c r="A52" s="112">
        <v>278</v>
      </c>
      <c r="B52" s="2">
        <v>-1.8</v>
      </c>
      <c r="C52" s="2" t="s">
        <v>170</v>
      </c>
    </row>
    <row r="53" spans="1:3" x14ac:dyDescent="0.25">
      <c r="A53" s="2">
        <v>290</v>
      </c>
      <c r="B53" s="2">
        <v>-1.5</v>
      </c>
    </row>
    <row r="54" spans="1:3" x14ac:dyDescent="0.25">
      <c r="A54" s="2">
        <v>300</v>
      </c>
      <c r="B54" s="2">
        <v>-1.5</v>
      </c>
    </row>
    <row r="55" spans="1:3" x14ac:dyDescent="0.25">
      <c r="A55" s="2">
        <v>304</v>
      </c>
      <c r="B55" s="2">
        <v>-1.8</v>
      </c>
    </row>
    <row r="56" spans="1:3" x14ac:dyDescent="0.25">
      <c r="A56" s="2">
        <v>307</v>
      </c>
      <c r="B56" s="2">
        <v>-1.6</v>
      </c>
      <c r="C56" s="2" t="s">
        <v>171</v>
      </c>
    </row>
  </sheetData>
  <mergeCells count="8">
    <mergeCell ref="B6:C6"/>
    <mergeCell ref="A7:B7"/>
    <mergeCell ref="B8:D8"/>
    <mergeCell ref="A1:D1"/>
    <mergeCell ref="B2:C2"/>
    <mergeCell ref="B3:C3"/>
    <mergeCell ref="B4:C4"/>
    <mergeCell ref="B5:C5"/>
  </mergeCells>
  <dataValidations count="1">
    <dataValidation type="list" allowBlank="1" showInputMessage="1" showErrorMessage="1" sqref="C7" xr:uid="{00000000-0002-0000-0400-000000000000}">
      <formula1>Yes_No</formula1>
      <formula2>0</formula2>
    </dataValidation>
  </dataValidations>
  <pageMargins left="0.7" right="0.7" top="0.75" bottom="0.75" header="0.51180555555555496" footer="0.51180555555555496"/>
  <pageSetup paperSize="9" firstPageNumber="0"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1E5E7-D576-4F74-AF4F-9C1A7CBE94ED}">
  <sheetPr>
    <tabColor rgb="FF92D050"/>
    <pageSetUpPr fitToPage="1"/>
  </sheetPr>
  <dimension ref="A1:L83"/>
  <sheetViews>
    <sheetView tabSelected="1" zoomScale="75" zoomScaleNormal="75" workbookViewId="0">
      <selection activeCell="A23" sqref="A23"/>
    </sheetView>
  </sheetViews>
  <sheetFormatPr defaultColWidth="9.140625" defaultRowHeight="15" x14ac:dyDescent="0.25"/>
  <cols>
    <col min="1" max="1" width="21.7109375" style="127" customWidth="1"/>
    <col min="2" max="3" width="15.7109375" style="127" customWidth="1"/>
    <col min="4" max="5" width="18.7109375" style="127" customWidth="1"/>
    <col min="6" max="6" width="19.5703125" style="127" bestFit="1" customWidth="1"/>
    <col min="7" max="7" width="19.85546875" style="127" bestFit="1" customWidth="1"/>
    <col min="8" max="8" width="19.5703125" style="127" bestFit="1" customWidth="1"/>
    <col min="9" max="9" width="36.7109375" style="128" customWidth="1"/>
    <col min="10" max="16384" width="9.140625" style="127"/>
  </cols>
  <sheetData>
    <row r="1" spans="1:9" ht="34.5" thickBot="1" x14ac:dyDescent="0.55000000000000004">
      <c r="A1" s="213" t="s">
        <v>269</v>
      </c>
      <c r="B1" s="213"/>
      <c r="C1" s="213"/>
      <c r="D1" s="126"/>
    </row>
    <row r="2" spans="1:9" x14ac:dyDescent="0.25">
      <c r="A2" s="129" t="s">
        <v>37</v>
      </c>
      <c r="B2" s="214" t="s">
        <v>285</v>
      </c>
      <c r="C2" s="214"/>
      <c r="D2" s="130"/>
    </row>
    <row r="3" spans="1:9" x14ac:dyDescent="0.25">
      <c r="A3" s="131" t="s">
        <v>38</v>
      </c>
      <c r="B3" s="215" t="s">
        <v>270</v>
      </c>
      <c r="C3" s="215"/>
      <c r="D3" s="132"/>
    </row>
    <row r="4" spans="1:9" x14ac:dyDescent="0.25">
      <c r="A4" s="131" t="s">
        <v>39</v>
      </c>
      <c r="B4" s="216">
        <v>45090</v>
      </c>
      <c r="C4" s="216"/>
      <c r="D4" s="132"/>
    </row>
    <row r="5" spans="1:9" x14ac:dyDescent="0.25">
      <c r="A5" s="133" t="s">
        <v>40</v>
      </c>
      <c r="B5" s="217"/>
      <c r="C5" s="217"/>
      <c r="D5" s="132"/>
    </row>
    <row r="6" spans="1:9" x14ac:dyDescent="0.25">
      <c r="A6" s="133" t="s">
        <v>6</v>
      </c>
      <c r="B6" s="218" t="s">
        <v>286</v>
      </c>
      <c r="C6" s="219"/>
      <c r="D6" s="132"/>
      <c r="E6" s="134"/>
      <c r="F6" s="134"/>
      <c r="G6" s="135"/>
      <c r="H6" s="136"/>
    </row>
    <row r="7" spans="1:9" ht="30" customHeight="1" thickBot="1" x14ac:dyDescent="0.3">
      <c r="A7" s="137" t="s">
        <v>47</v>
      </c>
      <c r="B7" s="210" t="s">
        <v>369</v>
      </c>
      <c r="C7" s="211"/>
      <c r="D7" s="212"/>
      <c r="F7" s="127" t="s">
        <v>271</v>
      </c>
      <c r="G7" s="127">
        <v>-19</v>
      </c>
    </row>
    <row r="8" spans="1:9" x14ac:dyDescent="0.25">
      <c r="F8" s="127" t="s">
        <v>272</v>
      </c>
      <c r="G8" s="127">
        <v>0.83599999999999997</v>
      </c>
    </row>
    <row r="9" spans="1:9" ht="15.75" thickBot="1" x14ac:dyDescent="0.3">
      <c r="A9" s="138" t="s">
        <v>90</v>
      </c>
    </row>
    <row r="10" spans="1:9" x14ac:dyDescent="0.25">
      <c r="A10" s="139" t="s">
        <v>77</v>
      </c>
      <c r="B10" s="140">
        <v>10</v>
      </c>
      <c r="F10" s="141" t="s">
        <v>105</v>
      </c>
      <c r="G10" s="142" t="s">
        <v>106</v>
      </c>
      <c r="H10" s="142" t="s">
        <v>107</v>
      </c>
      <c r="I10" s="143" t="s">
        <v>13</v>
      </c>
    </row>
    <row r="11" spans="1:9" x14ac:dyDescent="0.25">
      <c r="A11" s="144" t="s">
        <v>78</v>
      </c>
      <c r="B11" s="145">
        <v>300</v>
      </c>
      <c r="F11" s="146">
        <v>1</v>
      </c>
      <c r="G11" s="147">
        <v>90</v>
      </c>
      <c r="H11" s="148">
        <v>90</v>
      </c>
      <c r="I11" s="149"/>
    </row>
    <row r="12" spans="1:9" x14ac:dyDescent="0.25">
      <c r="A12" s="144" t="s">
        <v>273</v>
      </c>
      <c r="B12" s="145">
        <v>268</v>
      </c>
      <c r="F12" s="146">
        <v>2</v>
      </c>
      <c r="G12" s="148">
        <v>186.5</v>
      </c>
      <c r="H12" s="150">
        <v>96.5</v>
      </c>
      <c r="I12" s="151"/>
    </row>
    <row r="13" spans="1:9" x14ac:dyDescent="0.25">
      <c r="A13" s="144" t="s">
        <v>57</v>
      </c>
      <c r="B13" s="145">
        <v>32</v>
      </c>
      <c r="F13" s="146">
        <v>3</v>
      </c>
      <c r="G13" s="148">
        <f>G12+H13</f>
        <v>276.5</v>
      </c>
      <c r="H13" s="148">
        <v>90</v>
      </c>
      <c r="I13" s="151"/>
    </row>
    <row r="14" spans="1:9" ht="15.75" thickBot="1" x14ac:dyDescent="0.3">
      <c r="A14" s="152" t="s">
        <v>274</v>
      </c>
      <c r="B14" s="153">
        <v>310</v>
      </c>
      <c r="F14" s="146">
        <v>4</v>
      </c>
      <c r="G14" s="148">
        <f>G13+H14</f>
        <v>302.5</v>
      </c>
      <c r="H14" s="148">
        <v>26</v>
      </c>
      <c r="I14" s="151"/>
    </row>
    <row r="15" spans="1:9" x14ac:dyDescent="0.25">
      <c r="F15" s="146"/>
      <c r="G15" s="148"/>
      <c r="H15" s="148"/>
      <c r="I15" s="151"/>
    </row>
    <row r="16" spans="1:9" ht="15.75" thickBot="1" x14ac:dyDescent="0.3">
      <c r="A16" s="138" t="s">
        <v>275</v>
      </c>
      <c r="F16" s="146"/>
      <c r="G16" s="148"/>
      <c r="H16" s="148"/>
      <c r="I16" s="151"/>
    </row>
    <row r="17" spans="1:12" x14ac:dyDescent="0.25">
      <c r="A17" s="139" t="s">
        <v>276</v>
      </c>
      <c r="B17" s="140"/>
      <c r="F17" s="146"/>
      <c r="G17" s="148"/>
      <c r="H17" s="148"/>
      <c r="I17" s="151"/>
    </row>
    <row r="18" spans="1:12" ht="15.75" thickBot="1" x14ac:dyDescent="0.3">
      <c r="A18" s="154" t="s">
        <v>277</v>
      </c>
      <c r="B18" s="155">
        <f>POWER(B17/2,2)*3.14</f>
        <v>0</v>
      </c>
      <c r="F18" s="146"/>
      <c r="G18" s="148"/>
      <c r="H18" s="148"/>
      <c r="I18" s="151"/>
    </row>
    <row r="19" spans="1:12" ht="15.75" thickBot="1" x14ac:dyDescent="0.3">
      <c r="B19" s="156"/>
      <c r="F19" s="157"/>
      <c r="G19" s="158"/>
      <c r="H19" s="158"/>
      <c r="I19" s="159"/>
    </row>
    <row r="21" spans="1:12" ht="15.75" thickBot="1" x14ac:dyDescent="0.3"/>
    <row r="22" spans="1:12" s="164" customFormat="1" ht="45.75" thickBot="1" x14ac:dyDescent="0.3">
      <c r="A22" s="160" t="s">
        <v>98</v>
      </c>
      <c r="B22" s="161" t="s">
        <v>99</v>
      </c>
      <c r="C22" s="161" t="s">
        <v>278</v>
      </c>
      <c r="D22" s="161" t="s">
        <v>279</v>
      </c>
      <c r="E22" s="161" t="s">
        <v>280</v>
      </c>
      <c r="F22" s="161" t="s">
        <v>281</v>
      </c>
      <c r="G22" s="161" t="s">
        <v>282</v>
      </c>
      <c r="H22" s="161" t="s">
        <v>283</v>
      </c>
      <c r="I22" s="162" t="s">
        <v>13</v>
      </c>
      <c r="J22" s="163" t="s">
        <v>100</v>
      </c>
      <c r="K22" s="163" t="s">
        <v>101</v>
      </c>
      <c r="L22" s="163" t="s">
        <v>284</v>
      </c>
    </row>
    <row r="23" spans="1:12" x14ac:dyDescent="0.25">
      <c r="A23" s="165">
        <v>0</v>
      </c>
      <c r="B23" s="165">
        <v>5</v>
      </c>
      <c r="C23" s="166"/>
      <c r="D23" s="169">
        <v>190.15</v>
      </c>
      <c r="E23" s="170">
        <v>4.8600000000000003</v>
      </c>
      <c r="F23" s="172" t="s">
        <v>288</v>
      </c>
      <c r="G23" s="165">
        <f>AVERAGE(A23:B23)</f>
        <v>2.5</v>
      </c>
      <c r="H23" s="166">
        <f t="shared" ref="H23:H83" si="0">0.836*D23/(D23-E23)</f>
        <v>0.85792757299368549</v>
      </c>
      <c r="I23" s="173" t="s">
        <v>306</v>
      </c>
      <c r="J23" s="127">
        <v>0.5</v>
      </c>
      <c r="K23" s="127">
        <v>1.2050000000000001</v>
      </c>
      <c r="L23" s="127">
        <v>11.8</v>
      </c>
    </row>
    <row r="24" spans="1:12" x14ac:dyDescent="0.25">
      <c r="A24" s="167">
        <v>5</v>
      </c>
      <c r="B24" s="167">
        <v>10</v>
      </c>
      <c r="C24" s="167"/>
      <c r="D24" s="167">
        <v>211.08</v>
      </c>
      <c r="E24" s="171" t="s">
        <v>287</v>
      </c>
      <c r="F24" s="171" t="s">
        <v>289</v>
      </c>
      <c r="G24" s="165">
        <f t="shared" ref="G24:G83" si="1">AVERAGE(A24:B24)</f>
        <v>7.5</v>
      </c>
      <c r="H24" s="166">
        <v>0.83599999999999997</v>
      </c>
      <c r="I24" s="174" t="s">
        <v>307</v>
      </c>
      <c r="J24" s="127">
        <v>0.8</v>
      </c>
      <c r="K24" s="127">
        <v>1.706</v>
      </c>
      <c r="L24" s="127">
        <v>10.4</v>
      </c>
    </row>
    <row r="25" spans="1:12" x14ac:dyDescent="0.25">
      <c r="A25" s="165">
        <v>10</v>
      </c>
      <c r="B25" s="165">
        <v>15</v>
      </c>
      <c r="C25" s="167"/>
      <c r="D25" s="167">
        <v>237.19</v>
      </c>
      <c r="E25" s="167">
        <v>1.99</v>
      </c>
      <c r="F25" s="171" t="s">
        <v>290</v>
      </c>
      <c r="G25" s="165">
        <f t="shared" si="1"/>
        <v>12.5</v>
      </c>
      <c r="H25" s="166">
        <f t="shared" si="0"/>
        <v>0.84307329931972796</v>
      </c>
      <c r="I25" s="174" t="s">
        <v>308</v>
      </c>
      <c r="J25" s="127">
        <v>1.2</v>
      </c>
      <c r="K25" s="127">
        <v>2.4500000000000002</v>
      </c>
      <c r="L25" s="127">
        <v>10.1</v>
      </c>
    </row>
    <row r="26" spans="1:12" x14ac:dyDescent="0.25">
      <c r="A26" s="167">
        <v>15</v>
      </c>
      <c r="B26" s="167">
        <v>20</v>
      </c>
      <c r="C26" s="167"/>
      <c r="D26" s="167">
        <v>267.85000000000002</v>
      </c>
      <c r="E26" s="167">
        <v>14.46</v>
      </c>
      <c r="F26" s="172" t="s">
        <v>291</v>
      </c>
      <c r="G26" s="165">
        <f t="shared" si="1"/>
        <v>17.5</v>
      </c>
      <c r="H26" s="166">
        <f t="shared" si="0"/>
        <v>0.88370732862386048</v>
      </c>
      <c r="I26" s="174" t="s">
        <v>308</v>
      </c>
      <c r="J26" s="127">
        <v>0.3</v>
      </c>
      <c r="K26" s="127">
        <v>0.69</v>
      </c>
      <c r="L26" s="127">
        <v>12</v>
      </c>
    </row>
    <row r="27" spans="1:12" x14ac:dyDescent="0.25">
      <c r="A27" s="165">
        <v>20</v>
      </c>
      <c r="B27" s="165">
        <v>25</v>
      </c>
      <c r="C27" s="167"/>
      <c r="D27" s="167">
        <v>251.04</v>
      </c>
      <c r="E27" s="167">
        <v>20.94</v>
      </c>
      <c r="F27" s="171" t="s">
        <v>292</v>
      </c>
      <c r="G27" s="165">
        <f t="shared" si="1"/>
        <v>22.5</v>
      </c>
      <c r="H27" s="166">
        <f t="shared" si="0"/>
        <v>0.91207926988265975</v>
      </c>
      <c r="I27" s="174" t="s">
        <v>309</v>
      </c>
      <c r="J27" s="127">
        <v>0</v>
      </c>
      <c r="K27" s="127">
        <v>9.8299999999999998E-2</v>
      </c>
      <c r="L27" s="127">
        <v>11.4</v>
      </c>
    </row>
    <row r="28" spans="1:12" x14ac:dyDescent="0.25">
      <c r="A28" s="165">
        <v>25</v>
      </c>
      <c r="B28" s="167">
        <v>30</v>
      </c>
      <c r="C28" s="167"/>
      <c r="D28" s="167">
        <v>277.63</v>
      </c>
      <c r="E28" s="167">
        <v>22.55</v>
      </c>
      <c r="F28" s="171" t="s">
        <v>293</v>
      </c>
      <c r="G28" s="165">
        <f t="shared" si="1"/>
        <v>27.5</v>
      </c>
      <c r="H28" s="167">
        <f t="shared" si="0"/>
        <v>0.90990544143013952</v>
      </c>
      <c r="I28" s="168" t="s">
        <v>309</v>
      </c>
      <c r="J28" s="127">
        <v>0.1</v>
      </c>
      <c r="K28" s="127">
        <v>0.39100000000000001</v>
      </c>
      <c r="L28" s="127">
        <v>9.9</v>
      </c>
    </row>
    <row r="29" spans="1:12" x14ac:dyDescent="0.25">
      <c r="A29" s="167">
        <v>30</v>
      </c>
      <c r="B29" s="165">
        <v>35</v>
      </c>
      <c r="C29" s="167"/>
      <c r="D29" s="167">
        <v>259.66000000000003</v>
      </c>
      <c r="E29" s="167">
        <v>19.64</v>
      </c>
      <c r="F29" s="172" t="s">
        <v>294</v>
      </c>
      <c r="G29" s="165">
        <f t="shared" si="1"/>
        <v>32.5</v>
      </c>
      <c r="H29" s="167">
        <f t="shared" si="0"/>
        <v>0.90440696608615934</v>
      </c>
      <c r="I29" s="174" t="s">
        <v>310</v>
      </c>
      <c r="J29" s="127">
        <v>0.3</v>
      </c>
      <c r="K29" s="127">
        <v>0.85499999999999998</v>
      </c>
      <c r="L29" s="127">
        <v>9.8000000000000007</v>
      </c>
    </row>
    <row r="30" spans="1:12" x14ac:dyDescent="0.25">
      <c r="A30" s="165">
        <v>35</v>
      </c>
      <c r="B30" s="167">
        <v>40</v>
      </c>
      <c r="C30" s="167"/>
      <c r="D30" s="167">
        <v>273.01</v>
      </c>
      <c r="E30" s="167">
        <v>21.14</v>
      </c>
      <c r="F30" s="171" t="s">
        <v>295</v>
      </c>
      <c r="G30" s="165">
        <f t="shared" si="1"/>
        <v>37.5</v>
      </c>
      <c r="H30" s="167">
        <f t="shared" si="0"/>
        <v>0.90616730853217919</v>
      </c>
      <c r="I30" s="174" t="s">
        <v>310</v>
      </c>
      <c r="J30" s="127">
        <v>0.5</v>
      </c>
      <c r="K30" s="127">
        <v>1.099</v>
      </c>
      <c r="L30" s="127">
        <v>13.9</v>
      </c>
    </row>
    <row r="31" spans="1:12" x14ac:dyDescent="0.25">
      <c r="A31" s="167">
        <v>40</v>
      </c>
      <c r="B31" s="165">
        <v>45</v>
      </c>
      <c r="C31" s="167"/>
      <c r="D31" s="167">
        <v>285.3</v>
      </c>
      <c r="E31" s="167">
        <v>22.79</v>
      </c>
      <c r="F31" s="171" t="s">
        <v>296</v>
      </c>
      <c r="G31" s="165">
        <f t="shared" si="1"/>
        <v>42.5</v>
      </c>
      <c r="H31" s="167">
        <f t="shared" si="0"/>
        <v>0.90857795893489768</v>
      </c>
      <c r="I31" s="168" t="s">
        <v>309</v>
      </c>
      <c r="J31" s="127">
        <v>0.5</v>
      </c>
      <c r="K31" s="127">
        <v>1.143</v>
      </c>
      <c r="L31" s="127">
        <v>11.1</v>
      </c>
    </row>
    <row r="32" spans="1:12" x14ac:dyDescent="0.25">
      <c r="A32" s="165">
        <v>45</v>
      </c>
      <c r="B32" s="167">
        <v>50</v>
      </c>
      <c r="C32" s="167"/>
      <c r="D32" s="167">
        <v>296.35000000000002</v>
      </c>
      <c r="E32" s="167">
        <v>23.85</v>
      </c>
      <c r="F32" s="172" t="s">
        <v>297</v>
      </c>
      <c r="G32" s="165">
        <f t="shared" si="1"/>
        <v>47.5</v>
      </c>
      <c r="H32" s="167">
        <f t="shared" si="0"/>
        <v>0.90916917431192668</v>
      </c>
      <c r="I32" s="174" t="s">
        <v>311</v>
      </c>
      <c r="J32" s="127">
        <v>0.8</v>
      </c>
      <c r="K32" s="127">
        <v>1.677</v>
      </c>
      <c r="L32" s="127">
        <v>12.3</v>
      </c>
    </row>
    <row r="33" spans="1:12" x14ac:dyDescent="0.25">
      <c r="A33" s="165">
        <v>50</v>
      </c>
      <c r="B33" s="165">
        <v>56</v>
      </c>
      <c r="C33" s="167"/>
      <c r="D33" s="167">
        <v>278.88</v>
      </c>
      <c r="E33" s="167">
        <v>22.64</v>
      </c>
      <c r="F33" s="171" t="s">
        <v>298</v>
      </c>
      <c r="G33" s="165">
        <f t="shared" si="1"/>
        <v>53</v>
      </c>
      <c r="H33" s="167">
        <f t="shared" si="0"/>
        <v>0.90986450202934743</v>
      </c>
      <c r="I33" s="174" t="s">
        <v>311</v>
      </c>
      <c r="J33" s="127">
        <v>0.7</v>
      </c>
      <c r="K33" s="127">
        <v>1.5860000000000001</v>
      </c>
      <c r="L33" s="127">
        <v>12.6</v>
      </c>
    </row>
    <row r="34" spans="1:12" x14ac:dyDescent="0.25">
      <c r="A34" s="167">
        <v>56</v>
      </c>
      <c r="B34" s="167">
        <v>60</v>
      </c>
      <c r="C34" s="167"/>
      <c r="D34" s="167">
        <v>201.59</v>
      </c>
      <c r="E34" s="167">
        <v>16.28</v>
      </c>
      <c r="F34" s="171" t="s">
        <v>299</v>
      </c>
      <c r="G34" s="165">
        <f t="shared" si="1"/>
        <v>58</v>
      </c>
      <c r="H34" s="167">
        <f t="shared" si="0"/>
        <v>0.90944493011710104</v>
      </c>
      <c r="I34" s="174"/>
      <c r="J34" s="127">
        <v>0.9</v>
      </c>
      <c r="K34" s="127">
        <v>1.9119999999999999</v>
      </c>
      <c r="L34" s="127">
        <v>11.8</v>
      </c>
    </row>
    <row r="35" spans="1:12" x14ac:dyDescent="0.25">
      <c r="A35" s="167">
        <v>60</v>
      </c>
      <c r="B35" s="167">
        <v>65</v>
      </c>
      <c r="C35" s="167"/>
      <c r="D35" s="167">
        <v>261.45</v>
      </c>
      <c r="E35" s="167">
        <v>21.29</v>
      </c>
      <c r="F35" s="172" t="s">
        <v>300</v>
      </c>
      <c r="G35" s="165">
        <f t="shared" si="1"/>
        <v>62.5</v>
      </c>
      <c r="H35" s="167">
        <f t="shared" si="0"/>
        <v>0.91011075949367082</v>
      </c>
      <c r="I35" s="168" t="s">
        <v>309</v>
      </c>
      <c r="J35" s="127">
        <v>1</v>
      </c>
      <c r="K35" s="127">
        <v>1.994</v>
      </c>
      <c r="L35" s="127">
        <v>10.9</v>
      </c>
    </row>
    <row r="36" spans="1:12" x14ac:dyDescent="0.25">
      <c r="A36" s="167">
        <v>65</v>
      </c>
      <c r="B36" s="167">
        <v>70</v>
      </c>
      <c r="C36" s="167"/>
      <c r="D36" s="167">
        <v>285.08</v>
      </c>
      <c r="E36" s="167">
        <v>22.17</v>
      </c>
      <c r="F36" s="171" t="s">
        <v>301</v>
      </c>
      <c r="G36" s="165">
        <f t="shared" si="1"/>
        <v>67.5</v>
      </c>
      <c r="H36" s="167">
        <f t="shared" si="0"/>
        <v>0.9064960632916208</v>
      </c>
      <c r="I36" s="174" t="s">
        <v>312</v>
      </c>
      <c r="J36" s="127">
        <v>0.8</v>
      </c>
      <c r="K36" s="127">
        <v>1.651</v>
      </c>
      <c r="L36" s="127">
        <v>13.9</v>
      </c>
    </row>
    <row r="37" spans="1:12" x14ac:dyDescent="0.25">
      <c r="A37" s="167">
        <v>70</v>
      </c>
      <c r="B37" s="167">
        <v>75</v>
      </c>
      <c r="C37" s="167"/>
      <c r="D37" s="167">
        <v>196.45</v>
      </c>
      <c r="E37" s="167">
        <v>16.3</v>
      </c>
      <c r="F37" s="171" t="s">
        <v>302</v>
      </c>
      <c r="G37" s="165">
        <f t="shared" si="1"/>
        <v>72.5</v>
      </c>
      <c r="H37" s="167">
        <f t="shared" si="0"/>
        <v>0.91164140993616427</v>
      </c>
      <c r="I37" s="174" t="s">
        <v>313</v>
      </c>
      <c r="J37" s="127">
        <v>0.8</v>
      </c>
      <c r="K37" s="127">
        <v>1.772</v>
      </c>
      <c r="L37" s="127">
        <v>13.4</v>
      </c>
    </row>
    <row r="38" spans="1:12" x14ac:dyDescent="0.25">
      <c r="A38" s="167">
        <v>74</v>
      </c>
      <c r="B38" s="167">
        <v>80</v>
      </c>
      <c r="C38" s="167"/>
      <c r="D38" s="167">
        <v>312.22000000000003</v>
      </c>
      <c r="E38" s="167">
        <v>26.66</v>
      </c>
      <c r="F38" s="172" t="s">
        <v>303</v>
      </c>
      <c r="G38" s="165">
        <f t="shared" si="1"/>
        <v>77</v>
      </c>
      <c r="H38" s="167">
        <f t="shared" si="0"/>
        <v>0.91404930662557782</v>
      </c>
      <c r="I38" s="174" t="s">
        <v>314</v>
      </c>
      <c r="J38" s="127">
        <v>1.2</v>
      </c>
      <c r="K38" s="127">
        <v>2.35</v>
      </c>
      <c r="L38" s="127">
        <v>12.7</v>
      </c>
    </row>
    <row r="39" spans="1:12" x14ac:dyDescent="0.25">
      <c r="A39" s="167">
        <v>80</v>
      </c>
      <c r="B39" s="167">
        <v>85</v>
      </c>
      <c r="C39" s="167"/>
      <c r="D39" s="167">
        <v>309.95</v>
      </c>
      <c r="E39" s="167">
        <v>24.87</v>
      </c>
      <c r="F39" s="171" t="s">
        <v>304</v>
      </c>
      <c r="G39" s="165">
        <f t="shared" si="1"/>
        <v>82.5</v>
      </c>
      <c r="H39" s="167">
        <f t="shared" si="0"/>
        <v>0.90893152799214261</v>
      </c>
      <c r="I39" s="174" t="s">
        <v>315</v>
      </c>
      <c r="J39" s="127">
        <v>2</v>
      </c>
      <c r="K39" s="127">
        <v>3.9</v>
      </c>
      <c r="L39" s="127">
        <v>14.8</v>
      </c>
    </row>
    <row r="40" spans="1:12" x14ac:dyDescent="0.25">
      <c r="A40" s="167">
        <v>85</v>
      </c>
      <c r="B40" s="167">
        <v>90</v>
      </c>
      <c r="C40" s="167"/>
      <c r="D40" s="167">
        <v>244.69</v>
      </c>
      <c r="E40" s="167">
        <v>17.440000000000001</v>
      </c>
      <c r="F40" s="171" t="s">
        <v>305</v>
      </c>
      <c r="G40" s="165">
        <f t="shared" si="1"/>
        <v>87.5</v>
      </c>
      <c r="H40" s="167">
        <f t="shared" si="0"/>
        <v>0.90015771177117709</v>
      </c>
      <c r="I40" s="180" t="s">
        <v>342</v>
      </c>
      <c r="J40" s="127">
        <v>2.2999999999999998</v>
      </c>
      <c r="K40" s="127">
        <v>4.42</v>
      </c>
      <c r="L40" s="127">
        <v>14</v>
      </c>
    </row>
    <row r="41" spans="1:12" x14ac:dyDescent="0.25">
      <c r="A41" s="165">
        <v>90</v>
      </c>
      <c r="B41" s="165">
        <v>95</v>
      </c>
      <c r="C41" s="166"/>
      <c r="D41" s="166">
        <v>269.42</v>
      </c>
      <c r="E41" s="175">
        <v>20.97</v>
      </c>
      <c r="F41" s="176" t="s">
        <v>316</v>
      </c>
      <c r="G41" s="165">
        <f t="shared" si="1"/>
        <v>92.5</v>
      </c>
      <c r="H41" s="166">
        <f t="shared" si="0"/>
        <v>0.90656115918695901</v>
      </c>
      <c r="I41" s="177" t="s">
        <v>317</v>
      </c>
      <c r="J41" s="127">
        <v>2.1</v>
      </c>
      <c r="K41" s="127">
        <v>4.04</v>
      </c>
      <c r="L41" s="127">
        <v>12.9</v>
      </c>
    </row>
    <row r="42" spans="1:12" x14ac:dyDescent="0.25">
      <c r="A42" s="167">
        <v>95</v>
      </c>
      <c r="B42" s="167">
        <v>100</v>
      </c>
      <c r="C42" s="167"/>
      <c r="D42" s="167">
        <v>283.95</v>
      </c>
      <c r="E42" s="167">
        <v>23.96</v>
      </c>
      <c r="F42" s="178" t="s">
        <v>318</v>
      </c>
      <c r="G42" s="165">
        <f t="shared" si="1"/>
        <v>97.5</v>
      </c>
      <c r="H42" s="166">
        <f t="shared" si="0"/>
        <v>0.91304357859917684</v>
      </c>
      <c r="I42" s="179" t="s">
        <v>319</v>
      </c>
      <c r="J42" s="127">
        <v>1.4</v>
      </c>
      <c r="K42" s="127">
        <v>2.84</v>
      </c>
      <c r="L42" s="127">
        <v>5.4</v>
      </c>
    </row>
    <row r="43" spans="1:12" x14ac:dyDescent="0.25">
      <c r="A43" s="165">
        <v>100</v>
      </c>
      <c r="B43" s="165">
        <v>105</v>
      </c>
      <c r="C43" s="167"/>
      <c r="D43" s="167">
        <v>267.2</v>
      </c>
      <c r="E43" s="167">
        <v>22.92</v>
      </c>
      <c r="F43" s="178" t="s">
        <v>320</v>
      </c>
      <c r="G43" s="165">
        <f t="shared" si="1"/>
        <v>102.5</v>
      </c>
      <c r="H43" s="166">
        <f t="shared" si="0"/>
        <v>0.91443916816767645</v>
      </c>
      <c r="I43" s="168" t="s">
        <v>311</v>
      </c>
      <c r="J43" s="127">
        <v>1.3</v>
      </c>
      <c r="K43" s="127">
        <v>2.5499999999999998</v>
      </c>
      <c r="L43" s="127">
        <v>11.1</v>
      </c>
    </row>
    <row r="44" spans="1:12" x14ac:dyDescent="0.25">
      <c r="A44" s="165">
        <v>105</v>
      </c>
      <c r="B44" s="167">
        <v>110</v>
      </c>
      <c r="C44" s="167"/>
      <c r="D44" s="167">
        <v>271.19</v>
      </c>
      <c r="E44" s="167">
        <f>11.03+12.11</f>
        <v>23.14</v>
      </c>
      <c r="F44" s="178" t="s">
        <v>321</v>
      </c>
      <c r="G44" s="165">
        <f t="shared" si="1"/>
        <v>107.5</v>
      </c>
      <c r="H44" s="166">
        <f t="shared" si="0"/>
        <v>0.91398847006651873</v>
      </c>
      <c r="I44" s="179" t="s">
        <v>322</v>
      </c>
      <c r="J44" s="127">
        <v>2</v>
      </c>
      <c r="K44" s="127">
        <v>3.82</v>
      </c>
      <c r="L44" s="127">
        <v>14.2</v>
      </c>
    </row>
    <row r="45" spans="1:12" x14ac:dyDescent="0.25">
      <c r="A45" s="167">
        <v>110</v>
      </c>
      <c r="B45" s="165">
        <v>115</v>
      </c>
      <c r="C45" s="167"/>
      <c r="D45" s="167">
        <v>263.57</v>
      </c>
      <c r="E45" s="167">
        <v>23.25</v>
      </c>
      <c r="F45" s="178" t="s">
        <v>323</v>
      </c>
      <c r="G45" s="165">
        <f t="shared" si="1"/>
        <v>112.5</v>
      </c>
      <c r="H45" s="166">
        <f t="shared" si="0"/>
        <v>0.91687966045272973</v>
      </c>
      <c r="I45" s="168" t="s">
        <v>309</v>
      </c>
      <c r="J45" s="127">
        <v>1.8</v>
      </c>
      <c r="K45" s="127">
        <v>3.52</v>
      </c>
      <c r="L45" s="127">
        <v>12.8</v>
      </c>
    </row>
    <row r="46" spans="1:12" x14ac:dyDescent="0.25">
      <c r="A46" s="165">
        <v>115</v>
      </c>
      <c r="B46" s="167">
        <v>120</v>
      </c>
      <c r="C46" s="167"/>
      <c r="D46" s="167">
        <v>269.99</v>
      </c>
      <c r="E46" s="167">
        <v>22.67</v>
      </c>
      <c r="F46" s="178" t="s">
        <v>324</v>
      </c>
      <c r="G46" s="165">
        <f t="shared" si="1"/>
        <v>117.5</v>
      </c>
      <c r="H46" s="167">
        <f t="shared" si="0"/>
        <v>0.91262995309720196</v>
      </c>
      <c r="I46" s="168" t="s">
        <v>309</v>
      </c>
      <c r="J46" s="127">
        <v>1.9</v>
      </c>
      <c r="K46" s="127">
        <v>3.68</v>
      </c>
      <c r="L46" s="127">
        <v>13.3</v>
      </c>
    </row>
    <row r="47" spans="1:12" x14ac:dyDescent="0.25">
      <c r="A47" s="165">
        <v>120</v>
      </c>
      <c r="B47" s="165">
        <v>125</v>
      </c>
      <c r="C47" s="167"/>
      <c r="D47" s="167">
        <v>286</v>
      </c>
      <c r="E47" s="167">
        <v>25.55</v>
      </c>
      <c r="F47" s="178" t="s">
        <v>325</v>
      </c>
      <c r="G47" s="165">
        <f t="shared" si="1"/>
        <v>122.5</v>
      </c>
      <c r="H47" s="167">
        <f t="shared" si="0"/>
        <v>0.91801113457477446</v>
      </c>
      <c r="I47" s="168"/>
      <c r="J47" s="127">
        <v>2.1</v>
      </c>
      <c r="K47" s="127">
        <v>3.96</v>
      </c>
      <c r="L47" s="127">
        <v>12.9</v>
      </c>
    </row>
    <row r="48" spans="1:12" x14ac:dyDescent="0.25">
      <c r="A48" s="167">
        <v>125</v>
      </c>
      <c r="B48" s="167">
        <v>130</v>
      </c>
      <c r="C48" s="167"/>
      <c r="D48" s="167">
        <v>283.97000000000003</v>
      </c>
      <c r="E48" s="167">
        <v>24.65</v>
      </c>
      <c r="F48" s="178" t="s">
        <v>326</v>
      </c>
      <c r="G48" s="165">
        <f t="shared" si="1"/>
        <v>127.5</v>
      </c>
      <c r="H48" s="167">
        <f t="shared" si="0"/>
        <v>0.91546706771556363</v>
      </c>
      <c r="I48" s="179" t="s">
        <v>312</v>
      </c>
      <c r="J48" s="127">
        <v>2.5</v>
      </c>
      <c r="K48" s="127">
        <v>4.74</v>
      </c>
      <c r="L48" s="127">
        <v>14.5</v>
      </c>
    </row>
    <row r="49" spans="1:12" x14ac:dyDescent="0.25">
      <c r="A49" s="165">
        <v>130</v>
      </c>
      <c r="B49" s="165">
        <v>135</v>
      </c>
      <c r="C49" s="167"/>
      <c r="D49" s="167">
        <v>273.29000000000002</v>
      </c>
      <c r="E49" s="167">
        <v>22.74</v>
      </c>
      <c r="F49" s="178" t="s">
        <v>327</v>
      </c>
      <c r="G49" s="165">
        <f t="shared" si="1"/>
        <v>132.5</v>
      </c>
      <c r="H49" s="167">
        <f t="shared" si="0"/>
        <v>0.9118756336060666</v>
      </c>
      <c r="I49" s="179" t="s">
        <v>328</v>
      </c>
      <c r="J49" s="127">
        <v>3</v>
      </c>
      <c r="K49" s="127">
        <v>5.51</v>
      </c>
      <c r="L49" s="127">
        <v>16.7</v>
      </c>
    </row>
    <row r="50" spans="1:12" x14ac:dyDescent="0.25">
      <c r="A50" s="165">
        <v>135</v>
      </c>
      <c r="B50" s="167">
        <v>140</v>
      </c>
      <c r="C50" s="167"/>
      <c r="D50" s="167">
        <v>256.54000000000002</v>
      </c>
      <c r="E50" s="167">
        <v>20.59</v>
      </c>
      <c r="F50" s="178" t="s">
        <v>329</v>
      </c>
      <c r="G50" s="165">
        <f t="shared" si="1"/>
        <v>137.5</v>
      </c>
      <c r="H50" s="167">
        <f t="shared" si="0"/>
        <v>0.90895291375291376</v>
      </c>
      <c r="I50" s="179" t="s">
        <v>308</v>
      </c>
      <c r="J50" s="127">
        <v>2.7</v>
      </c>
      <c r="K50" s="127">
        <v>5.03</v>
      </c>
      <c r="L50" s="127">
        <v>15.8</v>
      </c>
    </row>
    <row r="51" spans="1:12" x14ac:dyDescent="0.25">
      <c r="A51" s="167">
        <v>140</v>
      </c>
      <c r="B51" s="165">
        <v>145</v>
      </c>
      <c r="C51" s="167"/>
      <c r="D51" s="167">
        <v>284.17</v>
      </c>
      <c r="E51" s="167">
        <v>24.09</v>
      </c>
      <c r="F51" s="178" t="s">
        <v>330</v>
      </c>
      <c r="G51" s="165">
        <f t="shared" si="1"/>
        <v>142.5</v>
      </c>
      <c r="H51" s="167">
        <f t="shared" si="0"/>
        <v>0.91343478929560129</v>
      </c>
      <c r="I51" s="179" t="s">
        <v>331</v>
      </c>
      <c r="J51" s="127">
        <v>1.7</v>
      </c>
      <c r="K51" s="127">
        <v>3.27</v>
      </c>
      <c r="L51" s="127">
        <v>14.5</v>
      </c>
    </row>
    <row r="52" spans="1:12" x14ac:dyDescent="0.25">
      <c r="A52" s="165">
        <v>145</v>
      </c>
      <c r="B52" s="167">
        <v>150</v>
      </c>
      <c r="C52" s="167"/>
      <c r="D52" s="167">
        <v>263.14</v>
      </c>
      <c r="E52" s="167">
        <v>22.28</v>
      </c>
      <c r="F52" s="178" t="s">
        <v>332</v>
      </c>
      <c r="G52" s="165">
        <f t="shared" si="1"/>
        <v>147.5</v>
      </c>
      <c r="H52" s="167">
        <f t="shared" si="0"/>
        <v>0.91333156190318021</v>
      </c>
      <c r="I52" s="179" t="s">
        <v>331</v>
      </c>
      <c r="J52" s="127">
        <v>2</v>
      </c>
      <c r="K52" s="127">
        <v>3.86</v>
      </c>
      <c r="L52" s="127">
        <v>15.6</v>
      </c>
    </row>
    <row r="53" spans="1:12" x14ac:dyDescent="0.25">
      <c r="A53" s="165">
        <v>150</v>
      </c>
      <c r="B53" s="165">
        <v>155</v>
      </c>
      <c r="C53" s="167"/>
      <c r="D53" s="167">
        <v>264.14</v>
      </c>
      <c r="E53" s="167">
        <v>22.09</v>
      </c>
      <c r="F53" s="178" t="s">
        <v>333</v>
      </c>
      <c r="G53" s="165">
        <f t="shared" si="1"/>
        <v>152.5</v>
      </c>
      <c r="H53" s="167">
        <f t="shared" si="0"/>
        <v>0.91229514563106795</v>
      </c>
      <c r="I53" s="168" t="s">
        <v>311</v>
      </c>
      <c r="J53" s="127">
        <v>2.5</v>
      </c>
      <c r="K53" s="127">
        <v>4.79</v>
      </c>
      <c r="L53" s="127">
        <v>15.5</v>
      </c>
    </row>
    <row r="54" spans="1:12" x14ac:dyDescent="0.25">
      <c r="A54" s="167">
        <v>155</v>
      </c>
      <c r="B54" s="167">
        <v>160</v>
      </c>
      <c r="C54" s="167"/>
      <c r="D54" s="167">
        <v>269.73</v>
      </c>
      <c r="E54" s="167">
        <v>22.5</v>
      </c>
      <c r="F54" s="178" t="s">
        <v>334</v>
      </c>
      <c r="G54" s="165">
        <f t="shared" si="1"/>
        <v>157.5</v>
      </c>
      <c r="H54" s="167">
        <f t="shared" si="0"/>
        <v>0.91208299963596651</v>
      </c>
      <c r="I54" s="179" t="s">
        <v>335</v>
      </c>
      <c r="J54" s="127">
        <v>3.3</v>
      </c>
      <c r="K54" s="127">
        <v>6.09</v>
      </c>
      <c r="L54" s="127">
        <v>15.4</v>
      </c>
    </row>
    <row r="55" spans="1:12" x14ac:dyDescent="0.25">
      <c r="A55" s="165">
        <v>160</v>
      </c>
      <c r="B55" s="165">
        <v>165</v>
      </c>
      <c r="C55" s="167"/>
      <c r="D55" s="167">
        <v>280.25</v>
      </c>
      <c r="E55" s="167">
        <v>23.57</v>
      </c>
      <c r="F55" s="178" t="s">
        <v>336</v>
      </c>
      <c r="G55" s="165">
        <f t="shared" si="1"/>
        <v>162.5</v>
      </c>
      <c r="H55" s="167">
        <f t="shared" si="0"/>
        <v>0.91276686925354522</v>
      </c>
      <c r="I55" s="179" t="s">
        <v>337</v>
      </c>
      <c r="J55" s="127">
        <v>2.9</v>
      </c>
      <c r="K55" s="127">
        <v>5.41</v>
      </c>
      <c r="L55" s="127">
        <v>15.3</v>
      </c>
    </row>
    <row r="56" spans="1:12" x14ac:dyDescent="0.25">
      <c r="A56" s="165">
        <v>165</v>
      </c>
      <c r="B56" s="167">
        <v>170</v>
      </c>
      <c r="C56" s="167"/>
      <c r="D56" s="167">
        <v>281.47000000000003</v>
      </c>
      <c r="E56" s="167">
        <v>24.03</v>
      </c>
      <c r="F56" s="178" t="s">
        <v>338</v>
      </c>
      <c r="G56" s="165">
        <f t="shared" si="1"/>
        <v>167.5</v>
      </c>
      <c r="H56" s="167">
        <f t="shared" si="0"/>
        <v>0.91403402734617756</v>
      </c>
      <c r="I56" s="179" t="s">
        <v>337</v>
      </c>
      <c r="J56" s="127">
        <v>2.5</v>
      </c>
      <c r="K56" s="127">
        <v>4.74</v>
      </c>
      <c r="L56" s="127">
        <v>15.8</v>
      </c>
    </row>
    <row r="57" spans="1:12" x14ac:dyDescent="0.25">
      <c r="A57" s="167">
        <v>170</v>
      </c>
      <c r="B57" s="165">
        <v>175</v>
      </c>
      <c r="C57" s="167"/>
      <c r="D57" s="167">
        <v>281.5</v>
      </c>
      <c r="E57" s="167">
        <v>24.01</v>
      </c>
      <c r="F57" s="178" t="s">
        <v>339</v>
      </c>
      <c r="G57" s="165">
        <f t="shared" si="1"/>
        <v>172.5</v>
      </c>
      <c r="H57" s="167">
        <f t="shared" si="0"/>
        <v>0.91395393995883334</v>
      </c>
      <c r="I57" s="179" t="s">
        <v>335</v>
      </c>
      <c r="J57" s="127">
        <v>2.2000000000000002</v>
      </c>
      <c r="K57" s="127">
        <v>4.22</v>
      </c>
      <c r="L57" s="127">
        <v>15.4</v>
      </c>
    </row>
    <row r="58" spans="1:12" x14ac:dyDescent="0.25">
      <c r="A58" s="165">
        <v>175</v>
      </c>
      <c r="B58" s="167">
        <v>180</v>
      </c>
      <c r="C58" s="167"/>
      <c r="D58" s="167">
        <v>293.57</v>
      </c>
      <c r="E58" s="167">
        <v>25.57</v>
      </c>
      <c r="F58" s="178" t="s">
        <v>340</v>
      </c>
      <c r="G58" s="165">
        <f t="shared" si="1"/>
        <v>177.5</v>
      </c>
      <c r="H58" s="167">
        <f t="shared" si="0"/>
        <v>0.9157631343283581</v>
      </c>
      <c r="I58" s="179" t="s">
        <v>335</v>
      </c>
      <c r="J58" s="127">
        <v>2.2000000000000002</v>
      </c>
      <c r="K58" s="127">
        <v>4.1900000000000004</v>
      </c>
      <c r="L58" s="127">
        <v>14.7</v>
      </c>
    </row>
    <row r="59" spans="1:12" x14ac:dyDescent="0.25">
      <c r="A59" s="165">
        <v>180</v>
      </c>
      <c r="B59" s="165">
        <v>186.5</v>
      </c>
      <c r="C59" s="167"/>
      <c r="D59" s="167">
        <v>319.83999999999997</v>
      </c>
      <c r="E59" s="167">
        <v>27.83</v>
      </c>
      <c r="F59" s="178" t="s">
        <v>341</v>
      </c>
      <c r="G59" s="165">
        <f t="shared" si="1"/>
        <v>183.25</v>
      </c>
      <c r="H59" s="167">
        <f t="shared" si="0"/>
        <v>0.91567494263895066</v>
      </c>
      <c r="I59" s="180" t="s">
        <v>343</v>
      </c>
      <c r="J59" s="127">
        <v>2.1</v>
      </c>
      <c r="K59" s="127">
        <v>3.94</v>
      </c>
      <c r="L59" s="127">
        <v>14.9</v>
      </c>
    </row>
    <row r="60" spans="1:12" x14ac:dyDescent="0.25">
      <c r="A60" s="127">
        <v>186.5</v>
      </c>
      <c r="B60" s="127">
        <v>190</v>
      </c>
      <c r="D60" s="127">
        <v>165.99</v>
      </c>
      <c r="E60" s="127">
        <v>14.61</v>
      </c>
      <c r="F60" s="181" t="s">
        <v>345</v>
      </c>
      <c r="G60" s="127">
        <f t="shared" si="1"/>
        <v>188.25</v>
      </c>
      <c r="H60" s="127">
        <f t="shared" si="0"/>
        <v>0.91668410622275076</v>
      </c>
      <c r="I60" s="168" t="s">
        <v>311</v>
      </c>
      <c r="J60" s="127">
        <v>4.5999999999999996</v>
      </c>
      <c r="K60" s="127">
        <v>8.3000000000000007</v>
      </c>
      <c r="L60" s="127">
        <v>18.3</v>
      </c>
    </row>
    <row r="61" spans="1:12" x14ac:dyDescent="0.25">
      <c r="A61" s="127">
        <v>190</v>
      </c>
      <c r="B61" s="127">
        <v>195</v>
      </c>
      <c r="D61" s="127">
        <v>302.98</v>
      </c>
      <c r="E61" s="127">
        <v>27.22</v>
      </c>
      <c r="F61" s="181" t="s">
        <v>346</v>
      </c>
      <c r="G61" s="127">
        <f t="shared" si="1"/>
        <v>192.5</v>
      </c>
      <c r="H61" s="127">
        <f t="shared" si="0"/>
        <v>0.91852074267478967</v>
      </c>
      <c r="I61" s="168" t="s">
        <v>311</v>
      </c>
      <c r="J61" s="127">
        <v>3.5</v>
      </c>
      <c r="K61" s="127">
        <v>6.44</v>
      </c>
      <c r="L61" s="127">
        <v>18.100000000000001</v>
      </c>
    </row>
    <row r="62" spans="1:12" x14ac:dyDescent="0.25">
      <c r="A62" s="127">
        <v>195</v>
      </c>
      <c r="B62" s="127">
        <v>200</v>
      </c>
      <c r="D62" s="127">
        <v>305.38</v>
      </c>
      <c r="E62" s="127">
        <v>27</v>
      </c>
      <c r="F62" s="181" t="s">
        <v>347</v>
      </c>
      <c r="G62" s="127">
        <f t="shared" si="1"/>
        <v>197.5</v>
      </c>
      <c r="H62" s="127">
        <f t="shared" si="0"/>
        <v>0.91708341116459513</v>
      </c>
      <c r="I62" s="168" t="s">
        <v>311</v>
      </c>
      <c r="J62" s="127">
        <v>3.3</v>
      </c>
      <c r="K62" s="127">
        <v>6.17</v>
      </c>
      <c r="L62" s="127">
        <v>18.2</v>
      </c>
    </row>
    <row r="63" spans="1:12" x14ac:dyDescent="0.25">
      <c r="A63" s="127">
        <v>200</v>
      </c>
      <c r="B63" s="127">
        <v>205</v>
      </c>
      <c r="D63" s="127">
        <v>279.33999999999997</v>
      </c>
      <c r="E63" s="127">
        <v>24.74</v>
      </c>
      <c r="F63" s="181" t="s">
        <v>348</v>
      </c>
      <c r="G63" s="127">
        <f t="shared" si="1"/>
        <v>202.5</v>
      </c>
      <c r="H63" s="127">
        <f t="shared" si="0"/>
        <v>0.91723582089552247</v>
      </c>
      <c r="I63" s="168" t="s">
        <v>311</v>
      </c>
      <c r="J63" s="127">
        <v>2.8</v>
      </c>
      <c r="K63" s="127">
        <v>5.19</v>
      </c>
      <c r="L63" s="127">
        <v>18.3</v>
      </c>
    </row>
    <row r="64" spans="1:12" x14ac:dyDescent="0.25">
      <c r="A64" s="127">
        <v>205</v>
      </c>
      <c r="B64" s="127">
        <v>210</v>
      </c>
      <c r="D64" s="127">
        <v>274.94</v>
      </c>
      <c r="E64" s="127">
        <v>23.88</v>
      </c>
      <c r="F64" s="181" t="s">
        <v>349</v>
      </c>
      <c r="G64" s="127">
        <f t="shared" si="1"/>
        <v>207.5</v>
      </c>
      <c r="H64" s="127">
        <f t="shared" si="0"/>
        <v>0.91551756552218588</v>
      </c>
      <c r="I64" s="168" t="s">
        <v>311</v>
      </c>
      <c r="J64" s="127">
        <v>2.2999999999999998</v>
      </c>
      <c r="K64" s="127">
        <v>4.34</v>
      </c>
      <c r="L64" s="127">
        <v>18.399999999999999</v>
      </c>
    </row>
    <row r="65" spans="1:12" x14ac:dyDescent="0.25">
      <c r="A65" s="127">
        <v>210</v>
      </c>
      <c r="B65" s="127">
        <v>215</v>
      </c>
      <c r="D65" s="127">
        <v>280.87</v>
      </c>
      <c r="E65" s="127">
        <v>24.21</v>
      </c>
      <c r="F65" s="181" t="s">
        <v>350</v>
      </c>
      <c r="G65" s="127">
        <f t="shared" si="1"/>
        <v>212.5</v>
      </c>
      <c r="H65" s="127">
        <f t="shared" si="0"/>
        <v>0.91485747681757956</v>
      </c>
      <c r="I65" s="168" t="s">
        <v>311</v>
      </c>
      <c r="J65" s="127">
        <v>1.8</v>
      </c>
      <c r="K65" s="127">
        <v>3.48</v>
      </c>
      <c r="L65" s="127">
        <v>18.3</v>
      </c>
    </row>
    <row r="66" spans="1:12" x14ac:dyDescent="0.25">
      <c r="A66" s="127">
        <v>215</v>
      </c>
      <c r="B66" s="127">
        <v>220</v>
      </c>
      <c r="D66" s="127">
        <v>229.05</v>
      </c>
      <c r="E66" s="127">
        <v>18.96</v>
      </c>
      <c r="F66" s="181" t="s">
        <v>351</v>
      </c>
      <c r="G66" s="127">
        <f t="shared" si="1"/>
        <v>217.5</v>
      </c>
      <c r="H66" s="127">
        <f t="shared" si="0"/>
        <v>0.91144652291874917</v>
      </c>
      <c r="I66" s="168" t="s">
        <v>311</v>
      </c>
      <c r="J66" s="127">
        <v>1.3</v>
      </c>
      <c r="K66" s="127">
        <v>2.5099999999999998</v>
      </c>
      <c r="L66" s="127">
        <v>18.2</v>
      </c>
    </row>
    <row r="67" spans="1:12" x14ac:dyDescent="0.25">
      <c r="A67" s="127">
        <v>220</v>
      </c>
      <c r="B67" s="127">
        <v>225</v>
      </c>
      <c r="D67" s="127">
        <v>263.86</v>
      </c>
      <c r="E67" s="127">
        <v>23.24</v>
      </c>
      <c r="F67" s="181" t="s">
        <v>352</v>
      </c>
      <c r="G67" s="127">
        <f t="shared" si="1"/>
        <v>222.5</v>
      </c>
      <c r="H67" s="127">
        <f t="shared" si="0"/>
        <v>0.91674407779901923</v>
      </c>
      <c r="I67" s="168" t="s">
        <v>311</v>
      </c>
      <c r="J67" s="127">
        <v>1.7</v>
      </c>
      <c r="K67" s="127">
        <v>3.36</v>
      </c>
      <c r="L67" s="127">
        <v>18.3</v>
      </c>
    </row>
    <row r="68" spans="1:12" x14ac:dyDescent="0.25">
      <c r="A68" s="127">
        <v>225</v>
      </c>
      <c r="B68" s="127">
        <v>230</v>
      </c>
      <c r="D68" s="127">
        <v>272.77</v>
      </c>
      <c r="E68" s="127">
        <v>24.26</v>
      </c>
      <c r="F68" s="181" t="s">
        <v>353</v>
      </c>
      <c r="G68" s="127">
        <f t="shared" si="1"/>
        <v>227.5</v>
      </c>
      <c r="H68" s="127">
        <f t="shared" si="0"/>
        <v>0.91761184660577033</v>
      </c>
      <c r="I68" s="168" t="s">
        <v>311</v>
      </c>
      <c r="J68" s="127">
        <v>2.4</v>
      </c>
      <c r="K68" s="127">
        <v>4.5</v>
      </c>
      <c r="L68" s="127">
        <v>18.3</v>
      </c>
    </row>
    <row r="69" spans="1:12" x14ac:dyDescent="0.25">
      <c r="A69" s="127">
        <v>230</v>
      </c>
      <c r="B69" s="127">
        <v>235</v>
      </c>
      <c r="D69" s="127">
        <v>291.66000000000003</v>
      </c>
      <c r="E69" s="127">
        <v>26.43</v>
      </c>
      <c r="F69" s="181" t="s">
        <v>354</v>
      </c>
      <c r="G69" s="127">
        <f t="shared" si="1"/>
        <v>232.5</v>
      </c>
      <c r="H69" s="127">
        <f t="shared" si="0"/>
        <v>0.91930686573916975</v>
      </c>
      <c r="I69" s="168" t="s">
        <v>311</v>
      </c>
      <c r="J69" s="127">
        <v>2.7</v>
      </c>
      <c r="K69" s="127">
        <v>5.13</v>
      </c>
      <c r="L69" s="127">
        <v>18.2</v>
      </c>
    </row>
    <row r="70" spans="1:12" x14ac:dyDescent="0.25">
      <c r="A70" s="127">
        <v>235</v>
      </c>
      <c r="B70" s="127">
        <v>240</v>
      </c>
      <c r="D70" s="127">
        <v>282.18</v>
      </c>
      <c r="E70" s="127">
        <v>24.78</v>
      </c>
      <c r="F70" s="181" t="s">
        <v>355</v>
      </c>
      <c r="G70" s="127">
        <f t="shared" si="1"/>
        <v>237.5</v>
      </c>
      <c r="H70" s="127">
        <f t="shared" si="0"/>
        <v>0.9164820512820514</v>
      </c>
      <c r="I70" s="168" t="s">
        <v>311</v>
      </c>
      <c r="J70" s="127">
        <v>4.2</v>
      </c>
      <c r="K70" s="127">
        <v>7.57</v>
      </c>
      <c r="L70" s="127">
        <v>18.3</v>
      </c>
    </row>
    <row r="71" spans="1:12" x14ac:dyDescent="0.25">
      <c r="A71" s="127">
        <v>240</v>
      </c>
      <c r="B71" s="127">
        <v>245</v>
      </c>
      <c r="D71" s="127">
        <v>267.98</v>
      </c>
      <c r="E71" s="127">
        <v>24.07</v>
      </c>
      <c r="F71" s="181" t="s">
        <v>356</v>
      </c>
      <c r="G71" s="127">
        <f t="shared" si="1"/>
        <v>242.5</v>
      </c>
      <c r="H71" s="127">
        <f t="shared" si="0"/>
        <v>0.91849977450699027</v>
      </c>
      <c r="I71" s="168" t="s">
        <v>311</v>
      </c>
      <c r="J71" s="127">
        <v>3.5</v>
      </c>
      <c r="K71" s="127">
        <v>6.39</v>
      </c>
      <c r="L71" s="127">
        <v>18.100000000000001</v>
      </c>
    </row>
    <row r="72" spans="1:12" x14ac:dyDescent="0.25">
      <c r="A72" s="127">
        <v>245</v>
      </c>
      <c r="B72" s="127">
        <v>250</v>
      </c>
      <c r="D72" s="127">
        <v>270.67</v>
      </c>
      <c r="E72" s="127">
        <v>23.98</v>
      </c>
      <c r="F72" s="181" t="s">
        <v>357</v>
      </c>
      <c r="G72" s="127">
        <f t="shared" si="1"/>
        <v>247.5</v>
      </c>
      <c r="H72" s="127">
        <f t="shared" si="0"/>
        <v>0.91726506952045073</v>
      </c>
      <c r="I72" s="168" t="s">
        <v>311</v>
      </c>
      <c r="J72" s="127">
        <v>3.5</v>
      </c>
      <c r="K72" s="127">
        <v>6.37</v>
      </c>
      <c r="L72" s="127">
        <v>18</v>
      </c>
    </row>
    <row r="73" spans="1:12" x14ac:dyDescent="0.25">
      <c r="A73" s="127">
        <v>250</v>
      </c>
      <c r="B73" s="127">
        <v>255</v>
      </c>
      <c r="D73" s="127">
        <v>265.68</v>
      </c>
      <c r="E73" s="127">
        <v>24.05</v>
      </c>
      <c r="F73" s="181" t="s">
        <v>358</v>
      </c>
      <c r="G73" s="127">
        <f t="shared" si="1"/>
        <v>252.5</v>
      </c>
      <c r="H73" s="127">
        <f t="shared" si="0"/>
        <v>0.91920903861275505</v>
      </c>
      <c r="I73" s="168" t="s">
        <v>311</v>
      </c>
      <c r="J73" s="127">
        <v>3.4</v>
      </c>
      <c r="K73" s="127">
        <v>6.26</v>
      </c>
      <c r="L73" s="127">
        <v>18.100000000000001</v>
      </c>
    </row>
    <row r="74" spans="1:12" x14ac:dyDescent="0.25">
      <c r="A74" s="127">
        <v>255</v>
      </c>
      <c r="B74" s="127">
        <v>260</v>
      </c>
      <c r="D74" s="127">
        <v>273.14</v>
      </c>
      <c r="E74" s="127">
        <v>24.24</v>
      </c>
      <c r="F74" s="181" t="s">
        <v>359</v>
      </c>
      <c r="G74" s="127">
        <f t="shared" si="1"/>
        <v>257.5</v>
      </c>
      <c r="H74" s="127">
        <f t="shared" si="0"/>
        <v>0.9174167938931298</v>
      </c>
      <c r="I74" s="168" t="s">
        <v>311</v>
      </c>
      <c r="J74" s="127">
        <v>3.5</v>
      </c>
      <c r="K74" s="127">
        <v>6.47</v>
      </c>
      <c r="L74" s="127">
        <v>18</v>
      </c>
    </row>
    <row r="75" spans="1:12" x14ac:dyDescent="0.25">
      <c r="A75" s="127">
        <v>260</v>
      </c>
      <c r="B75" s="127">
        <v>265</v>
      </c>
      <c r="D75" s="127">
        <v>285.27999999999997</v>
      </c>
      <c r="E75" s="127">
        <v>25.82</v>
      </c>
      <c r="F75" s="181" t="s">
        <v>360</v>
      </c>
      <c r="G75" s="127">
        <f t="shared" si="1"/>
        <v>262.5</v>
      </c>
      <c r="H75" s="127">
        <f t="shared" si="0"/>
        <v>0.91919401834579506</v>
      </c>
      <c r="I75" s="183" t="s">
        <v>311</v>
      </c>
      <c r="J75" s="127">
        <v>3</v>
      </c>
      <c r="K75" s="127">
        <v>5.61</v>
      </c>
      <c r="L75" s="127">
        <v>18.3</v>
      </c>
    </row>
    <row r="76" spans="1:12" x14ac:dyDescent="0.25">
      <c r="A76" s="127">
        <v>265</v>
      </c>
      <c r="B76" s="127">
        <v>270</v>
      </c>
      <c r="D76" s="127">
        <v>293.8</v>
      </c>
      <c r="E76" s="127">
        <v>26.44</v>
      </c>
      <c r="F76" s="181" t="s">
        <v>361</v>
      </c>
      <c r="G76" s="127">
        <f t="shared" si="1"/>
        <v>267.5</v>
      </c>
      <c r="H76" s="127">
        <f t="shared" si="0"/>
        <v>0.91867444643925789</v>
      </c>
      <c r="I76" s="168" t="s">
        <v>311</v>
      </c>
      <c r="J76" s="127">
        <v>3.6</v>
      </c>
      <c r="K76" s="127">
        <v>6.58</v>
      </c>
      <c r="L76" s="127">
        <v>18</v>
      </c>
    </row>
    <row r="77" spans="1:12" x14ac:dyDescent="0.25">
      <c r="A77" s="127">
        <v>270</v>
      </c>
      <c r="B77" s="127">
        <v>275</v>
      </c>
      <c r="D77" s="127">
        <v>239.89</v>
      </c>
      <c r="E77" s="127">
        <v>20.85</v>
      </c>
      <c r="F77" s="181" t="s">
        <v>362</v>
      </c>
      <c r="G77" s="127">
        <f t="shared" si="1"/>
        <v>272.5</v>
      </c>
      <c r="H77" s="127">
        <f t="shared" si="0"/>
        <v>0.91557724616508396</v>
      </c>
      <c r="I77" s="182" t="s">
        <v>370</v>
      </c>
      <c r="J77" s="127">
        <v>4.0999999999999996</v>
      </c>
      <c r="K77" s="127">
        <v>7.42</v>
      </c>
      <c r="L77" s="127">
        <v>18.2</v>
      </c>
    </row>
    <row r="78" spans="1:12" x14ac:dyDescent="0.25">
      <c r="A78" s="127">
        <v>275</v>
      </c>
      <c r="B78" s="127">
        <v>280</v>
      </c>
      <c r="D78" s="127">
        <v>284.05</v>
      </c>
      <c r="E78" s="127">
        <f>14.68+10.32</f>
        <v>25</v>
      </c>
      <c r="F78" s="181" t="s">
        <v>363</v>
      </c>
      <c r="G78" s="127">
        <f t="shared" si="1"/>
        <v>277.5</v>
      </c>
      <c r="H78" s="127">
        <f t="shared" si="0"/>
        <v>0.9166794055201698</v>
      </c>
      <c r="I78" s="182" t="s">
        <v>371</v>
      </c>
      <c r="J78" s="127">
        <v>4.2</v>
      </c>
      <c r="K78" s="127">
        <v>7.62</v>
      </c>
      <c r="L78" s="127">
        <v>18.2</v>
      </c>
    </row>
    <row r="79" spans="1:12" x14ac:dyDescent="0.25">
      <c r="A79" s="127">
        <v>280</v>
      </c>
      <c r="B79" s="127">
        <v>285</v>
      </c>
      <c r="D79" s="127">
        <v>250</v>
      </c>
      <c r="E79" s="127">
        <v>22.53</v>
      </c>
      <c r="F79" s="181" t="s">
        <v>364</v>
      </c>
      <c r="G79" s="127">
        <f t="shared" si="1"/>
        <v>282.5</v>
      </c>
      <c r="H79" s="127">
        <f t="shared" si="0"/>
        <v>0.91880247944783933</v>
      </c>
      <c r="I79" s="168" t="s">
        <v>311</v>
      </c>
      <c r="J79" s="127">
        <v>3.4</v>
      </c>
      <c r="K79" s="127">
        <v>6.19</v>
      </c>
      <c r="L79" s="127">
        <v>18.399999999999999</v>
      </c>
    </row>
    <row r="80" spans="1:12" x14ac:dyDescent="0.25">
      <c r="A80" s="127">
        <v>285</v>
      </c>
      <c r="B80" s="127">
        <v>290</v>
      </c>
      <c r="D80" s="127">
        <v>273.14</v>
      </c>
      <c r="E80" s="127">
        <v>24.1</v>
      </c>
      <c r="F80" s="181" t="s">
        <v>365</v>
      </c>
      <c r="G80" s="127">
        <f t="shared" si="1"/>
        <v>287.5</v>
      </c>
      <c r="H80" s="127">
        <f t="shared" si="0"/>
        <v>0.91690106007067129</v>
      </c>
      <c r="I80" s="168" t="s">
        <v>311</v>
      </c>
      <c r="J80" s="127">
        <v>3.9</v>
      </c>
      <c r="K80" s="127">
        <v>7.07</v>
      </c>
      <c r="L80" s="127">
        <v>18</v>
      </c>
    </row>
    <row r="81" spans="1:12" x14ac:dyDescent="0.25">
      <c r="A81" s="127">
        <v>290</v>
      </c>
      <c r="B81" s="127">
        <v>295</v>
      </c>
      <c r="D81" s="127">
        <v>276.54000000000002</v>
      </c>
      <c r="E81" s="127">
        <v>25.11</v>
      </c>
      <c r="F81" s="181" t="s">
        <v>366</v>
      </c>
      <c r="G81" s="127">
        <f t="shared" si="1"/>
        <v>292.5</v>
      </c>
      <c r="H81" s="127">
        <f t="shared" si="0"/>
        <v>0.91949027562343399</v>
      </c>
      <c r="I81" s="168" t="s">
        <v>311</v>
      </c>
      <c r="J81" s="127">
        <v>3.7</v>
      </c>
      <c r="K81" s="127">
        <v>6.75</v>
      </c>
      <c r="L81" s="127">
        <v>18</v>
      </c>
    </row>
    <row r="82" spans="1:12" x14ac:dyDescent="0.25">
      <c r="A82" s="127">
        <v>295</v>
      </c>
      <c r="B82" s="127">
        <v>300</v>
      </c>
      <c r="D82" s="127">
        <v>249.78</v>
      </c>
      <c r="E82" s="127">
        <v>22.38</v>
      </c>
      <c r="F82" s="181" t="s">
        <v>367</v>
      </c>
      <c r="G82" s="127">
        <f t="shared" si="1"/>
        <v>297.5</v>
      </c>
      <c r="H82" s="127">
        <f t="shared" si="0"/>
        <v>0.91827651715039571</v>
      </c>
      <c r="I82" s="168" t="s">
        <v>311</v>
      </c>
      <c r="J82" s="127">
        <v>4.5999999999999996</v>
      </c>
      <c r="K82" s="127">
        <v>8.32</v>
      </c>
      <c r="L82" s="127">
        <v>18</v>
      </c>
    </row>
    <row r="83" spans="1:12" x14ac:dyDescent="0.25">
      <c r="A83" s="127">
        <v>300</v>
      </c>
      <c r="B83" s="127">
        <v>303</v>
      </c>
      <c r="D83" s="127">
        <v>181.57</v>
      </c>
      <c r="E83" s="127">
        <v>15.72</v>
      </c>
      <c r="F83" s="181" t="s">
        <v>368</v>
      </c>
      <c r="G83" s="127">
        <f t="shared" si="1"/>
        <v>301.5</v>
      </c>
      <c r="H83" s="127">
        <f t="shared" si="0"/>
        <v>0.91523979499547781</v>
      </c>
      <c r="I83" s="168" t="s">
        <v>311</v>
      </c>
      <c r="J83" s="127">
        <v>6.3</v>
      </c>
      <c r="K83" s="127">
        <v>11.25</v>
      </c>
      <c r="L83" s="127">
        <v>17.899999999999999</v>
      </c>
    </row>
  </sheetData>
  <mergeCells count="7">
    <mergeCell ref="B7:D7"/>
    <mergeCell ref="A1:C1"/>
    <mergeCell ref="B2:C2"/>
    <mergeCell ref="B3:C3"/>
    <mergeCell ref="B4:C4"/>
    <mergeCell ref="B5:C5"/>
    <mergeCell ref="B6:C6"/>
  </mergeCells>
  <phoneticPr fontId="26" type="noConversion"/>
  <pageMargins left="0.7" right="0.7" top="0.75" bottom="0.75" header="0.3" footer="0.3"/>
  <pageSetup paperSize="9" scale="66" fitToHeight="0" orientation="landscape"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28BB5-D204-4218-B336-7D236CC6F190}">
  <sheetPr>
    <tabColor rgb="FF92D050"/>
    <pageSetUpPr fitToPage="1"/>
  </sheetPr>
  <dimension ref="A1:AMJ51"/>
  <sheetViews>
    <sheetView zoomScale="80" zoomScaleNormal="80" workbookViewId="0">
      <selection activeCell="B7" sqref="B7:D7"/>
    </sheetView>
  </sheetViews>
  <sheetFormatPr defaultColWidth="9.140625" defaultRowHeight="15" x14ac:dyDescent="0.25"/>
  <cols>
    <col min="1" max="1" width="29.42578125" style="2" customWidth="1"/>
    <col min="2" max="8" width="15.7109375" style="2" customWidth="1"/>
    <col min="9" max="9" width="36.7109375" style="2" customWidth="1"/>
    <col min="10" max="10" width="9.140625" style="2"/>
    <col min="11" max="13" width="15.7109375" style="2" customWidth="1"/>
    <col min="14" max="14" width="36.7109375" style="2" customWidth="1"/>
    <col min="15" max="1024" width="9.140625" style="2"/>
  </cols>
  <sheetData>
    <row r="1" spans="1:13" ht="31.5" x14ac:dyDescent="0.5">
      <c r="A1" s="205" t="s">
        <v>268</v>
      </c>
      <c r="B1" s="205"/>
      <c r="C1" s="205"/>
      <c r="D1" s="205"/>
    </row>
    <row r="2" spans="1:13" x14ac:dyDescent="0.25">
      <c r="A2" s="71" t="s">
        <v>37</v>
      </c>
      <c r="B2" s="206" t="str">
        <f>CONCATENATE(ExpID,"-",StnNum,"-",StnDay)</f>
        <v>AO2023-I-3-1</v>
      </c>
      <c r="C2" s="206"/>
      <c r="D2" s="72"/>
    </row>
    <row r="3" spans="1:13" x14ac:dyDescent="0.25">
      <c r="A3" s="71" t="s">
        <v>38</v>
      </c>
      <c r="B3" s="197" t="s">
        <v>86</v>
      </c>
      <c r="C3" s="197"/>
      <c r="D3" s="73"/>
    </row>
    <row r="4" spans="1:13" x14ac:dyDescent="0.25">
      <c r="A4" s="71" t="s">
        <v>39</v>
      </c>
      <c r="B4" s="198" t="str">
        <f>ObsDate</f>
        <v>13.06.2023</v>
      </c>
      <c r="C4" s="198"/>
      <c r="D4" s="73"/>
    </row>
    <row r="5" spans="1:13" x14ac:dyDescent="0.25">
      <c r="A5" s="74" t="s">
        <v>40</v>
      </c>
      <c r="B5" s="199">
        <v>0.30625000000000002</v>
      </c>
      <c r="C5" s="199"/>
      <c r="D5" s="73"/>
    </row>
    <row r="6" spans="1:13" x14ac:dyDescent="0.25">
      <c r="A6" s="74" t="s">
        <v>6</v>
      </c>
      <c r="B6" s="200" t="s">
        <v>87</v>
      </c>
      <c r="C6" s="200"/>
      <c r="D6" s="73"/>
      <c r="E6" s="45"/>
    </row>
    <row r="7" spans="1:13" ht="30" customHeight="1" x14ac:dyDescent="0.25">
      <c r="A7" s="75" t="s">
        <v>47</v>
      </c>
      <c r="B7" s="203" t="s">
        <v>344</v>
      </c>
      <c r="C7" s="203"/>
      <c r="D7" s="203"/>
    </row>
    <row r="9" spans="1:13" x14ac:dyDescent="0.25">
      <c r="A9" s="5" t="s">
        <v>90</v>
      </c>
    </row>
    <row r="10" spans="1:13" x14ac:dyDescent="0.25">
      <c r="A10" s="76" t="s">
        <v>91</v>
      </c>
      <c r="B10" s="77"/>
      <c r="K10" s="204" t="s">
        <v>92</v>
      </c>
      <c r="L10" s="204"/>
      <c r="M10" s="64"/>
    </row>
    <row r="11" spans="1:13" x14ac:dyDescent="0.25">
      <c r="A11" s="76" t="s">
        <v>93</v>
      </c>
      <c r="B11" s="77"/>
      <c r="K11" s="204" t="s">
        <v>94</v>
      </c>
      <c r="L11" s="204"/>
      <c r="M11" s="25"/>
    </row>
    <row r="12" spans="1:13" x14ac:dyDescent="0.25">
      <c r="A12" s="76" t="s">
        <v>95</v>
      </c>
      <c r="B12" s="77"/>
      <c r="K12" s="76" t="s">
        <v>96</v>
      </c>
      <c r="L12" s="76"/>
      <c r="M12" s="78"/>
    </row>
    <row r="13" spans="1:13" x14ac:dyDescent="0.25">
      <c r="A13" s="76" t="s">
        <v>57</v>
      </c>
      <c r="B13" s="77"/>
    </row>
    <row r="14" spans="1:13" x14ac:dyDescent="0.25">
      <c r="A14" s="76" t="s">
        <v>78</v>
      </c>
      <c r="B14" s="77"/>
    </row>
    <row r="15" spans="1:13" x14ac:dyDescent="0.25">
      <c r="A15" s="76" t="s">
        <v>77</v>
      </c>
      <c r="B15" s="77"/>
    </row>
    <row r="17" spans="1:14" s="57" customFormat="1" ht="45" x14ac:dyDescent="0.25">
      <c r="A17" s="79" t="s">
        <v>97</v>
      </c>
      <c r="B17" s="79" t="s">
        <v>98</v>
      </c>
      <c r="C17" s="79" t="s">
        <v>99</v>
      </c>
      <c r="D17" s="79" t="s">
        <v>100</v>
      </c>
      <c r="E17" s="79" t="s">
        <v>101</v>
      </c>
      <c r="F17" s="79" t="s">
        <v>102</v>
      </c>
      <c r="G17" s="79" t="s">
        <v>103</v>
      </c>
      <c r="H17" s="79" t="s">
        <v>104</v>
      </c>
      <c r="I17" s="79" t="s">
        <v>13</v>
      </c>
      <c r="K17" s="79" t="s">
        <v>105</v>
      </c>
      <c r="L17" s="79" t="s">
        <v>106</v>
      </c>
      <c r="M17" s="79" t="s">
        <v>107</v>
      </c>
      <c r="N17" s="79" t="s">
        <v>13</v>
      </c>
    </row>
    <row r="18" spans="1:14" x14ac:dyDescent="0.25">
      <c r="A18" s="80"/>
      <c r="B18" s="77"/>
      <c r="C18" s="77"/>
      <c r="D18" s="63"/>
      <c r="E18" s="63"/>
      <c r="F18" s="81"/>
      <c r="G18" s="77"/>
      <c r="H18" s="63"/>
      <c r="I18" s="82"/>
      <c r="K18" s="80"/>
      <c r="L18" s="77"/>
      <c r="M18" s="77"/>
      <c r="N18" s="82"/>
    </row>
    <row r="19" spans="1:14" x14ac:dyDescent="0.25">
      <c r="A19" s="80"/>
      <c r="B19" s="77"/>
      <c r="C19" s="77"/>
      <c r="D19" s="63"/>
      <c r="E19" s="63"/>
      <c r="F19" s="81"/>
      <c r="G19" s="77"/>
      <c r="H19" s="63"/>
      <c r="I19" s="82"/>
      <c r="K19" s="80"/>
      <c r="L19" s="77"/>
      <c r="M19" s="77"/>
      <c r="N19" s="82"/>
    </row>
    <row r="20" spans="1:14" x14ac:dyDescent="0.25">
      <c r="A20" s="80"/>
      <c r="B20" s="77"/>
      <c r="C20" s="77"/>
      <c r="D20" s="63"/>
      <c r="E20" s="63"/>
      <c r="F20" s="81"/>
      <c r="G20" s="77"/>
      <c r="H20" s="63"/>
      <c r="I20" s="82"/>
      <c r="K20" s="80"/>
      <c r="L20" s="77"/>
      <c r="M20" s="77"/>
      <c r="N20" s="82"/>
    </row>
    <row r="21" spans="1:14" x14ac:dyDescent="0.25">
      <c r="A21" s="80"/>
      <c r="B21" s="77"/>
      <c r="C21" s="77"/>
      <c r="D21" s="63"/>
      <c r="E21" s="63"/>
      <c r="F21" s="81"/>
      <c r="G21" s="77"/>
      <c r="H21" s="63"/>
      <c r="I21" s="82"/>
      <c r="K21" s="80"/>
      <c r="L21" s="77"/>
      <c r="M21" s="77"/>
      <c r="N21" s="82"/>
    </row>
    <row r="22" spans="1:14" x14ac:dyDescent="0.25">
      <c r="A22" s="80"/>
      <c r="B22" s="77"/>
      <c r="C22" s="77"/>
      <c r="D22" s="63"/>
      <c r="E22" s="63"/>
      <c r="F22" s="81"/>
      <c r="G22" s="77"/>
      <c r="H22" s="63"/>
      <c r="I22" s="82"/>
      <c r="K22" s="80"/>
      <c r="L22" s="77"/>
      <c r="M22" s="77"/>
      <c r="N22" s="82"/>
    </row>
    <row r="23" spans="1:14" x14ac:dyDescent="0.25">
      <c r="A23" s="80"/>
      <c r="B23" s="77"/>
      <c r="C23" s="77"/>
      <c r="D23" s="63"/>
      <c r="E23" s="63"/>
      <c r="F23" s="81"/>
      <c r="G23" s="77"/>
      <c r="H23" s="63"/>
      <c r="I23" s="82"/>
      <c r="K23" s="80"/>
      <c r="L23" s="77"/>
      <c r="M23" s="77"/>
      <c r="N23" s="82"/>
    </row>
    <row r="24" spans="1:14" x14ac:dyDescent="0.25">
      <c r="A24" s="80"/>
      <c r="B24" s="77"/>
      <c r="C24" s="77"/>
      <c r="D24" s="63"/>
      <c r="E24" s="63"/>
      <c r="F24" s="81"/>
      <c r="G24" s="77"/>
      <c r="H24" s="63"/>
      <c r="I24" s="82"/>
      <c r="K24" s="80"/>
      <c r="L24" s="77"/>
      <c r="M24" s="77"/>
      <c r="N24" s="82"/>
    </row>
    <row r="25" spans="1:14" x14ac:dyDescent="0.25">
      <c r="A25" s="80"/>
      <c r="B25" s="77"/>
      <c r="C25" s="77"/>
      <c r="D25" s="63"/>
      <c r="E25" s="63"/>
      <c r="F25" s="81"/>
      <c r="G25" s="77"/>
      <c r="H25" s="63"/>
      <c r="I25" s="82"/>
      <c r="K25" s="80"/>
      <c r="L25" s="77"/>
      <c r="M25" s="77"/>
      <c r="N25" s="82"/>
    </row>
    <row r="26" spans="1:14" x14ac:dyDescent="0.25">
      <c r="A26" s="80"/>
      <c r="B26" s="77"/>
      <c r="C26" s="77"/>
      <c r="D26" s="63"/>
      <c r="E26" s="63"/>
      <c r="F26" s="81"/>
      <c r="G26" s="77"/>
      <c r="H26" s="63"/>
      <c r="I26" s="82"/>
      <c r="K26" s="80"/>
      <c r="L26" s="77"/>
      <c r="M26" s="77"/>
      <c r="N26" s="82"/>
    </row>
    <row r="27" spans="1:14" x14ac:dyDescent="0.25">
      <c r="A27" s="80"/>
      <c r="B27" s="77"/>
      <c r="C27" s="77"/>
      <c r="D27" s="63"/>
      <c r="E27" s="63"/>
      <c r="F27" s="81"/>
      <c r="G27" s="77"/>
      <c r="H27" s="63"/>
      <c r="I27" s="82"/>
      <c r="K27" s="80"/>
      <c r="L27" s="77"/>
      <c r="M27" s="77"/>
      <c r="N27" s="82"/>
    </row>
    <row r="28" spans="1:14" x14ac:dyDescent="0.25">
      <c r="A28" s="80"/>
      <c r="B28" s="77"/>
      <c r="C28" s="77"/>
      <c r="D28" s="63"/>
      <c r="E28" s="63"/>
      <c r="F28" s="81"/>
      <c r="G28" s="77"/>
      <c r="H28" s="63"/>
      <c r="I28" s="82"/>
      <c r="K28" s="80"/>
      <c r="L28" s="77"/>
      <c r="M28" s="77"/>
      <c r="N28" s="82"/>
    </row>
    <row r="29" spans="1:14" x14ac:dyDescent="0.25">
      <c r="A29" s="80"/>
      <c r="B29" s="77"/>
      <c r="C29" s="77"/>
      <c r="D29" s="63"/>
      <c r="E29" s="63"/>
      <c r="F29" s="81"/>
      <c r="G29" s="77"/>
      <c r="H29" s="63"/>
      <c r="I29" s="82"/>
      <c r="K29" s="80"/>
      <c r="L29" s="77"/>
      <c r="M29" s="77"/>
      <c r="N29" s="82"/>
    </row>
    <row r="30" spans="1:14" x14ac:dyDescent="0.25">
      <c r="A30" s="80"/>
      <c r="B30" s="77"/>
      <c r="C30" s="77"/>
      <c r="D30" s="63"/>
      <c r="E30" s="63"/>
      <c r="F30" s="81"/>
      <c r="G30" s="77"/>
      <c r="H30" s="63"/>
      <c r="I30" s="82"/>
      <c r="K30" s="80"/>
      <c r="L30" s="77"/>
      <c r="M30" s="77"/>
      <c r="N30" s="82"/>
    </row>
    <row r="31" spans="1:14" x14ac:dyDescent="0.25">
      <c r="A31" s="80"/>
      <c r="B31" s="77"/>
      <c r="C31" s="77"/>
      <c r="D31" s="63"/>
      <c r="E31" s="63"/>
      <c r="F31" s="81"/>
      <c r="G31" s="77"/>
      <c r="H31" s="63"/>
      <c r="I31" s="82"/>
      <c r="K31" s="80"/>
      <c r="L31" s="77"/>
      <c r="M31" s="77"/>
      <c r="N31" s="82"/>
    </row>
    <row r="32" spans="1:14" x14ac:dyDescent="0.25">
      <c r="A32" s="80"/>
      <c r="B32" s="77"/>
      <c r="C32" s="77"/>
      <c r="D32" s="63"/>
      <c r="E32" s="63"/>
      <c r="F32" s="81"/>
      <c r="G32" s="77"/>
      <c r="H32" s="63"/>
      <c r="I32" s="82"/>
      <c r="K32" s="80"/>
      <c r="L32" s="77"/>
      <c r="M32" s="77"/>
      <c r="N32" s="82"/>
    </row>
    <row r="33" spans="1:14" x14ac:dyDescent="0.25">
      <c r="A33" s="80"/>
      <c r="B33" s="77"/>
      <c r="C33" s="77"/>
      <c r="D33" s="63"/>
      <c r="E33" s="63"/>
      <c r="F33" s="81"/>
      <c r="G33" s="77"/>
      <c r="H33" s="63"/>
      <c r="I33" s="82"/>
      <c r="K33" s="80"/>
      <c r="L33" s="77"/>
      <c r="M33" s="77"/>
      <c r="N33" s="82"/>
    </row>
    <row r="34" spans="1:14" x14ac:dyDescent="0.25">
      <c r="A34" s="80"/>
      <c r="B34" s="77"/>
      <c r="C34" s="77"/>
      <c r="D34" s="63"/>
      <c r="E34" s="63"/>
      <c r="F34" s="81"/>
      <c r="G34" s="77"/>
      <c r="H34" s="63"/>
      <c r="I34" s="82"/>
      <c r="K34" s="80"/>
      <c r="L34" s="77"/>
      <c r="M34" s="77"/>
      <c r="N34" s="82"/>
    </row>
    <row r="35" spans="1:14" x14ac:dyDescent="0.25">
      <c r="A35" s="80"/>
      <c r="B35" s="77"/>
      <c r="C35" s="77"/>
      <c r="D35" s="63"/>
      <c r="E35" s="63"/>
      <c r="F35" s="81"/>
      <c r="G35" s="77"/>
      <c r="H35" s="63"/>
      <c r="I35" s="82"/>
      <c r="K35" s="80"/>
      <c r="L35" s="77"/>
      <c r="M35" s="77"/>
      <c r="N35" s="82"/>
    </row>
    <row r="36" spans="1:14" x14ac:dyDescent="0.25">
      <c r="A36" s="80"/>
      <c r="B36" s="77"/>
      <c r="C36" s="77"/>
      <c r="D36" s="63"/>
      <c r="E36" s="63"/>
      <c r="F36" s="81"/>
      <c r="G36" s="77"/>
      <c r="H36" s="63"/>
      <c r="I36" s="82"/>
      <c r="K36" s="80"/>
      <c r="L36" s="77"/>
      <c r="M36" s="77"/>
      <c r="N36" s="82"/>
    </row>
    <row r="37" spans="1:14" x14ac:dyDescent="0.25">
      <c r="A37" s="80"/>
      <c r="B37" s="77"/>
      <c r="C37" s="77"/>
      <c r="D37" s="63"/>
      <c r="E37" s="63"/>
      <c r="F37" s="81"/>
      <c r="G37" s="77"/>
      <c r="H37" s="63"/>
      <c r="I37" s="82"/>
      <c r="K37" s="80"/>
      <c r="L37" s="77"/>
      <c r="M37" s="77"/>
      <c r="N37" s="82"/>
    </row>
    <row r="38" spans="1:14" x14ac:dyDescent="0.25">
      <c r="A38" s="80"/>
      <c r="B38" s="77"/>
      <c r="C38" s="77"/>
      <c r="D38" s="63"/>
      <c r="E38" s="63"/>
      <c r="F38" s="81"/>
      <c r="G38" s="77"/>
      <c r="H38" s="63"/>
      <c r="I38" s="82"/>
      <c r="K38" s="80"/>
      <c r="L38" s="77"/>
      <c r="M38" s="77"/>
      <c r="N38" s="82"/>
    </row>
    <row r="39" spans="1:14" x14ac:dyDescent="0.25">
      <c r="A39" s="80"/>
      <c r="B39" s="77"/>
      <c r="C39" s="77"/>
      <c r="D39" s="63"/>
      <c r="E39" s="63"/>
      <c r="F39" s="81"/>
      <c r="G39" s="77"/>
      <c r="H39" s="63"/>
      <c r="I39" s="82"/>
      <c r="K39" s="80"/>
      <c r="L39" s="77"/>
      <c r="M39" s="77"/>
      <c r="N39" s="82"/>
    </row>
    <row r="40" spans="1:14" x14ac:dyDescent="0.25">
      <c r="A40" s="80"/>
      <c r="B40" s="77"/>
      <c r="C40" s="77"/>
      <c r="D40" s="63"/>
      <c r="E40" s="63"/>
      <c r="F40" s="81"/>
      <c r="G40" s="77"/>
      <c r="H40" s="63"/>
      <c r="I40" s="82"/>
      <c r="K40" s="80"/>
      <c r="L40" s="77"/>
      <c r="M40" s="77"/>
      <c r="N40" s="82"/>
    </row>
    <row r="41" spans="1:14" x14ac:dyDescent="0.25">
      <c r="A41" s="80"/>
      <c r="B41" s="77"/>
      <c r="C41" s="77"/>
      <c r="D41" s="63"/>
      <c r="E41" s="63"/>
      <c r="F41" s="81"/>
      <c r="G41" s="77"/>
      <c r="H41" s="63"/>
      <c r="I41" s="82"/>
      <c r="K41" s="80"/>
      <c r="L41" s="77"/>
      <c r="M41" s="77"/>
      <c r="N41" s="82"/>
    </row>
    <row r="42" spans="1:14" x14ac:dyDescent="0.25">
      <c r="A42" s="80"/>
      <c r="B42" s="77"/>
      <c r="C42" s="77"/>
      <c r="D42" s="63"/>
      <c r="E42" s="63"/>
      <c r="F42" s="81"/>
      <c r="G42" s="77"/>
      <c r="H42" s="63"/>
      <c r="I42" s="82"/>
      <c r="K42" s="80"/>
      <c r="L42" s="77"/>
      <c r="M42" s="77"/>
      <c r="N42" s="82"/>
    </row>
    <row r="43" spans="1:14" x14ac:dyDescent="0.25">
      <c r="A43" s="80"/>
      <c r="B43" s="77"/>
      <c r="C43" s="77"/>
      <c r="D43" s="63"/>
      <c r="E43" s="63"/>
      <c r="F43" s="81"/>
      <c r="G43" s="77"/>
      <c r="H43" s="63"/>
      <c r="I43" s="82"/>
      <c r="K43" s="80"/>
      <c r="L43" s="77"/>
      <c r="M43" s="77"/>
      <c r="N43" s="82"/>
    </row>
    <row r="44" spans="1:14" x14ac:dyDescent="0.25">
      <c r="A44" s="80"/>
      <c r="B44" s="77"/>
      <c r="C44" s="77"/>
      <c r="D44" s="63"/>
      <c r="E44" s="63"/>
      <c r="F44" s="81"/>
      <c r="G44" s="77"/>
      <c r="H44" s="63"/>
      <c r="I44" s="82"/>
      <c r="K44" s="80"/>
      <c r="L44" s="77"/>
      <c r="M44" s="77"/>
      <c r="N44" s="82"/>
    </row>
    <row r="45" spans="1:14" x14ac:dyDescent="0.25">
      <c r="A45" s="80"/>
      <c r="B45" s="77"/>
      <c r="C45" s="77"/>
      <c r="D45" s="63"/>
      <c r="E45" s="63"/>
      <c r="F45" s="81"/>
      <c r="G45" s="77"/>
      <c r="H45" s="63"/>
      <c r="I45" s="82"/>
      <c r="K45" s="80"/>
      <c r="L45" s="77"/>
      <c r="M45" s="77"/>
      <c r="N45" s="82"/>
    </row>
    <row r="46" spans="1:14" x14ac:dyDescent="0.25">
      <c r="A46" s="80"/>
      <c r="B46" s="77"/>
      <c r="C46" s="77"/>
      <c r="D46" s="63"/>
      <c r="E46" s="63"/>
      <c r="F46" s="81"/>
      <c r="G46" s="77"/>
      <c r="H46" s="63"/>
      <c r="I46" s="82"/>
      <c r="K46" s="80"/>
      <c r="L46" s="77"/>
      <c r="M46" s="77"/>
      <c r="N46" s="82"/>
    </row>
    <row r="47" spans="1:14" x14ac:dyDescent="0.25">
      <c r="A47" s="80"/>
      <c r="B47" s="77"/>
      <c r="C47" s="77"/>
      <c r="D47" s="63"/>
      <c r="E47" s="63"/>
      <c r="F47" s="81"/>
      <c r="G47" s="77"/>
      <c r="H47" s="63"/>
      <c r="I47" s="82"/>
      <c r="K47" s="80"/>
      <c r="L47" s="77"/>
      <c r="M47" s="77"/>
      <c r="N47" s="82"/>
    </row>
    <row r="48" spans="1:14" x14ac:dyDescent="0.25">
      <c r="A48" s="80"/>
      <c r="B48" s="77"/>
      <c r="C48" s="77"/>
      <c r="D48" s="63"/>
      <c r="E48" s="63"/>
      <c r="F48" s="81"/>
      <c r="G48" s="77"/>
      <c r="H48" s="63"/>
      <c r="I48" s="82"/>
      <c r="K48" s="80"/>
      <c r="L48" s="77"/>
      <c r="M48" s="77"/>
      <c r="N48" s="82"/>
    </row>
    <row r="49" spans="1:14" x14ac:dyDescent="0.25">
      <c r="A49" s="80"/>
      <c r="B49" s="77"/>
      <c r="C49" s="77"/>
      <c r="D49" s="63"/>
      <c r="E49" s="63"/>
      <c r="F49" s="81"/>
      <c r="G49" s="77"/>
      <c r="H49" s="63"/>
      <c r="I49" s="82"/>
      <c r="K49" s="80"/>
      <c r="L49" s="77"/>
      <c r="M49" s="77"/>
      <c r="N49" s="82"/>
    </row>
    <row r="50" spans="1:14" x14ac:dyDescent="0.25">
      <c r="A50" s="80"/>
      <c r="B50" s="77"/>
      <c r="C50" s="77"/>
      <c r="D50" s="63"/>
      <c r="E50" s="63"/>
      <c r="F50" s="81"/>
      <c r="G50" s="77"/>
      <c r="H50" s="63"/>
      <c r="I50" s="82"/>
      <c r="K50" s="80"/>
      <c r="L50" s="77"/>
      <c r="M50" s="77"/>
      <c r="N50" s="82"/>
    </row>
    <row r="51" spans="1:14" x14ac:dyDescent="0.25">
      <c r="A51" s="80"/>
    </row>
  </sheetData>
  <mergeCells count="9">
    <mergeCell ref="B7:D7"/>
    <mergeCell ref="K10:L10"/>
    <mergeCell ref="K11:L11"/>
    <mergeCell ref="A1:D1"/>
    <mergeCell ref="B2:C2"/>
    <mergeCell ref="B3:C3"/>
    <mergeCell ref="B4:C4"/>
    <mergeCell ref="B5:C5"/>
    <mergeCell ref="B6:C6"/>
  </mergeCells>
  <pageMargins left="0.7" right="0.7" top="0.75" bottom="0.75" header="0.51180555555555496" footer="0.51180555555555496"/>
  <pageSetup paperSize="9" firstPageNumber="0"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pageSetUpPr fitToPage="1"/>
  </sheetPr>
  <dimension ref="A1:AMJ56"/>
  <sheetViews>
    <sheetView topLeftCell="G13" zoomScale="80" zoomScaleNormal="80" workbookViewId="0">
      <selection activeCell="Y22" sqref="Y22"/>
    </sheetView>
  </sheetViews>
  <sheetFormatPr defaultColWidth="9.140625" defaultRowHeight="15" x14ac:dyDescent="0.25"/>
  <cols>
    <col min="1" max="1" width="24.5703125" style="2" customWidth="1"/>
    <col min="2" max="3" width="15.7109375" style="2" customWidth="1"/>
    <col min="4" max="5" width="13.7109375" style="2" customWidth="1"/>
    <col min="6" max="7" width="15.7109375" style="2" customWidth="1"/>
    <col min="8" max="8" width="13.7109375" style="2" customWidth="1"/>
    <col min="9" max="9" width="36.5703125" style="2" customWidth="1"/>
    <col min="10" max="10" width="9.140625" style="2"/>
    <col min="11" max="11" width="19.140625" style="2" customWidth="1"/>
    <col min="12" max="12" width="15.7109375" style="2" customWidth="1"/>
    <col min="13" max="16" width="12.7109375" style="2" customWidth="1"/>
    <col min="17" max="17" width="9.140625" style="2"/>
    <col min="18" max="19" width="15.7109375" style="2" customWidth="1"/>
    <col min="20" max="1024" width="9.140625" style="2"/>
  </cols>
  <sheetData>
    <row r="1" spans="1:24" ht="31.5" x14ac:dyDescent="0.5">
      <c r="A1" s="205" t="s">
        <v>172</v>
      </c>
      <c r="B1" s="205"/>
      <c r="C1" s="205"/>
      <c r="D1" s="205"/>
    </row>
    <row r="2" spans="1:24" x14ac:dyDescent="0.25">
      <c r="A2" s="71" t="s">
        <v>37</v>
      </c>
      <c r="B2" s="206" t="str">
        <f>CONCATENATE(ExpID,"-",StnNum,"-",StnDay)</f>
        <v>AO2023-I-3-1</v>
      </c>
      <c r="C2" s="206"/>
      <c r="D2" s="72"/>
    </row>
    <row r="3" spans="1:24" x14ac:dyDescent="0.25">
      <c r="A3" s="71" t="s">
        <v>38</v>
      </c>
      <c r="B3" s="197">
        <v>1</v>
      </c>
      <c r="C3" s="197"/>
      <c r="D3" s="73"/>
    </row>
    <row r="4" spans="1:24" x14ac:dyDescent="0.25">
      <c r="A4" s="71" t="s">
        <v>39</v>
      </c>
      <c r="B4" s="198" t="str">
        <f>ObsDate</f>
        <v>13.06.2023</v>
      </c>
      <c r="C4" s="198"/>
      <c r="D4" s="73"/>
    </row>
    <row r="5" spans="1:24" x14ac:dyDescent="0.25">
      <c r="A5" s="74" t="s">
        <v>40</v>
      </c>
      <c r="B5" s="199" t="s">
        <v>173</v>
      </c>
      <c r="C5" s="199"/>
      <c r="D5" s="73"/>
    </row>
    <row r="6" spans="1:24" x14ac:dyDescent="0.25">
      <c r="A6" s="74" t="s">
        <v>6</v>
      </c>
      <c r="B6" s="200" t="s">
        <v>174</v>
      </c>
      <c r="C6" s="200"/>
      <c r="D6" s="73"/>
      <c r="E6" s="45"/>
    </row>
    <row r="7" spans="1:24" ht="30" customHeight="1" x14ac:dyDescent="0.25">
      <c r="A7" s="75" t="s">
        <v>47</v>
      </c>
      <c r="B7" s="203"/>
      <c r="C7" s="203"/>
      <c r="D7" s="203"/>
    </row>
    <row r="9" spans="1:24" x14ac:dyDescent="0.25">
      <c r="A9" s="5" t="s">
        <v>151</v>
      </c>
      <c r="K9" s="5" t="s">
        <v>175</v>
      </c>
    </row>
    <row r="10" spans="1:24" x14ac:dyDescent="0.25">
      <c r="A10" s="76" t="s">
        <v>152</v>
      </c>
      <c r="B10" s="89">
        <v>0.8</v>
      </c>
      <c r="K10" s="76" t="s">
        <v>176</v>
      </c>
      <c r="L10" s="113">
        <v>100</v>
      </c>
    </row>
    <row r="11" spans="1:24" x14ac:dyDescent="0.25">
      <c r="A11" s="76" t="s">
        <v>177</v>
      </c>
      <c r="B11" s="91">
        <v>-0.2</v>
      </c>
      <c r="K11" s="76" t="s">
        <v>178</v>
      </c>
      <c r="L11" s="114">
        <v>222</v>
      </c>
    </row>
    <row r="12" spans="1:24" x14ac:dyDescent="0.25">
      <c r="A12" s="76" t="s">
        <v>179</v>
      </c>
      <c r="B12" s="91">
        <v>-0.9</v>
      </c>
    </row>
    <row r="13" spans="1:24" x14ac:dyDescent="0.25">
      <c r="A13" s="76" t="s">
        <v>180</v>
      </c>
      <c r="B13" s="93"/>
    </row>
    <row r="15" spans="1:24" ht="15.75" x14ac:dyDescent="0.25">
      <c r="A15" s="5" t="s">
        <v>181</v>
      </c>
      <c r="B15" s="115" t="s">
        <v>182</v>
      </c>
      <c r="K15" s="5" t="s">
        <v>175</v>
      </c>
      <c r="R15" s="5" t="s">
        <v>183</v>
      </c>
      <c r="U15" s="5" t="s">
        <v>184</v>
      </c>
    </row>
    <row r="16" spans="1:24" s="69" customFormat="1" ht="62.25" x14ac:dyDescent="0.25">
      <c r="A16" s="79" t="s">
        <v>185</v>
      </c>
      <c r="B16" s="79" t="s">
        <v>98</v>
      </c>
      <c r="C16" s="79" t="s">
        <v>99</v>
      </c>
      <c r="D16" s="79" t="s">
        <v>186</v>
      </c>
      <c r="E16" s="79" t="s">
        <v>187</v>
      </c>
      <c r="F16" s="79" t="s">
        <v>188</v>
      </c>
      <c r="G16" s="79" t="s">
        <v>189</v>
      </c>
      <c r="H16" s="79" t="s">
        <v>190</v>
      </c>
      <c r="I16" s="79" t="s">
        <v>13</v>
      </c>
      <c r="K16" s="116" t="s">
        <v>191</v>
      </c>
      <c r="L16" s="116" t="s">
        <v>192</v>
      </c>
      <c r="M16" s="116" t="s">
        <v>193</v>
      </c>
      <c r="N16" s="116" t="s">
        <v>194</v>
      </c>
      <c r="O16" s="116" t="s">
        <v>195</v>
      </c>
      <c r="P16" s="116" t="s">
        <v>196</v>
      </c>
      <c r="Q16" s="117"/>
      <c r="R16" s="116" t="s">
        <v>197</v>
      </c>
      <c r="S16" s="116" t="s">
        <v>198</v>
      </c>
      <c r="U16" s="116" t="s">
        <v>197</v>
      </c>
      <c r="V16" s="116" t="s">
        <v>198</v>
      </c>
      <c r="W16" s="116" t="s">
        <v>199</v>
      </c>
      <c r="X16" s="116" t="s">
        <v>200</v>
      </c>
    </row>
    <row r="17" spans="1:24" x14ac:dyDescent="0.25">
      <c r="A17" s="110">
        <v>1</v>
      </c>
      <c r="B17" s="64">
        <v>6.5</v>
      </c>
      <c r="C17" s="64">
        <v>0</v>
      </c>
      <c r="D17" s="25" t="s">
        <v>201</v>
      </c>
      <c r="E17" s="25"/>
      <c r="F17" s="118">
        <v>2</v>
      </c>
      <c r="G17" s="118">
        <v>3</v>
      </c>
      <c r="H17" s="25" t="s">
        <v>202</v>
      </c>
      <c r="I17" s="25"/>
      <c r="K17" s="64">
        <v>6.5</v>
      </c>
      <c r="L17" s="64">
        <v>3.5</v>
      </c>
      <c r="M17" s="119">
        <v>246</v>
      </c>
      <c r="N17" s="25"/>
      <c r="O17" s="15">
        <f t="shared" ref="O17:O56" si="0">IF($L$10&gt;0,((M17-$L$11)/$L$10)*1000,0)</f>
        <v>240</v>
      </c>
      <c r="P17" s="25"/>
      <c r="R17" s="64">
        <v>0.5</v>
      </c>
      <c r="S17" s="81">
        <v>-0.8</v>
      </c>
      <c r="T17" s="69"/>
      <c r="U17" s="64">
        <v>3</v>
      </c>
      <c r="V17" s="81">
        <v>16.8</v>
      </c>
      <c r="W17" s="120">
        <v>0</v>
      </c>
      <c r="X17" s="121">
        <v>8.2199999999999995E-2</v>
      </c>
    </row>
    <row r="18" spans="1:24" x14ac:dyDescent="0.25">
      <c r="A18" s="110">
        <v>2</v>
      </c>
      <c r="B18" s="64">
        <v>15</v>
      </c>
      <c r="C18" s="64">
        <v>6.5</v>
      </c>
      <c r="D18" s="25" t="s">
        <v>203</v>
      </c>
      <c r="E18" s="25"/>
      <c r="F18" s="118">
        <v>0.5</v>
      </c>
      <c r="G18" s="118">
        <v>1</v>
      </c>
      <c r="H18" s="25" t="s">
        <v>204</v>
      </c>
      <c r="I18" s="25"/>
      <c r="K18" s="64">
        <v>13.5</v>
      </c>
      <c r="L18" s="64">
        <v>10.5</v>
      </c>
      <c r="M18" s="119">
        <v>263</v>
      </c>
      <c r="N18" s="25"/>
      <c r="O18" s="15">
        <f t="shared" si="0"/>
        <v>410</v>
      </c>
      <c r="P18" s="25"/>
      <c r="R18" s="64">
        <v>3.5</v>
      </c>
      <c r="S18" s="81">
        <v>-0.6</v>
      </c>
      <c r="T18" s="69"/>
      <c r="U18" s="64">
        <v>6</v>
      </c>
      <c r="V18" s="81">
        <v>16.8</v>
      </c>
      <c r="W18" s="120">
        <v>0</v>
      </c>
      <c r="X18" s="121">
        <v>8.9899999999999994E-2</v>
      </c>
    </row>
    <row r="19" spans="1:24" x14ac:dyDescent="0.25">
      <c r="A19" s="110">
        <v>3</v>
      </c>
      <c r="B19" s="64">
        <v>22</v>
      </c>
      <c r="C19" s="64">
        <v>15</v>
      </c>
      <c r="D19" s="25" t="s">
        <v>203</v>
      </c>
      <c r="E19" s="25"/>
      <c r="F19" s="118">
        <v>0.5</v>
      </c>
      <c r="G19" s="118">
        <v>1</v>
      </c>
      <c r="H19" s="25" t="s">
        <v>202</v>
      </c>
      <c r="I19" s="25"/>
      <c r="K19" s="64">
        <v>21.5</v>
      </c>
      <c r="L19" s="64">
        <v>18.5</v>
      </c>
      <c r="M19" s="119">
        <v>270</v>
      </c>
      <c r="N19" s="25"/>
      <c r="O19" s="15">
        <f t="shared" si="0"/>
        <v>480</v>
      </c>
      <c r="P19" s="25"/>
      <c r="R19" s="64">
        <v>6</v>
      </c>
      <c r="S19" s="81">
        <v>-0.4</v>
      </c>
      <c r="T19" s="69"/>
      <c r="U19" s="64">
        <v>8</v>
      </c>
      <c r="V19" s="81">
        <v>16.2</v>
      </c>
      <c r="W19" s="120">
        <v>0</v>
      </c>
      <c r="X19" s="121">
        <v>4.3799999999999999E-2</v>
      </c>
    </row>
    <row r="20" spans="1:24" x14ac:dyDescent="0.25">
      <c r="A20" s="110">
        <v>4</v>
      </c>
      <c r="B20" s="64">
        <v>28</v>
      </c>
      <c r="C20" s="64">
        <v>22</v>
      </c>
      <c r="D20" s="25" t="s">
        <v>203</v>
      </c>
      <c r="E20" s="25"/>
      <c r="F20" s="118">
        <v>0.5</v>
      </c>
      <c r="G20" s="118">
        <v>2</v>
      </c>
      <c r="H20" s="25" t="s">
        <v>205</v>
      </c>
      <c r="I20" s="25"/>
      <c r="K20" s="64">
        <v>27.5</v>
      </c>
      <c r="L20" s="64">
        <v>24.5</v>
      </c>
      <c r="M20" s="119">
        <v>272</v>
      </c>
      <c r="N20" s="25"/>
      <c r="O20" s="15">
        <f t="shared" si="0"/>
        <v>500</v>
      </c>
      <c r="P20" s="25"/>
      <c r="R20" s="64">
        <v>9</v>
      </c>
      <c r="S20" s="81">
        <v>-0.2</v>
      </c>
      <c r="T20" s="69"/>
      <c r="U20" s="64">
        <v>11</v>
      </c>
      <c r="V20" s="81">
        <v>16.2</v>
      </c>
      <c r="W20" s="120">
        <v>0</v>
      </c>
      <c r="X20" s="121">
        <v>6.8099999999999994E-2</v>
      </c>
    </row>
    <row r="21" spans="1:24" x14ac:dyDescent="0.25">
      <c r="A21" s="110">
        <v>5</v>
      </c>
      <c r="B21" s="64">
        <v>34</v>
      </c>
      <c r="C21" s="64">
        <v>28</v>
      </c>
      <c r="D21" s="25" t="s">
        <v>206</v>
      </c>
      <c r="E21" s="25"/>
      <c r="F21" s="118">
        <v>0.5</v>
      </c>
      <c r="G21" s="118">
        <v>2</v>
      </c>
      <c r="H21" s="25" t="s">
        <v>205</v>
      </c>
      <c r="I21" s="25"/>
      <c r="K21" s="64">
        <v>33.5</v>
      </c>
      <c r="L21" s="64">
        <v>30.5</v>
      </c>
      <c r="M21" s="119">
        <v>265</v>
      </c>
      <c r="N21" s="25"/>
      <c r="O21" s="15">
        <f t="shared" si="0"/>
        <v>430</v>
      </c>
      <c r="P21" s="25"/>
      <c r="R21" s="64">
        <v>12.5</v>
      </c>
      <c r="S21" s="81">
        <v>-0.1</v>
      </c>
      <c r="T21" s="69"/>
      <c r="U21" s="64">
        <v>15</v>
      </c>
      <c r="V21" s="81">
        <v>16.899999999999999</v>
      </c>
      <c r="W21" s="120">
        <v>0</v>
      </c>
      <c r="X21" s="121">
        <v>5.3999999999999999E-2</v>
      </c>
    </row>
    <row r="22" spans="1:24" x14ac:dyDescent="0.25">
      <c r="A22" s="110">
        <v>6</v>
      </c>
      <c r="B22" s="64">
        <v>37</v>
      </c>
      <c r="C22" s="64">
        <v>34</v>
      </c>
      <c r="D22" s="25" t="s">
        <v>207</v>
      </c>
      <c r="E22" s="25"/>
      <c r="F22" s="118">
        <v>2</v>
      </c>
      <c r="G22" s="118">
        <v>0.5</v>
      </c>
      <c r="H22" s="25" t="s">
        <v>208</v>
      </c>
      <c r="I22" s="25"/>
      <c r="K22" s="64"/>
      <c r="L22" s="64"/>
      <c r="M22" s="119"/>
      <c r="N22" s="25"/>
      <c r="O22" s="15">
        <f t="shared" si="0"/>
        <v>-2220</v>
      </c>
      <c r="P22" s="25"/>
      <c r="R22" s="64">
        <v>15.5</v>
      </c>
      <c r="S22" s="81">
        <v>-0.1</v>
      </c>
      <c r="T22" s="69"/>
      <c r="U22" s="64">
        <v>20</v>
      </c>
      <c r="V22" s="81">
        <v>16.100000000000001</v>
      </c>
      <c r="W22" s="120">
        <v>0</v>
      </c>
      <c r="X22" s="121">
        <v>4.41E-2</v>
      </c>
    </row>
    <row r="23" spans="1:24" x14ac:dyDescent="0.25">
      <c r="A23" s="110"/>
      <c r="B23" s="64"/>
      <c r="C23" s="64"/>
      <c r="D23" s="25"/>
      <c r="E23" s="25"/>
      <c r="F23" s="118"/>
      <c r="G23" s="118"/>
      <c r="H23" s="25"/>
      <c r="I23" s="25"/>
      <c r="K23" s="64"/>
      <c r="L23" s="64"/>
      <c r="M23" s="119"/>
      <c r="N23" s="25"/>
      <c r="O23" s="15">
        <f t="shared" si="0"/>
        <v>-2220</v>
      </c>
      <c r="P23" s="25"/>
      <c r="R23" s="64">
        <v>18</v>
      </c>
      <c r="S23" s="81">
        <v>-0.1</v>
      </c>
      <c r="T23" s="69"/>
      <c r="U23" s="64">
        <v>23</v>
      </c>
      <c r="V23" s="81">
        <v>16</v>
      </c>
      <c r="W23" s="120">
        <v>0</v>
      </c>
      <c r="X23" s="121">
        <v>3.6600000000000001E-2</v>
      </c>
    </row>
    <row r="24" spans="1:24" x14ac:dyDescent="0.25">
      <c r="A24" s="110"/>
      <c r="B24" s="64"/>
      <c r="C24" s="64"/>
      <c r="D24" s="25"/>
      <c r="E24" s="25"/>
      <c r="F24" s="118"/>
      <c r="G24" s="118"/>
      <c r="H24" s="25"/>
      <c r="I24" s="25"/>
      <c r="K24" s="64"/>
      <c r="L24" s="64"/>
      <c r="M24" s="119"/>
      <c r="N24" s="25"/>
      <c r="O24" s="15">
        <f t="shared" si="0"/>
        <v>-2220</v>
      </c>
      <c r="P24" s="25"/>
      <c r="R24" s="64">
        <v>21</v>
      </c>
      <c r="S24" s="81">
        <v>-0.1</v>
      </c>
      <c r="T24" s="69"/>
      <c r="U24" s="64">
        <v>26</v>
      </c>
      <c r="V24" s="81">
        <v>15.9</v>
      </c>
      <c r="W24" s="120">
        <v>0</v>
      </c>
      <c r="X24" s="121">
        <v>4.07E-2</v>
      </c>
    </row>
    <row r="25" spans="1:24" x14ac:dyDescent="0.25">
      <c r="A25" s="110"/>
      <c r="B25" s="64"/>
      <c r="C25" s="64"/>
      <c r="D25" s="25"/>
      <c r="E25" s="25"/>
      <c r="F25" s="118"/>
      <c r="G25" s="118"/>
      <c r="H25" s="25"/>
      <c r="I25" s="25"/>
      <c r="K25" s="64"/>
      <c r="L25" s="64"/>
      <c r="M25" s="119"/>
      <c r="N25" s="25"/>
      <c r="O25" s="15">
        <f t="shared" si="0"/>
        <v>-2220</v>
      </c>
      <c r="P25" s="25"/>
      <c r="R25" s="64">
        <v>24</v>
      </c>
      <c r="S25" s="81">
        <v>-0.1</v>
      </c>
      <c r="T25" s="69"/>
      <c r="U25" s="64">
        <v>30</v>
      </c>
      <c r="V25" s="81">
        <v>16</v>
      </c>
      <c r="W25" s="120">
        <v>0</v>
      </c>
      <c r="X25" s="121">
        <v>3.1899999999999998E-2</v>
      </c>
    </row>
    <row r="26" spans="1:24" x14ac:dyDescent="0.25">
      <c r="A26" s="110"/>
      <c r="B26" s="64"/>
      <c r="C26" s="64"/>
      <c r="D26" s="25"/>
      <c r="E26" s="25"/>
      <c r="F26" s="118"/>
      <c r="G26" s="118"/>
      <c r="H26" s="25"/>
      <c r="I26" s="25"/>
      <c r="K26" s="64"/>
      <c r="L26" s="64"/>
      <c r="M26" s="119"/>
      <c r="N26" s="25"/>
      <c r="O26" s="15">
        <f t="shared" si="0"/>
        <v>-2220</v>
      </c>
      <c r="P26" s="25"/>
      <c r="R26" s="64">
        <v>27</v>
      </c>
      <c r="S26" s="81">
        <v>-0.1</v>
      </c>
      <c r="T26" s="69"/>
      <c r="U26" s="64">
        <v>33</v>
      </c>
      <c r="V26" s="81">
        <v>15.8</v>
      </c>
      <c r="W26" s="81">
        <v>0</v>
      </c>
      <c r="X26" s="121">
        <v>1.3100000000000001E-2</v>
      </c>
    </row>
    <row r="27" spans="1:24" x14ac:dyDescent="0.25">
      <c r="A27" s="110"/>
      <c r="B27" s="64"/>
      <c r="C27" s="64"/>
      <c r="D27" s="25"/>
      <c r="E27" s="25"/>
      <c r="F27" s="118"/>
      <c r="G27" s="118"/>
      <c r="H27" s="25"/>
      <c r="I27" s="25"/>
      <c r="K27" s="64"/>
      <c r="L27" s="64"/>
      <c r="M27" s="119"/>
      <c r="N27" s="25"/>
      <c r="O27" s="15">
        <f t="shared" si="0"/>
        <v>-2220</v>
      </c>
      <c r="P27" s="25"/>
      <c r="R27" s="64">
        <v>30</v>
      </c>
      <c r="S27" s="81">
        <v>-0.1</v>
      </c>
      <c r="T27" s="69"/>
      <c r="U27" s="64"/>
      <c r="V27" s="81"/>
      <c r="W27" s="81"/>
      <c r="X27" s="121"/>
    </row>
    <row r="28" spans="1:24" x14ac:dyDescent="0.25">
      <c r="A28" s="110"/>
      <c r="B28" s="64"/>
      <c r="C28" s="64"/>
      <c r="D28" s="25"/>
      <c r="E28" s="25"/>
      <c r="F28" s="118"/>
      <c r="G28" s="118"/>
      <c r="H28" s="25"/>
      <c r="I28" s="25"/>
      <c r="K28" s="64"/>
      <c r="L28" s="64"/>
      <c r="M28" s="119"/>
      <c r="N28" s="25"/>
      <c r="O28" s="15">
        <f t="shared" si="0"/>
        <v>-2220</v>
      </c>
      <c r="P28" s="25"/>
      <c r="R28" s="64">
        <v>33</v>
      </c>
      <c r="S28" s="81">
        <v>-0.1</v>
      </c>
      <c r="T28" s="69"/>
      <c r="U28" s="64"/>
      <c r="V28" s="81"/>
      <c r="W28" s="81"/>
      <c r="X28" s="121"/>
    </row>
    <row r="29" spans="1:24" x14ac:dyDescent="0.25">
      <c r="A29" s="110"/>
      <c r="B29" s="64"/>
      <c r="C29" s="64"/>
      <c r="D29" s="25"/>
      <c r="E29" s="25"/>
      <c r="F29" s="118"/>
      <c r="G29" s="118"/>
      <c r="H29" s="25"/>
      <c r="I29" s="25"/>
      <c r="K29" s="64"/>
      <c r="L29" s="64"/>
      <c r="M29" s="119"/>
      <c r="N29" s="25"/>
      <c r="O29" s="15">
        <f t="shared" si="0"/>
        <v>-2220</v>
      </c>
      <c r="P29" s="25"/>
      <c r="R29" s="64"/>
      <c r="S29" s="81"/>
      <c r="T29" s="69"/>
      <c r="U29" s="64"/>
      <c r="V29" s="81"/>
      <c r="W29" s="81"/>
      <c r="X29" s="121"/>
    </row>
    <row r="30" spans="1:24" x14ac:dyDescent="0.25">
      <c r="A30" s="110"/>
      <c r="B30" s="64"/>
      <c r="C30" s="64"/>
      <c r="D30" s="25"/>
      <c r="E30" s="25"/>
      <c r="F30" s="118"/>
      <c r="G30" s="118"/>
      <c r="H30" s="25"/>
      <c r="I30" s="25"/>
      <c r="K30" s="64"/>
      <c r="L30" s="64"/>
      <c r="M30" s="119"/>
      <c r="N30" s="25"/>
      <c r="O30" s="15">
        <f t="shared" si="0"/>
        <v>-2220</v>
      </c>
      <c r="P30" s="25"/>
      <c r="R30" s="64"/>
      <c r="S30" s="81"/>
      <c r="T30" s="69"/>
      <c r="U30" s="5"/>
    </row>
    <row r="31" spans="1:24" x14ac:dyDescent="0.25">
      <c r="A31" s="110"/>
      <c r="B31" s="64"/>
      <c r="C31" s="64"/>
      <c r="D31" s="25"/>
      <c r="E31" s="25"/>
      <c r="F31" s="118"/>
      <c r="G31" s="118"/>
      <c r="H31" s="25"/>
      <c r="I31" s="25"/>
      <c r="K31" s="64"/>
      <c r="L31" s="64"/>
      <c r="M31" s="119"/>
      <c r="N31" s="25"/>
      <c r="O31" s="15">
        <f t="shared" si="0"/>
        <v>-2220</v>
      </c>
      <c r="P31" s="25"/>
      <c r="R31" s="64"/>
      <c r="S31" s="81"/>
      <c r="T31" s="69"/>
    </row>
    <row r="32" spans="1:24" x14ac:dyDescent="0.25">
      <c r="A32" s="110"/>
      <c r="B32" s="64"/>
      <c r="C32" s="64"/>
      <c r="D32" s="25"/>
      <c r="E32" s="25"/>
      <c r="F32" s="118"/>
      <c r="G32" s="118"/>
      <c r="H32" s="25"/>
      <c r="I32" s="25"/>
      <c r="K32" s="64"/>
      <c r="L32" s="64"/>
      <c r="M32" s="119"/>
      <c r="N32" s="25"/>
      <c r="O32" s="15">
        <f t="shared" si="0"/>
        <v>-2220</v>
      </c>
      <c r="P32" s="25"/>
      <c r="R32" s="64"/>
      <c r="S32" s="81"/>
      <c r="T32" s="69"/>
    </row>
    <row r="33" spans="1:20" x14ac:dyDescent="0.25">
      <c r="A33" s="110"/>
      <c r="B33" s="64"/>
      <c r="C33" s="64"/>
      <c r="D33" s="25"/>
      <c r="E33" s="25"/>
      <c r="F33" s="118"/>
      <c r="G33" s="118"/>
      <c r="H33" s="25"/>
      <c r="I33" s="25"/>
      <c r="K33" s="64"/>
      <c r="L33" s="64"/>
      <c r="M33" s="119"/>
      <c r="N33" s="25"/>
      <c r="O33" s="15">
        <f t="shared" si="0"/>
        <v>-2220</v>
      </c>
      <c r="P33" s="25"/>
      <c r="R33" s="64"/>
      <c r="S33" s="81"/>
      <c r="T33" s="69"/>
    </row>
    <row r="34" spans="1:20" x14ac:dyDescent="0.25">
      <c r="A34" s="110"/>
      <c r="B34" s="64"/>
      <c r="C34" s="64"/>
      <c r="D34" s="25"/>
      <c r="E34" s="25"/>
      <c r="F34" s="118"/>
      <c r="G34" s="118"/>
      <c r="H34" s="25"/>
      <c r="I34" s="25"/>
      <c r="K34" s="64"/>
      <c r="L34" s="64"/>
      <c r="M34" s="119"/>
      <c r="N34" s="25"/>
      <c r="O34" s="15">
        <f t="shared" si="0"/>
        <v>-2220</v>
      </c>
      <c r="P34" s="25"/>
      <c r="R34" s="64"/>
      <c r="S34" s="81"/>
      <c r="T34" s="69"/>
    </row>
    <row r="35" spans="1:20" x14ac:dyDescent="0.25">
      <c r="A35" s="110"/>
      <c r="B35" s="64"/>
      <c r="C35" s="64"/>
      <c r="D35" s="25"/>
      <c r="E35" s="25"/>
      <c r="F35" s="118"/>
      <c r="G35" s="118"/>
      <c r="H35" s="25"/>
      <c r="I35" s="25"/>
      <c r="K35" s="64"/>
      <c r="L35" s="64"/>
      <c r="M35" s="119"/>
      <c r="N35" s="25"/>
      <c r="O35" s="15">
        <f t="shared" si="0"/>
        <v>-2220</v>
      </c>
      <c r="P35" s="25"/>
      <c r="R35" s="64"/>
      <c r="S35" s="81"/>
      <c r="T35" s="69"/>
    </row>
    <row r="36" spans="1:20" x14ac:dyDescent="0.25">
      <c r="A36" s="110"/>
      <c r="B36" s="64"/>
      <c r="C36" s="64"/>
      <c r="D36" s="25"/>
      <c r="E36" s="25"/>
      <c r="F36" s="118"/>
      <c r="G36" s="118"/>
      <c r="H36" s="25"/>
      <c r="I36" s="25"/>
      <c r="K36" s="64"/>
      <c r="L36" s="64"/>
      <c r="M36" s="119"/>
      <c r="N36" s="25"/>
      <c r="O36" s="15">
        <f t="shared" si="0"/>
        <v>-2220</v>
      </c>
      <c r="P36" s="25"/>
      <c r="R36" s="64"/>
      <c r="S36" s="81"/>
      <c r="T36" s="69"/>
    </row>
    <row r="37" spans="1:20" x14ac:dyDescent="0.25">
      <c r="A37" s="110"/>
      <c r="B37" s="64"/>
      <c r="C37" s="64"/>
      <c r="D37" s="25"/>
      <c r="E37" s="25"/>
      <c r="F37" s="118"/>
      <c r="G37" s="118"/>
      <c r="H37" s="25"/>
      <c r="I37" s="25"/>
      <c r="K37" s="64"/>
      <c r="L37" s="64"/>
      <c r="M37" s="119"/>
      <c r="N37" s="25"/>
      <c r="O37" s="15">
        <f t="shared" si="0"/>
        <v>-2220</v>
      </c>
      <c r="P37" s="25"/>
      <c r="R37" s="64"/>
      <c r="S37" s="81"/>
      <c r="T37" s="69"/>
    </row>
    <row r="38" spans="1:20" x14ac:dyDescent="0.25">
      <c r="A38" s="110"/>
      <c r="B38" s="64"/>
      <c r="C38" s="64"/>
      <c r="D38" s="25"/>
      <c r="E38" s="25"/>
      <c r="F38" s="118"/>
      <c r="G38" s="118"/>
      <c r="H38" s="25"/>
      <c r="I38" s="25"/>
      <c r="K38" s="64"/>
      <c r="L38" s="64"/>
      <c r="M38" s="119"/>
      <c r="N38" s="25"/>
      <c r="O38" s="15">
        <f t="shared" si="0"/>
        <v>-2220</v>
      </c>
      <c r="P38" s="25"/>
      <c r="R38" s="64"/>
      <c r="S38" s="81"/>
      <c r="T38" s="69"/>
    </row>
    <row r="39" spans="1:20" x14ac:dyDescent="0.25">
      <c r="A39" s="110"/>
      <c r="B39" s="64"/>
      <c r="C39" s="64"/>
      <c r="D39" s="25"/>
      <c r="E39" s="25"/>
      <c r="F39" s="118"/>
      <c r="G39" s="118"/>
      <c r="H39" s="25"/>
      <c r="I39" s="25"/>
      <c r="K39" s="64"/>
      <c r="L39" s="64"/>
      <c r="M39" s="119"/>
      <c r="N39" s="25"/>
      <c r="O39" s="15">
        <f t="shared" si="0"/>
        <v>-2220</v>
      </c>
      <c r="P39" s="25"/>
      <c r="R39" s="64"/>
      <c r="S39" s="81"/>
    </row>
    <row r="40" spans="1:20" x14ac:dyDescent="0.25">
      <c r="A40" s="110"/>
      <c r="B40" s="64"/>
      <c r="C40" s="64"/>
      <c r="D40" s="25"/>
      <c r="E40" s="25"/>
      <c r="F40" s="118"/>
      <c r="G40" s="118"/>
      <c r="H40" s="25"/>
      <c r="I40" s="25"/>
      <c r="K40" s="64"/>
      <c r="L40" s="64"/>
      <c r="M40" s="119"/>
      <c r="N40" s="25"/>
      <c r="O40" s="15">
        <f t="shared" si="0"/>
        <v>-2220</v>
      </c>
      <c r="P40" s="25"/>
      <c r="R40" s="64"/>
      <c r="S40" s="81"/>
    </row>
    <row r="41" spans="1:20" x14ac:dyDescent="0.25">
      <c r="A41" s="110"/>
      <c r="B41" s="64"/>
      <c r="C41" s="64"/>
      <c r="D41" s="25"/>
      <c r="E41" s="25"/>
      <c r="F41" s="118"/>
      <c r="G41" s="118"/>
      <c r="H41" s="25"/>
      <c r="I41" s="25"/>
      <c r="K41" s="64"/>
      <c r="L41" s="64"/>
      <c r="M41" s="119"/>
      <c r="N41" s="25"/>
      <c r="O41" s="15">
        <f t="shared" si="0"/>
        <v>-2220</v>
      </c>
      <c r="P41" s="25"/>
      <c r="R41" s="64"/>
      <c r="S41" s="81"/>
    </row>
    <row r="42" spans="1:20" x14ac:dyDescent="0.25">
      <c r="A42" s="110"/>
      <c r="B42" s="64"/>
      <c r="C42" s="64"/>
      <c r="D42" s="25"/>
      <c r="E42" s="25"/>
      <c r="F42" s="118"/>
      <c r="G42" s="118"/>
      <c r="H42" s="25"/>
      <c r="I42" s="25"/>
      <c r="K42" s="64"/>
      <c r="L42" s="64"/>
      <c r="M42" s="119"/>
      <c r="N42" s="25"/>
      <c r="O42" s="15">
        <f t="shared" si="0"/>
        <v>-2220</v>
      </c>
      <c r="P42" s="25"/>
      <c r="R42" s="64"/>
      <c r="S42" s="81"/>
    </row>
    <row r="43" spans="1:20" x14ac:dyDescent="0.25">
      <c r="A43" s="110"/>
      <c r="B43" s="64"/>
      <c r="C43" s="64"/>
      <c r="D43" s="25"/>
      <c r="E43" s="25"/>
      <c r="F43" s="118"/>
      <c r="G43" s="118"/>
      <c r="H43" s="25"/>
      <c r="I43" s="25"/>
      <c r="K43" s="64"/>
      <c r="L43" s="64"/>
      <c r="M43" s="119"/>
      <c r="N43" s="25"/>
      <c r="O43" s="15">
        <f t="shared" si="0"/>
        <v>-2220</v>
      </c>
      <c r="P43" s="25"/>
      <c r="R43" s="64"/>
      <c r="S43" s="81"/>
    </row>
    <row r="44" spans="1:20" x14ac:dyDescent="0.25">
      <c r="A44" s="110"/>
      <c r="B44" s="64"/>
      <c r="C44" s="64"/>
      <c r="D44" s="25"/>
      <c r="E44" s="25"/>
      <c r="F44" s="118"/>
      <c r="G44" s="118"/>
      <c r="H44" s="25"/>
      <c r="I44" s="25"/>
      <c r="K44" s="64"/>
      <c r="L44" s="64"/>
      <c r="M44" s="119"/>
      <c r="N44" s="25"/>
      <c r="O44" s="15">
        <f t="shared" si="0"/>
        <v>-2220</v>
      </c>
      <c r="P44" s="25"/>
      <c r="R44" s="64"/>
      <c r="S44" s="81"/>
    </row>
    <row r="45" spans="1:20" x14ac:dyDescent="0.25">
      <c r="A45" s="110"/>
      <c r="B45" s="64"/>
      <c r="C45" s="64"/>
      <c r="D45" s="25"/>
      <c r="E45" s="25"/>
      <c r="F45" s="118"/>
      <c r="G45" s="118"/>
      <c r="H45" s="25"/>
      <c r="I45" s="25"/>
      <c r="K45" s="64"/>
      <c r="L45" s="64"/>
      <c r="M45" s="119"/>
      <c r="N45" s="25"/>
      <c r="O45" s="15">
        <f t="shared" si="0"/>
        <v>-2220</v>
      </c>
      <c r="P45" s="25"/>
      <c r="R45" s="64"/>
      <c r="S45" s="81"/>
    </row>
    <row r="46" spans="1:20" x14ac:dyDescent="0.25">
      <c r="A46" s="110"/>
      <c r="B46" s="64"/>
      <c r="C46" s="64"/>
      <c r="D46" s="25"/>
      <c r="E46" s="25"/>
      <c r="F46" s="118"/>
      <c r="G46" s="118"/>
      <c r="H46" s="25"/>
      <c r="I46" s="25"/>
      <c r="K46" s="64"/>
      <c r="L46" s="64"/>
      <c r="M46" s="119"/>
      <c r="N46" s="25"/>
      <c r="O46" s="15">
        <f t="shared" si="0"/>
        <v>-2220</v>
      </c>
      <c r="P46" s="25"/>
      <c r="R46" s="64"/>
      <c r="S46" s="81"/>
    </row>
    <row r="47" spans="1:20" x14ac:dyDescent="0.25">
      <c r="A47" s="110"/>
      <c r="B47" s="64"/>
      <c r="C47" s="64"/>
      <c r="D47" s="25"/>
      <c r="E47" s="25"/>
      <c r="F47" s="118"/>
      <c r="G47" s="118"/>
      <c r="H47" s="25"/>
      <c r="I47" s="25"/>
      <c r="K47" s="64"/>
      <c r="L47" s="64"/>
      <c r="M47" s="119"/>
      <c r="N47" s="25"/>
      <c r="O47" s="15">
        <f t="shared" si="0"/>
        <v>-2220</v>
      </c>
      <c r="P47" s="25"/>
      <c r="R47" s="64"/>
      <c r="S47" s="81"/>
    </row>
    <row r="48" spans="1:20" x14ac:dyDescent="0.25">
      <c r="A48" s="110"/>
      <c r="B48" s="64"/>
      <c r="C48" s="64"/>
      <c r="D48" s="25"/>
      <c r="E48" s="25"/>
      <c r="F48" s="118"/>
      <c r="G48" s="118"/>
      <c r="H48" s="25"/>
      <c r="I48" s="25"/>
      <c r="K48" s="64"/>
      <c r="L48" s="64"/>
      <c r="M48" s="119"/>
      <c r="N48" s="25"/>
      <c r="O48" s="15">
        <f t="shared" si="0"/>
        <v>-2220</v>
      </c>
      <c r="P48" s="25"/>
      <c r="R48" s="64"/>
      <c r="S48" s="81"/>
    </row>
    <row r="49" spans="1:19" x14ac:dyDescent="0.25">
      <c r="A49" s="110"/>
      <c r="B49" s="64"/>
      <c r="C49" s="64"/>
      <c r="D49" s="25"/>
      <c r="E49" s="25"/>
      <c r="F49" s="118"/>
      <c r="G49" s="118"/>
      <c r="H49" s="25"/>
      <c r="I49" s="25"/>
      <c r="K49" s="64"/>
      <c r="L49" s="64"/>
      <c r="M49" s="119"/>
      <c r="N49" s="25"/>
      <c r="O49" s="15">
        <f t="shared" si="0"/>
        <v>-2220</v>
      </c>
      <c r="P49" s="25"/>
      <c r="R49" s="64"/>
      <c r="S49" s="81"/>
    </row>
    <row r="50" spans="1:19" x14ac:dyDescent="0.25">
      <c r="A50" s="110"/>
      <c r="B50" s="64"/>
      <c r="C50" s="64"/>
      <c r="D50" s="25"/>
      <c r="E50" s="25"/>
      <c r="F50" s="118"/>
      <c r="G50" s="118"/>
      <c r="H50" s="25"/>
      <c r="I50" s="25"/>
      <c r="K50" s="64"/>
      <c r="L50" s="64"/>
      <c r="M50" s="119"/>
      <c r="N50" s="25"/>
      <c r="O50" s="15">
        <f t="shared" si="0"/>
        <v>-2220</v>
      </c>
      <c r="P50" s="25"/>
      <c r="R50" s="64"/>
      <c r="S50" s="81"/>
    </row>
    <row r="51" spans="1:19" x14ac:dyDescent="0.25">
      <c r="A51" s="110"/>
      <c r="B51" s="64"/>
      <c r="C51" s="64"/>
      <c r="D51" s="25"/>
      <c r="E51" s="25"/>
      <c r="F51" s="118"/>
      <c r="G51" s="118"/>
      <c r="H51" s="25"/>
      <c r="I51" s="25"/>
      <c r="K51" s="64"/>
      <c r="L51" s="64"/>
      <c r="M51" s="119"/>
      <c r="N51" s="25"/>
      <c r="O51" s="15">
        <f t="shared" si="0"/>
        <v>-2220</v>
      </c>
      <c r="P51" s="25"/>
      <c r="R51" s="64"/>
      <c r="S51" s="81"/>
    </row>
    <row r="52" spans="1:19" x14ac:dyDescent="0.25">
      <c r="A52" s="110"/>
      <c r="B52" s="64"/>
      <c r="C52" s="64"/>
      <c r="D52" s="25"/>
      <c r="E52" s="25"/>
      <c r="F52" s="118"/>
      <c r="G52" s="118"/>
      <c r="H52" s="25"/>
      <c r="I52" s="25"/>
      <c r="K52" s="64"/>
      <c r="L52" s="64"/>
      <c r="M52" s="119"/>
      <c r="N52" s="25"/>
      <c r="O52" s="15">
        <f t="shared" si="0"/>
        <v>-2220</v>
      </c>
      <c r="P52" s="25"/>
      <c r="R52" s="64"/>
      <c r="S52" s="81"/>
    </row>
    <row r="53" spans="1:19" x14ac:dyDescent="0.25">
      <c r="A53" s="110"/>
      <c r="B53" s="64"/>
      <c r="C53" s="64"/>
      <c r="D53" s="25"/>
      <c r="E53" s="25"/>
      <c r="F53" s="118"/>
      <c r="G53" s="118"/>
      <c r="H53" s="25"/>
      <c r="I53" s="25"/>
      <c r="K53" s="64"/>
      <c r="L53" s="64"/>
      <c r="M53" s="119"/>
      <c r="N53" s="25"/>
      <c r="O53" s="15">
        <f t="shared" si="0"/>
        <v>-2220</v>
      </c>
      <c r="P53" s="25"/>
      <c r="R53" s="64"/>
      <c r="S53" s="81"/>
    </row>
    <row r="54" spans="1:19" x14ac:dyDescent="0.25">
      <c r="A54" s="110"/>
      <c r="B54" s="64"/>
      <c r="C54" s="64"/>
      <c r="D54" s="25"/>
      <c r="E54" s="25"/>
      <c r="F54" s="118"/>
      <c r="G54" s="118"/>
      <c r="H54" s="25"/>
      <c r="I54" s="25"/>
      <c r="K54" s="64"/>
      <c r="L54" s="64"/>
      <c r="M54" s="119"/>
      <c r="N54" s="25"/>
      <c r="O54" s="15">
        <f t="shared" si="0"/>
        <v>-2220</v>
      </c>
      <c r="P54" s="25"/>
      <c r="R54" s="64"/>
      <c r="S54" s="81"/>
    </row>
    <row r="55" spans="1:19" x14ac:dyDescent="0.25">
      <c r="A55" s="110"/>
      <c r="B55" s="64"/>
      <c r="C55" s="64"/>
      <c r="D55" s="25"/>
      <c r="E55" s="25"/>
      <c r="F55" s="118"/>
      <c r="G55" s="118"/>
      <c r="H55" s="25"/>
      <c r="I55" s="25"/>
      <c r="K55" s="64"/>
      <c r="L55" s="64"/>
      <c r="M55" s="119"/>
      <c r="N55" s="25"/>
      <c r="O55" s="15">
        <f t="shared" si="0"/>
        <v>-2220</v>
      </c>
      <c r="P55" s="25"/>
      <c r="R55" s="64"/>
      <c r="S55" s="81"/>
    </row>
    <row r="56" spans="1:19" x14ac:dyDescent="0.25">
      <c r="A56" s="110"/>
      <c r="B56" s="64"/>
      <c r="C56" s="64"/>
      <c r="D56" s="25"/>
      <c r="E56" s="25"/>
      <c r="F56" s="118"/>
      <c r="G56" s="118"/>
      <c r="H56" s="25"/>
      <c r="I56" s="25"/>
      <c r="K56" s="64"/>
      <c r="L56" s="64"/>
      <c r="M56" s="119"/>
      <c r="N56" s="25"/>
      <c r="O56" s="15">
        <f t="shared" si="0"/>
        <v>-2220</v>
      </c>
      <c r="P56" s="25"/>
      <c r="R56" s="64"/>
      <c r="S56" s="81"/>
    </row>
  </sheetData>
  <mergeCells count="7">
    <mergeCell ref="B6:C6"/>
    <mergeCell ref="B7:D7"/>
    <mergeCell ref="A1:D1"/>
    <mergeCell ref="B2:C2"/>
    <mergeCell ref="B3:C3"/>
    <mergeCell ref="B4:C4"/>
    <mergeCell ref="B5:C5"/>
  </mergeCells>
  <dataValidations count="2">
    <dataValidation type="list" allowBlank="1" showInputMessage="1" showErrorMessage="1" sqref="D17:E56" xr:uid="{00000000-0002-0000-0500-000000000000}">
      <formula1>SnowType</formula1>
      <formula2>0</formula2>
    </dataValidation>
    <dataValidation type="list" allowBlank="1" showInputMessage="1" showErrorMessage="1" sqref="H17:H56" xr:uid="{00000000-0002-0000-0500-000001000000}">
      <formula1>SnowHardness</formula1>
      <formula2>0</formula2>
    </dataValidation>
  </dataValidations>
  <pageMargins left="0.7" right="0.7" top="0.75" bottom="0.75" header="0.51180555555555496" footer="0.51180555555555496"/>
  <pageSetup paperSize="9" firstPageNumber="0" fitToHeight="0"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030A0"/>
    <pageSetUpPr fitToPage="1"/>
  </sheetPr>
  <dimension ref="A1:O27"/>
  <sheetViews>
    <sheetView zoomScaleNormal="100" workbookViewId="0">
      <selection activeCell="F22" sqref="F22"/>
    </sheetView>
  </sheetViews>
  <sheetFormatPr defaultColWidth="8.7109375" defaultRowHeight="15" x14ac:dyDescent="0.25"/>
  <cols>
    <col min="1" max="1" width="22.7109375" customWidth="1"/>
    <col min="2" max="2" width="24.7109375" customWidth="1"/>
    <col min="3" max="3" width="62.28515625" customWidth="1"/>
    <col min="4" max="4" width="14.42578125" customWidth="1"/>
    <col min="5" max="5" width="12.42578125" customWidth="1"/>
    <col min="7" max="15" width="9.140625" style="122" customWidth="1"/>
  </cols>
  <sheetData>
    <row r="1" spans="1:15" s="125" customFormat="1" x14ac:dyDescent="0.25">
      <c r="A1" s="123" t="s">
        <v>209</v>
      </c>
      <c r="B1" s="123" t="s">
        <v>210</v>
      </c>
      <c r="C1" s="123" t="s">
        <v>11</v>
      </c>
      <c r="D1" s="123" t="s">
        <v>211</v>
      </c>
      <c r="E1" s="123" t="s">
        <v>212</v>
      </c>
      <c r="F1" s="123" t="s">
        <v>213</v>
      </c>
      <c r="G1" s="124"/>
      <c r="H1" s="124"/>
      <c r="I1" s="124"/>
      <c r="J1" s="124"/>
      <c r="K1" s="122"/>
      <c r="L1" s="122"/>
      <c r="M1" s="122"/>
      <c r="N1" s="122"/>
      <c r="O1" s="122"/>
    </row>
    <row r="2" spans="1:15" x14ac:dyDescent="0.25">
      <c r="A2" t="s">
        <v>214</v>
      </c>
      <c r="B2" t="s">
        <v>215</v>
      </c>
      <c r="C2" t="s">
        <v>12</v>
      </c>
      <c r="D2" t="s">
        <v>208</v>
      </c>
      <c r="E2" t="s">
        <v>216</v>
      </c>
      <c r="F2" t="s">
        <v>217</v>
      </c>
    </row>
    <row r="3" spans="1:15" x14ac:dyDescent="0.25">
      <c r="A3" t="s">
        <v>218</v>
      </c>
      <c r="B3" t="s">
        <v>219</v>
      </c>
      <c r="C3" t="s">
        <v>220</v>
      </c>
      <c r="D3" t="s">
        <v>202</v>
      </c>
      <c r="E3" t="s">
        <v>221</v>
      </c>
      <c r="F3" t="s">
        <v>149</v>
      </c>
    </row>
    <row r="4" spans="1:15" x14ac:dyDescent="0.25">
      <c r="A4" t="s">
        <v>222</v>
      </c>
      <c r="B4" t="s">
        <v>10</v>
      </c>
      <c r="C4" t="s">
        <v>223</v>
      </c>
      <c r="D4" t="s">
        <v>224</v>
      </c>
      <c r="E4" t="s">
        <v>225</v>
      </c>
    </row>
    <row r="5" spans="1:15" x14ac:dyDescent="0.25">
      <c r="A5" t="s">
        <v>226</v>
      </c>
      <c r="B5" t="s">
        <v>227</v>
      </c>
      <c r="C5" t="s">
        <v>228</v>
      </c>
      <c r="D5" t="s">
        <v>229</v>
      </c>
      <c r="E5" t="s">
        <v>230</v>
      </c>
    </row>
    <row r="6" spans="1:15" x14ac:dyDescent="0.25">
      <c r="A6" t="s">
        <v>231</v>
      </c>
      <c r="C6" t="s">
        <v>232</v>
      </c>
      <c r="D6" t="s">
        <v>233</v>
      </c>
      <c r="E6" t="s">
        <v>206</v>
      </c>
    </row>
    <row r="7" spans="1:15" x14ac:dyDescent="0.25">
      <c r="A7" t="s">
        <v>234</v>
      </c>
      <c r="C7" t="s">
        <v>235</v>
      </c>
      <c r="D7" t="s">
        <v>204</v>
      </c>
      <c r="E7" t="s">
        <v>203</v>
      </c>
    </row>
    <row r="8" spans="1:15" x14ac:dyDescent="0.25">
      <c r="A8" t="s">
        <v>236</v>
      </c>
      <c r="C8" t="s">
        <v>237</v>
      </c>
      <c r="D8" t="s">
        <v>205</v>
      </c>
      <c r="E8" t="s">
        <v>207</v>
      </c>
    </row>
    <row r="9" spans="1:15" x14ac:dyDescent="0.25">
      <c r="A9" t="s">
        <v>238</v>
      </c>
      <c r="C9" t="s">
        <v>239</v>
      </c>
      <c r="D9" t="s">
        <v>240</v>
      </c>
      <c r="E9" t="s">
        <v>201</v>
      </c>
    </row>
    <row r="10" spans="1:15" x14ac:dyDescent="0.25">
      <c r="A10" t="s">
        <v>241</v>
      </c>
      <c r="C10" t="s">
        <v>242</v>
      </c>
      <c r="E10" t="s">
        <v>243</v>
      </c>
    </row>
    <row r="11" spans="1:15" x14ac:dyDescent="0.25">
      <c r="A11" t="s">
        <v>244</v>
      </c>
      <c r="C11" t="s">
        <v>245</v>
      </c>
      <c r="E11" t="s">
        <v>246</v>
      </c>
    </row>
    <row r="12" spans="1:15" x14ac:dyDescent="0.25">
      <c r="A12" t="s">
        <v>247</v>
      </c>
      <c r="C12" t="s">
        <v>248</v>
      </c>
      <c r="E12" t="s">
        <v>249</v>
      </c>
    </row>
    <row r="13" spans="1:15" x14ac:dyDescent="0.25">
      <c r="A13" t="s">
        <v>250</v>
      </c>
      <c r="C13" t="s">
        <v>251</v>
      </c>
      <c r="E13" t="s">
        <v>252</v>
      </c>
    </row>
    <row r="14" spans="1:15" x14ac:dyDescent="0.25">
      <c r="A14" s="125" t="s">
        <v>31</v>
      </c>
      <c r="C14" t="s">
        <v>253</v>
      </c>
    </row>
    <row r="15" spans="1:15" x14ac:dyDescent="0.25">
      <c r="A15" s="125" t="s">
        <v>254</v>
      </c>
      <c r="C15" t="s">
        <v>255</v>
      </c>
    </row>
    <row r="16" spans="1:15" x14ac:dyDescent="0.25">
      <c r="A16" s="125" t="s">
        <v>256</v>
      </c>
      <c r="C16" t="s">
        <v>257</v>
      </c>
    </row>
    <row r="17" spans="1:6" x14ac:dyDescent="0.25">
      <c r="A17" t="s">
        <v>258</v>
      </c>
    </row>
    <row r="18" spans="1:6" x14ac:dyDescent="0.25">
      <c r="A18" t="s">
        <v>259</v>
      </c>
    </row>
    <row r="19" spans="1:6" x14ac:dyDescent="0.25">
      <c r="A19" t="s">
        <v>260</v>
      </c>
    </row>
    <row r="20" spans="1:6" x14ac:dyDescent="0.25">
      <c r="A20" t="s">
        <v>261</v>
      </c>
    </row>
    <row r="21" spans="1:6" x14ac:dyDescent="0.25">
      <c r="A21" t="s">
        <v>262</v>
      </c>
    </row>
    <row r="22" spans="1:6" x14ac:dyDescent="0.25">
      <c r="A22" t="s">
        <v>263</v>
      </c>
    </row>
    <row r="23" spans="1:6" x14ac:dyDescent="0.25">
      <c r="A23" t="s">
        <v>264</v>
      </c>
    </row>
    <row r="24" spans="1:6" x14ac:dyDescent="0.25">
      <c r="A24" t="s">
        <v>265</v>
      </c>
    </row>
    <row r="25" spans="1:6" x14ac:dyDescent="0.25">
      <c r="A25" t="s">
        <v>266</v>
      </c>
    </row>
    <row r="26" spans="1:6" x14ac:dyDescent="0.25">
      <c r="A26" t="s">
        <v>267</v>
      </c>
    </row>
    <row r="27" spans="1:6" x14ac:dyDescent="0.25">
      <c r="F27" s="122"/>
    </row>
  </sheetData>
  <pageMargins left="0.7" right="0.7" top="0.75" bottom="0.75" header="0.51180555555555496" footer="0.51180555555555496"/>
  <pageSetup paperSize="9" firstPageNumber="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19</vt:i4>
      </vt:variant>
    </vt:vector>
  </HeadingPairs>
  <TitlesOfParts>
    <vt:vector size="28" baseType="lpstr">
      <vt:lpstr>Station Overview</vt:lpstr>
      <vt:lpstr>GEM-2</vt:lpstr>
      <vt:lpstr>Thickness Drilling</vt:lpstr>
      <vt:lpstr>Salinity Core</vt:lpstr>
      <vt:lpstr>Temperature Core</vt:lpstr>
      <vt:lpstr>Density Core</vt:lpstr>
      <vt:lpstr>Chemistry Core</vt:lpstr>
      <vt:lpstr>Snow Pit</vt:lpstr>
      <vt:lpstr>Lists</vt:lpstr>
      <vt:lpstr>asdfasdf</vt:lpstr>
      <vt:lpstr>ExpID</vt:lpstr>
      <vt:lpstr>GeneralConditions</vt:lpstr>
      <vt:lpstr>ObsDate</vt:lpstr>
      <vt:lpstr>'Chemistry Core'!Print_Area</vt:lpstr>
      <vt:lpstr>'Density Core'!Print_Area</vt:lpstr>
      <vt:lpstr>'GEM-2'!Print_Area</vt:lpstr>
      <vt:lpstr>'Salinity Core'!Print_Area</vt:lpstr>
      <vt:lpstr>'Snow Pit'!Print_Area</vt:lpstr>
      <vt:lpstr>'Station Overview'!Print_Area</vt:lpstr>
      <vt:lpstr>'Temperature Core'!Print_Area</vt:lpstr>
      <vt:lpstr>'Thickness Drilling'!Print_Area</vt:lpstr>
      <vt:lpstr>SnowHardness</vt:lpstr>
      <vt:lpstr>SnowType</vt:lpstr>
      <vt:lpstr>StationTypes</vt:lpstr>
      <vt:lpstr>StnDay</vt:lpstr>
      <vt:lpstr>StnNum</vt:lpstr>
      <vt:lpstr>TimeZones</vt:lpstr>
      <vt:lpstr>Yes_No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Are Bjørdal</dc:creator>
  <dc:description/>
  <cp:lastModifiedBy>Evgenii Salganik</cp:lastModifiedBy>
  <cp:revision>5</cp:revision>
  <cp:lastPrinted>2011-02-07T12:20:41Z</cp:lastPrinted>
  <dcterms:created xsi:type="dcterms:W3CDTF">2011-01-27T20:27:49Z</dcterms:created>
  <dcterms:modified xsi:type="dcterms:W3CDTF">2026-05-11T12:24:02Z</dcterms:modified>
  <dc:language>fr-FR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y fmtid="{D5CDD505-2E9C-101B-9397-08002B2CF9AE}" pid="8" name="_NewReviewCycle">
    <vt:lpwstr/>
  </property>
  <property fmtid="{D5CDD505-2E9C-101B-9397-08002B2CF9AE}" pid="9" name="contentStatus">
    <vt:lpwstr>Rev. September 2011</vt:lpwstr>
  </property>
</Properties>
</file>