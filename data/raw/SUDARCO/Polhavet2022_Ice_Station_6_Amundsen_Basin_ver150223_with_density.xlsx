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vsalg001\Documents\MATLAB\Density parametrization\SUDARCO\Data\"/>
    </mc:Choice>
  </mc:AlternateContent>
  <xr:revisionPtr revIDLastSave="0" documentId="13_ncr:1_{25A02266-25D4-462A-AEFF-B1B4DE632537}" xr6:coauthVersionLast="47" xr6:coauthVersionMax="47" xr10:uidLastSave="{00000000-0000-0000-0000-000000000000}"/>
  <bookViews>
    <workbookView xWindow="-105" yWindow="0" windowWidth="26010" windowHeight="20985" tabRatio="766" xr2:uid="{00000000-000D-0000-FFFF-FFFF00000000}"/>
  </bookViews>
  <sheets>
    <sheet name="Station Overview" sheetId="1" r:id="rId1"/>
    <sheet name="GEM-2" sheetId="2" r:id="rId2"/>
    <sheet name="Thickness Drilling" sheetId="3" r:id="rId3"/>
    <sheet name="Salinity Core" sheetId="4" r:id="rId4"/>
    <sheet name="Temperature Core" sheetId="15" r:id="rId5"/>
    <sheet name="Archive Core" sheetId="16" r:id="rId6"/>
    <sheet name="Density Core" sheetId="14" r:id="rId7"/>
    <sheet name="Texture Core" sheetId="17" r:id="rId8"/>
    <sheet name="Microplastic core" sheetId="22" r:id="rId9"/>
    <sheet name="Chemistry core" sheetId="18" r:id="rId10"/>
    <sheet name="Snow Pit" sheetId="5" r:id="rId11"/>
    <sheet name="Meltpond" sheetId="20" r:id="rId12"/>
    <sheet name="Under Ice Water" sheetId="21" r:id="rId13"/>
    <sheet name="Floe GPS survey" sheetId="19" r:id="rId14"/>
    <sheet name="CTD" sheetId="12" r:id="rId15"/>
    <sheet name="Lists" sheetId="13" r:id="rId16"/>
  </sheets>
  <externalReferences>
    <externalReference r:id="rId17"/>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5">'Archive Core'!$A$1:$H$46</definedName>
    <definedName name="_xlnm.Print_Area" localSheetId="9">'Chemistry core'!$A$1:$H$46</definedName>
    <definedName name="_xlnm.Print_Area" localSheetId="14">CTD!$A$1:$M$32</definedName>
    <definedName name="_xlnm.Print_Area" localSheetId="6">'Density Core'!$A$1:$I$36</definedName>
    <definedName name="_xlnm.Print_Area" localSheetId="13">'Floe GPS survey'!$A$1:$M$32</definedName>
    <definedName name="_xlnm.Print_Area" localSheetId="1">'GEM-2'!$A$1:$K$27</definedName>
    <definedName name="_xlnm.Print_Area" localSheetId="8">'Microplastic core'!$A$1:$H$46</definedName>
    <definedName name="_xlnm.Print_Area" localSheetId="3">'Salinity Core'!$A$1:$N$41</definedName>
    <definedName name="_xlnm.Print_Area" localSheetId="10">'Snow Pit'!$A$1:$S$48</definedName>
    <definedName name="_xlnm.Print_Area" localSheetId="0">'Station Overview'!$A$1:$F$37</definedName>
    <definedName name="_xlnm.Print_Area" localSheetId="4">'Temperature Core'!$A$1:$H$46</definedName>
    <definedName name="_xlnm.Print_Area" localSheetId="7">'Texture Core'!$A$1:$H$46</definedName>
    <definedName name="_xlnm.Print_Area" localSheetId="2">'Thickness Drilling'!$A$1:$H$26</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9" i="14" l="1"/>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B4" i="22" l="1"/>
  <c r="B2" i="22"/>
  <c r="O18" i="5"/>
  <c r="O17" i="5"/>
  <c r="G20" i="15"/>
  <c r="C34" i="4"/>
  <c r="M19" i="4"/>
  <c r="B4" i="19"/>
  <c r="B2" i="19"/>
  <c r="D20" i="18"/>
  <c r="B4" i="18"/>
  <c r="B2" i="18"/>
  <c r="B4" i="17"/>
  <c r="B2" i="17"/>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B4" i="16"/>
  <c r="B2" i="16"/>
  <c r="B4" i="3" l="1"/>
  <c r="B2" i="3"/>
  <c r="B2" i="15"/>
  <c r="B4" i="15"/>
  <c r="B2" i="2"/>
  <c r="M12" i="4"/>
  <c r="B4" i="14" l="1"/>
  <c r="B2" i="14"/>
  <c r="B4" i="12" l="1"/>
  <c r="B2" i="12"/>
  <c r="B2" i="5"/>
  <c r="B4" i="4"/>
  <c r="B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0F0268-E997-47FF-B388-3C34179CE737}" keepAlive="1" name="Query - 2022-08-05" description="Connection to the '2022-08-05' query in the workbook." type="5" refreshedVersion="0" background="1">
    <dbPr connection="Provider=Microsoft.Mashup.OleDb.1;Data Source=$Workbook$;Location=2022-08-05;Extended Properties=&quot;&quot;" command="SELECT * FROM [2022-08-05]"/>
  </connection>
</connections>
</file>

<file path=xl/sharedStrings.xml><?xml version="1.0" encoding="utf-8"?>
<sst xmlns="http://schemas.openxmlformats.org/spreadsheetml/2006/main" count="749" uniqueCount="485">
  <si>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</si>
  <si>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</si>
  <si>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</si>
  <si>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</si>
  <si>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</si>
  <si>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</si>
  <si>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</si>
  <si>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</si>
  <si>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</si>
  <si>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</si>
  <si>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</si>
  <si>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</si>
  <si>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</si>
  <si>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</si>
  <si>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</si>
  <si>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</si>
  <si>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</si>
  <si>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</si>
  <si>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Snow thickness [cm]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</si>
  <si>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</si>
  <si>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</si>
  <si>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</si>
  <si>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</si>
  <si>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</si>
  <si>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</si>
  <si>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</si>
  <si>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</si>
  <si>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</si>
  <si>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</si>
  <si>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</si>
  <si>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</si>
  <si>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</si>
  <si>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</si>
  <si>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</si>
  <si>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</si>
  <si>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</si>
  <si>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</si>
  <si>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</si>
  <si>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</si>
  <si>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</si>
  <si>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</si>
  <si>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</si>
  <si>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</si>
  <si>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</si>
  <si>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</si>
  <si>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</si>
  <si>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</si>
  <si>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</si>
  <si>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</si>
  <si>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</si>
  <si>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</si>
  <si>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</si>
  <si>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</si>
  <si>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</si>
  <si>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</si>
  <si>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</si>
  <si>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</si>
  <si>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</si>
  <si>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</si>
  <si>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</si>
  <si>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</si>
  <si>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</si>
  <si>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</si>
  <si>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</si>
  <si>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</si>
  <si>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</si>
  <si>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</si>
  <si>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</si>
  <si>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</si>
  <si>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</si>
  <si>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</si>
  <si>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</si>
  <si>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</si>
  <si>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</si>
  <si>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CTD</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</si>
  <si>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</si>
  <si>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</si>
  <si>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</si>
  <si>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</si>
  <si>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</si>
  <si>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</si>
  <si>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</si>
  <si>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</si>
  <si>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</si>
  <si>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</si>
  <si>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</si>
  <si>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</si>
  <si>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</si>
  <si>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</si>
  <si>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</si>
  <si>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</si>
  <si>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</si>
  <si>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</si>
  <si>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</si>
  <si>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</si>
  <si>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</si>
  <si>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</si>
  <si>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</si>
  <si>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</si>
  <si>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</si>
  <si>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</si>
  <si>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</si>
  <si>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</si>
  <si>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</si>
  <si>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</si>
  <si>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</si>
  <si>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</si>
  <si>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</si>
  <si>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</si>
  <si>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</si>
  <si>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</si>
  <si>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</si>
  <si>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</si>
  <si>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</si>
  <si>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</si>
  <si>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</si>
  <si>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</si>
  <si>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</si>
  <si>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</si>
  <si>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</si>
  <si>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</si>
  <si>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</si>
  <si>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</si>
  <si>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t>EM value</t>
  </si>
  <si>
    <t>EM count Start</t>
  </si>
  <si>
    <t>EM count Stop</t>
  </si>
  <si>
    <t>Instrument ID</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</si>
  <si>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</si>
  <si>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</si>
  <si>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</si>
  <si>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</si>
  <si>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</si>
  <si>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</si>
  <si>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</si>
  <si>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</si>
  <si>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</si>
  <si>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</si>
  <si>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Site</t>
  </si>
  <si>
    <t>Thickness bottom to water [cm]</t>
  </si>
  <si>
    <t>Thickness bottom to ice surface [cm]</t>
  </si>
  <si>
    <t>Thickness bottom to snow surface [cm]</t>
  </si>
  <si>
    <t>Freeboard [cm]</t>
  </si>
  <si>
    <t>Ice thickness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</si>
  <si>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</si>
  <si>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</si>
  <si>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</si>
  <si>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</si>
  <si>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</si>
  <si>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</si>
  <si>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</si>
  <si>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</si>
  <si>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</si>
  <si>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</si>
  <si>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</si>
  <si>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</si>
  <si>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</si>
  <si>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</si>
  <si>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</si>
  <si>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</si>
  <si>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</si>
  <si>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</si>
  <si>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GPS Track File Name</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</si>
  <si>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</si>
  <si>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</si>
  <si>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</si>
  <si>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</si>
  <si>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</si>
  <si>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</si>
  <si>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</si>
  <si>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</si>
  <si>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</si>
  <si>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</si>
  <si>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</si>
  <si>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</si>
  <si>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</si>
  <si>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</si>
  <si>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</si>
  <si>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</si>
  <si>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</si>
  <si>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</si>
  <si>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Ice depth (from top) [cm]</t>
  </si>
  <si>
    <t>Epsilon value</t>
  </si>
  <si>
    <t>Archive Core</t>
  </si>
  <si>
    <t>Original weight [g]</t>
  </si>
  <si>
    <t>Snow Density [g/cm³]</t>
  </si>
  <si>
    <t>GEM-2 File Names</t>
  </si>
  <si>
    <t>Polhavet2022</t>
  </si>
  <si>
    <t>DD</t>
  </si>
  <si>
    <t>DD, BR</t>
  </si>
  <si>
    <t>transect on ice station floe</t>
  </si>
  <si>
    <t>see respective GPS files from GEM2 in the folder</t>
  </si>
  <si>
    <t>section 1 ends</t>
  </si>
  <si>
    <t>B01</t>
  </si>
  <si>
    <t>B02</t>
  </si>
  <si>
    <t>B03</t>
  </si>
  <si>
    <t>B04</t>
  </si>
  <si>
    <t>B05</t>
  </si>
  <si>
    <t>B06</t>
  </si>
  <si>
    <t>B07</t>
  </si>
  <si>
    <t>B08</t>
  </si>
  <si>
    <t>B09</t>
  </si>
  <si>
    <t>B10</t>
  </si>
  <si>
    <t>B11</t>
  </si>
  <si>
    <t>B12</t>
  </si>
  <si>
    <t>B13</t>
  </si>
  <si>
    <t>B14</t>
  </si>
  <si>
    <t>B15</t>
  </si>
  <si>
    <t>B16</t>
  </si>
  <si>
    <t>B19</t>
  </si>
  <si>
    <t>B20</t>
  </si>
  <si>
    <t>B21</t>
  </si>
  <si>
    <t>B22</t>
  </si>
  <si>
    <t>B23</t>
  </si>
  <si>
    <t>B24</t>
  </si>
  <si>
    <t>B25</t>
  </si>
  <si>
    <t>B26</t>
  </si>
  <si>
    <t>B27</t>
  </si>
  <si>
    <t>B28</t>
  </si>
  <si>
    <t>B29</t>
  </si>
  <si>
    <t>B30</t>
  </si>
  <si>
    <t>B31</t>
  </si>
  <si>
    <t>B32</t>
  </si>
  <si>
    <t>B33</t>
  </si>
  <si>
    <t>main coring site</t>
  </si>
  <si>
    <t>GEM-2 and Magna Probe</t>
  </si>
  <si>
    <t>KPH</t>
  </si>
  <si>
    <t>point 1</t>
  </si>
  <si>
    <t>point 4</t>
  </si>
  <si>
    <t>point 2</t>
  </si>
  <si>
    <t>point 3</t>
  </si>
  <si>
    <t>point 5</t>
  </si>
  <si>
    <t>Calibration points relative to KPH</t>
  </si>
  <si>
    <t>see data folders for GEM-2 for callibrations and transect files</t>
  </si>
  <si>
    <t>next to GEM-2 callibrations site</t>
  </si>
  <si>
    <t>cutter weight</t>
  </si>
  <si>
    <t>Texture Core</t>
  </si>
  <si>
    <t>Chemistry Core</t>
  </si>
  <si>
    <t>Floe GPS survey</t>
  </si>
  <si>
    <t>GPS survey of the floe. GPS tracker "ST" was on troughout the survey (see file C:\Users\dima\Documents\reiser\Polhavet2022\Ice stations\Station 1 North Pole\GPSdata\handheldGPS_station_tracker) for the data; Survey conducted with a scooter Garmin from the OLA. FIle Waypoints_30-JUL-22.gpx in C:\Users\dima\Documents\reiser\Polhavet2022\Ice stations\Station 1 North Pole\GPSdata\tracker_floe_survey</t>
  </si>
  <si>
    <t>location</t>
  </si>
  <si>
    <t>gangway</t>
  </si>
  <si>
    <t>MSS hole</t>
  </si>
  <si>
    <t>coring site</t>
  </si>
  <si>
    <t>optics site</t>
  </si>
  <si>
    <t>Monster (AFZP) and meteomast</t>
  </si>
  <si>
    <t>SIMBA UIT0204 and light buoy LTITO1</t>
  </si>
  <si>
    <t>SIMBA UIT0202 and light buoy LTITO2</t>
  </si>
  <si>
    <t>eddy covariance</t>
  </si>
  <si>
    <t>Opus sensor nitrate</t>
  </si>
  <si>
    <t>Suna sensor nitrate</t>
  </si>
  <si>
    <t>Nortek ADCP 500</t>
  </si>
  <si>
    <t>ROV floe edge</t>
  </si>
  <si>
    <t>gem2-531</t>
  </si>
  <si>
    <t>DD, BR,Shelby</t>
  </si>
  <si>
    <t>DD, BR, Shelby</t>
  </si>
  <si>
    <t>ice thickness in depression between melt ponds</t>
  </si>
  <si>
    <t>melt pond, refrozen surface</t>
  </si>
  <si>
    <t>level ice</t>
  </si>
  <si>
    <t>backup coring site closer to KPH</t>
  </si>
  <si>
    <t>C5</t>
  </si>
  <si>
    <t>C6</t>
  </si>
  <si>
    <t>C7</t>
  </si>
  <si>
    <t>C8</t>
  </si>
  <si>
    <t>C9</t>
  </si>
  <si>
    <t>C10</t>
  </si>
  <si>
    <t>section 2 starts, 2 melt ponds B17 and B18 discarded; slush, not ice</t>
  </si>
  <si>
    <t>skeletal layer about 1 cm</t>
  </si>
  <si>
    <t>breaks at 19 and 56; voids between 75-80 cm depth</t>
  </si>
  <si>
    <t>coring site coordinates at 13:14 N 86.51615; W 5.52469</t>
  </si>
  <si>
    <t>sec1 ends</t>
  </si>
  <si>
    <t>sec2 starts</t>
  </si>
  <si>
    <t>bottom</t>
  </si>
  <si>
    <t>T water ship -1.3</t>
  </si>
  <si>
    <t>bubbles 0-25 cm</t>
  </si>
  <si>
    <t>bubbles 0-34 cm</t>
  </si>
  <si>
    <t>Note from Shelby: she is too good at coring :)</t>
  </si>
  <si>
    <t>Borehole water temperature measured some 10 minutes after the core recovery, hole full of slush. Better use ships based water temperature of -1.3; agrees with core bottom T.  Core bagged as archive core. Gauge with zero offset used</t>
  </si>
  <si>
    <t>Gauge with zero offset used. Bagged for analysis</t>
  </si>
  <si>
    <t>ex T-core bagged as Archive core; Gauge with zero offset used.</t>
  </si>
  <si>
    <t>bagged for analysis; gauge with zero offset</t>
  </si>
  <si>
    <t xml:space="preserve">recovered 79.5 cm piece, bottom part from section 1 added to make 93 cm in total </t>
  </si>
  <si>
    <t xml:space="preserve">recovered 108.5; break at 19 cm. Cut down to 95 cm to fit the box. </t>
  </si>
  <si>
    <t>bagged for analysis; to be processed onboard during the cruise.</t>
  </si>
  <si>
    <t>06.08.2022</t>
  </si>
  <si>
    <t>coordinates N 86.49732 W 5.19034</t>
  </si>
  <si>
    <t>Snow pit next to the ice coring site. Snow thickness is very variable, was 9 cm at the pit location. Two snow layers, one more loose at the top and one harder at the bottom. IN both cases the snow crystal of type IV-A, melt forms, but they are bigger and looks more refrozen in the bottom layer. See photos of the pit. Weather: thick fog, wind some 4-5 m/sec; warm.</t>
  </si>
  <si>
    <t>IN both layers snow crystals of type IV-A, melt forms, but they are bigger and looks more refrozen in the bottom laye</t>
  </si>
  <si>
    <t>measured from the ship</t>
  </si>
  <si>
    <t>not conducted</t>
  </si>
  <si>
    <t>DD, BR, OAM</t>
  </si>
  <si>
    <t>W</t>
  </si>
  <si>
    <t xml:space="preserve">calibr. point 1 main bottom </t>
  </si>
  <si>
    <t xml:space="preserve">calibr. point 1 false bottom </t>
  </si>
  <si>
    <t xml:space="preserve">calibr. point 2 main bottom </t>
  </si>
  <si>
    <t xml:space="preserve">calibr. point 2 false bottom </t>
  </si>
  <si>
    <t xml:space="preserve">calibr. point 3 main bottom </t>
  </si>
  <si>
    <t xml:space="preserve">calibr. point 3 false bottom </t>
  </si>
  <si>
    <t xml:space="preserve">calibr. point 4 main bottom </t>
  </si>
  <si>
    <t xml:space="preserve">calibr. point 4 false bottom </t>
  </si>
  <si>
    <t xml:space="preserve">calibr. point 5 main bottom </t>
  </si>
  <si>
    <t xml:space="preserve">calibr. point 5 false bottom </t>
  </si>
  <si>
    <t>false bottom top at 170 cm relative to ice snow interface</t>
  </si>
  <si>
    <t>false bottom top at 173 cm relative to ice snow interface</t>
  </si>
  <si>
    <t>false bottom top at 171 cm relative to ice snow interface</t>
  </si>
  <si>
    <t>gauge with zero offset used. Note false bottom on GEM-2 callibration site. GEM-2 callibration site cleaned of snow. Top of false bottom measured by letting the thickness gauge to rest on its surface; consider subtracting 1 cm to account for the lack of tension in the gauge tape. False bottom thickness about 12 cm</t>
  </si>
  <si>
    <t>false bottom top at 169 cm relative to ice snow interface</t>
  </si>
  <si>
    <t>Offset between the real bottom and false bottom is about 15 cm ;  false bottom thickness about 12 cm</t>
  </si>
  <si>
    <t>false bottom top at 168 cm relative to ice snow interface</t>
  </si>
  <si>
    <t>UTC, transect start; based on "station" GPS handheld tracker; see respective GPS files  ; tracking ends 15:18. Tracker was kept at the starting point during the transect work/callibration</t>
  </si>
  <si>
    <t>waypoint 94 GPS tracker transect starts</t>
  </si>
  <si>
    <t xml:space="preserve">GPS files: Waypoints_06-AUG-22.gpx; Current.gpx; 2022-08-05 13.11.03 Day.gpx; will contain the 2 waypoints for the tracker and a floe track between 13:15 and 15:18 UTC of 06.08.2022 </t>
  </si>
  <si>
    <t>mark 1 (GEM2 marks below) small ridge</t>
  </si>
  <si>
    <t>mark 2 pond</t>
  </si>
  <si>
    <t>mark 3 pond crossing</t>
  </si>
  <si>
    <t>mark 4 pond crossing</t>
  </si>
  <si>
    <t>mark 5 turn point</t>
  </si>
  <si>
    <t>mark 6 pond</t>
  </si>
  <si>
    <t>GEM2 transect along the ship in both directions; one line across towards the ridge (see station map) and along the instrumnet sites. One aditional transect in front of the ship, no MP. The last segment the GOPRO was installed on the instrumnet, observations jammed. See "callibration heights" file and "thickness drillings" spreadsheet for details on the callibration. Melt ponds mainly refrozen on the surface, with some refrozen melted snow sometimes.</t>
  </si>
  <si>
    <t>mark 7 pond</t>
  </si>
  <si>
    <t>makr 8 pond</t>
  </si>
  <si>
    <t>mark 9 ice ridge</t>
  </si>
  <si>
    <t>mark 10 oceanographic site (passed by all 4 larger holes)</t>
  </si>
  <si>
    <t>mark 12 ROV transect point 2</t>
  </si>
  <si>
    <t>mark 11 ROV transect towards UHI survey site N2 starts (at woden pole next to ROV hole), aka "Ben's transect"</t>
  </si>
  <si>
    <t>mark 13 ROV transect point 3</t>
  </si>
  <si>
    <t>mark 14 ROV transect point 4</t>
  </si>
  <si>
    <t>mark 15 UHI tripod point 5 ; were quite close to the tripod, so GEM2 readings can be disturbed</t>
  </si>
  <si>
    <t>mark 16 ice coring</t>
  </si>
  <si>
    <t>Survey closed</t>
  </si>
  <si>
    <t>PH22-AB-DO18-1</t>
  </si>
  <si>
    <t>d18O vial number</t>
  </si>
  <si>
    <t>Station on SYI; large ice floe about 1.2 km size. Station some 500 m from the edge. See radar images and station overview (physics) in the station data folder</t>
  </si>
  <si>
    <t>snow bulk</t>
  </si>
  <si>
    <t>PH22-AB-DO18-2</t>
  </si>
  <si>
    <t>PH22-AB-DO18-3</t>
  </si>
  <si>
    <t>PH22-AB-DO18-4</t>
  </si>
  <si>
    <t>PH22-AB-DO18-5</t>
  </si>
  <si>
    <t>PH22-AB-DO18-6</t>
  </si>
  <si>
    <t>PH22-AB-DO18-7</t>
  </si>
  <si>
    <t>PH22-AB-DO18-8</t>
  </si>
  <si>
    <t>PH22-AB-DO18-9</t>
  </si>
  <si>
    <t>PH22-AB-DO18-10</t>
  </si>
  <si>
    <t>PH22-AB-DO18-11</t>
  </si>
  <si>
    <t>PH22-AB-DO18-12</t>
  </si>
  <si>
    <t>PH22-AB-DO18-13</t>
  </si>
  <si>
    <t>PH22-AB-DO18-14</t>
  </si>
  <si>
    <t>PH22-AB-DO18-15</t>
  </si>
  <si>
    <t>PH22-AB-DO18-16</t>
  </si>
  <si>
    <t>PH22-AB-DO18-17</t>
  </si>
  <si>
    <t>PH22-AB-DO18-18</t>
  </si>
  <si>
    <t>PH22-AB-DO18-19</t>
  </si>
  <si>
    <t>PH22-AB-DO18-20</t>
  </si>
  <si>
    <t>PH22-AB-DO18-21</t>
  </si>
  <si>
    <t>PH22-AB-DO18-22</t>
  </si>
  <si>
    <t>PH22-AB-DO18-23</t>
  </si>
  <si>
    <t>PH22-AB-DO18-24</t>
  </si>
  <si>
    <t>PH22-AB-DO18-25</t>
  </si>
  <si>
    <t>PH22-AB-DO18-26</t>
  </si>
  <si>
    <t>PH22-AB-DO18-27</t>
  </si>
  <si>
    <t>PH22-AB-DO18-28</t>
  </si>
  <si>
    <t>PH22-AB-DO18-29</t>
  </si>
  <si>
    <t>PH22-AB-DO18-30</t>
  </si>
  <si>
    <t>PH22-AB-DO18-31</t>
  </si>
  <si>
    <t>PH22-AB-DO18-32</t>
  </si>
  <si>
    <t>PH22-AB-DO18-33</t>
  </si>
  <si>
    <t>PH22-AB-DO18-34</t>
  </si>
  <si>
    <t>PH22-AB-DO18-35</t>
  </si>
  <si>
    <t>PH22-AB-DO18-36</t>
  </si>
  <si>
    <t>PH22-AB-DO18-37</t>
  </si>
  <si>
    <t>PH22-AB-DO18-38</t>
  </si>
  <si>
    <t xml:space="preserve">Gauge with zero offset used. Melt pots B17 and B18 were not with ice but slush layers compacted during the coring; discarded and not used in the count/analysis. </t>
  </si>
  <si>
    <t>Meltpond Number</t>
  </si>
  <si>
    <t>0.3</t>
  </si>
  <si>
    <r>
      <rPr>
        <b/>
        <sz val="11"/>
        <color theme="1"/>
        <rFont val="Calibri"/>
        <family val="2"/>
        <scheme val="minor"/>
      </rPr>
      <t>Observer</t>
    </r>
    <r>
      <rPr>
        <sz val="11"/>
        <color theme="1"/>
        <rFont val="Calibri"/>
        <family val="2"/>
        <scheme val="minor"/>
      </rPr>
      <t>: BR</t>
    </r>
  </si>
  <si>
    <t>Temperature [degC]</t>
  </si>
  <si>
    <t>-0.1</t>
  </si>
  <si>
    <t>0</t>
  </si>
  <si>
    <r>
      <rPr>
        <b/>
        <sz val="11"/>
        <color theme="1"/>
        <rFont val="Calibri"/>
        <family val="2"/>
        <scheme val="minor"/>
      </rPr>
      <t>Date</t>
    </r>
    <r>
      <rPr>
        <sz val="11"/>
        <color theme="1"/>
        <rFont val="Calibri"/>
        <family val="2"/>
        <scheme val="minor"/>
      </rPr>
      <t>: 05.08.2022</t>
    </r>
  </si>
  <si>
    <r>
      <rPr>
        <b/>
        <sz val="11"/>
        <color theme="1"/>
        <rFont val="Calibri"/>
        <family val="2"/>
        <scheme val="minor"/>
      </rPr>
      <t>Start time (UTC)</t>
    </r>
    <r>
      <rPr>
        <sz val="11"/>
        <color theme="1"/>
        <rFont val="Calibri"/>
        <family val="2"/>
        <scheme val="minor"/>
      </rPr>
      <t>: 07:46</t>
    </r>
  </si>
  <si>
    <t>0.4</t>
  </si>
  <si>
    <t>LAT</t>
  </si>
  <si>
    <t>LON</t>
  </si>
  <si>
    <r>
      <t>86</t>
    </r>
    <r>
      <rPr>
        <sz val="11"/>
        <color theme="1"/>
        <rFont val="Calibri"/>
        <family val="2"/>
      </rPr>
      <t>° 31.353'</t>
    </r>
  </si>
  <si>
    <r>
      <t>005</t>
    </r>
    <r>
      <rPr>
        <sz val="11"/>
        <color theme="1"/>
        <rFont val="Calibri"/>
        <family val="2"/>
      </rPr>
      <t>° 34.233'</t>
    </r>
  </si>
  <si>
    <r>
      <t>86</t>
    </r>
    <r>
      <rPr>
        <sz val="11"/>
        <color theme="1"/>
        <rFont val="Calibri"/>
        <family val="2"/>
      </rPr>
      <t>°</t>
    </r>
    <r>
      <rPr>
        <sz val="11"/>
        <color theme="1"/>
        <rFont val="Calibri"/>
        <family val="2"/>
        <scheme val="minor"/>
      </rPr>
      <t xml:space="preserve"> 31.317'</t>
    </r>
  </si>
  <si>
    <r>
      <t>005</t>
    </r>
    <r>
      <rPr>
        <sz val="11"/>
        <color theme="1"/>
        <rFont val="Calibri"/>
        <family val="2"/>
      </rPr>
      <t>°</t>
    </r>
    <r>
      <rPr>
        <sz val="11"/>
        <color theme="1"/>
        <rFont val="Calibri"/>
        <family val="2"/>
        <scheme val="minor"/>
      </rPr>
      <t xml:space="preserve"> 34.512'</t>
    </r>
  </si>
  <si>
    <r>
      <t>86</t>
    </r>
    <r>
      <rPr>
        <sz val="11"/>
        <color theme="1"/>
        <rFont val="Calibri"/>
        <family val="2"/>
      </rPr>
      <t>°</t>
    </r>
    <r>
      <rPr>
        <sz val="11"/>
        <color theme="1"/>
        <rFont val="Calibri"/>
        <family val="2"/>
        <scheme val="minor"/>
      </rPr>
      <t xml:space="preserve"> 31.288'</t>
    </r>
  </si>
  <si>
    <r>
      <t>005</t>
    </r>
    <r>
      <rPr>
        <sz val="11"/>
        <color theme="1"/>
        <rFont val="Calibri"/>
        <family val="2"/>
      </rPr>
      <t>°</t>
    </r>
    <r>
      <rPr>
        <sz val="11"/>
        <color theme="1"/>
        <rFont val="Calibri"/>
        <family val="2"/>
        <scheme val="minor"/>
      </rPr>
      <t xml:space="preserve"> 34.750'</t>
    </r>
  </si>
  <si>
    <r>
      <t>86</t>
    </r>
    <r>
      <rPr>
        <sz val="11"/>
        <color theme="1"/>
        <rFont val="Calibri"/>
        <family val="2"/>
      </rPr>
      <t>°</t>
    </r>
    <r>
      <rPr>
        <sz val="11"/>
        <color theme="1"/>
        <rFont val="Calibri"/>
        <family val="2"/>
        <scheme val="minor"/>
      </rPr>
      <t xml:space="preserve"> 31.279'</t>
    </r>
  </si>
  <si>
    <r>
      <t>005</t>
    </r>
    <r>
      <rPr>
        <sz val="11"/>
        <color theme="1"/>
        <rFont val="Calibri"/>
        <family val="2"/>
      </rPr>
      <t>°</t>
    </r>
    <r>
      <rPr>
        <sz val="11"/>
        <color theme="1"/>
        <rFont val="Calibri"/>
        <family val="2"/>
        <scheme val="minor"/>
      </rPr>
      <t xml:space="preserve"> 34.907'</t>
    </r>
  </si>
  <si>
    <t>ID (AT,d18O, Nutrients)</t>
  </si>
  <si>
    <r>
      <t>86.51218</t>
    </r>
    <r>
      <rPr>
        <sz val="11"/>
        <color theme="1"/>
        <rFont val="Calibri"/>
        <family val="2"/>
      </rPr>
      <t>°</t>
    </r>
  </si>
  <si>
    <r>
      <t>005.48677</t>
    </r>
    <r>
      <rPr>
        <sz val="11"/>
        <color theme="1"/>
        <rFont val="Calibri"/>
        <family val="2"/>
      </rPr>
      <t>°</t>
    </r>
  </si>
  <si>
    <t>29.1</t>
  </si>
  <si>
    <t>-1.0</t>
  </si>
  <si>
    <t>29.2</t>
  </si>
  <si>
    <t>-1.2</t>
  </si>
  <si>
    <t>-1.3</t>
  </si>
  <si>
    <t>29.5</t>
  </si>
  <si>
    <t>-1.4</t>
  </si>
  <si>
    <t>31.3</t>
  </si>
  <si>
    <t>-1.5</t>
  </si>
  <si>
    <r>
      <rPr>
        <b/>
        <sz val="11"/>
        <color theme="1"/>
        <rFont val="Calibri"/>
        <family val="2"/>
        <scheme val="minor"/>
      </rPr>
      <t>Observer</t>
    </r>
    <r>
      <rPr>
        <sz val="11"/>
        <color theme="1"/>
        <rFont val="Calibri"/>
        <family val="2"/>
        <scheme val="minor"/>
      </rPr>
      <t>: Karley Campbell</t>
    </r>
  </si>
  <si>
    <r>
      <rPr>
        <b/>
        <sz val="11"/>
        <color theme="1"/>
        <rFont val="Calibri"/>
        <family val="2"/>
        <scheme val="minor"/>
      </rPr>
      <t>Start time (UTC)</t>
    </r>
    <r>
      <rPr>
        <sz val="11"/>
        <color theme="1"/>
        <rFont val="Calibri"/>
        <family val="2"/>
        <scheme val="minor"/>
      </rPr>
      <t>: 15:00</t>
    </r>
  </si>
  <si>
    <t>Under Ice Water Depth</t>
  </si>
  <si>
    <t>ice-water interface</t>
  </si>
  <si>
    <t>1m</t>
  </si>
  <si>
    <t>5m</t>
  </si>
  <si>
    <t>10m</t>
  </si>
  <si>
    <t>25m</t>
  </si>
  <si>
    <r>
      <rPr>
        <b/>
        <sz val="11"/>
        <color theme="1"/>
        <rFont val="Calibri"/>
        <family val="2"/>
        <scheme val="minor"/>
      </rPr>
      <t>Location</t>
    </r>
    <r>
      <rPr>
        <sz val="11"/>
        <color theme="1"/>
        <rFont val="Calibri"/>
        <family val="2"/>
        <scheme val="minor"/>
      </rPr>
      <t>: next to coring site</t>
    </r>
  </si>
  <si>
    <t>comment: two snow samples (0-2cm, 2-7cm layer) were also sampled for DIC, nutrients and d18O analysis (IMR,NPI)</t>
  </si>
  <si>
    <t>20 cm</t>
  </si>
  <si>
    <t>30 cm</t>
  </si>
  <si>
    <t>40 cm</t>
  </si>
  <si>
    <t>50 cm</t>
  </si>
  <si>
    <t>60 cm</t>
  </si>
  <si>
    <t>68.5 cm</t>
  </si>
  <si>
    <t>68.5</t>
  </si>
  <si>
    <t>117 cm</t>
  </si>
  <si>
    <t>127 cm</t>
  </si>
  <si>
    <t>137 cm</t>
  </si>
  <si>
    <t>147 cm</t>
  </si>
  <si>
    <t>157 cm</t>
  </si>
  <si>
    <t>167 cm</t>
  </si>
  <si>
    <t>175.5 cm</t>
  </si>
  <si>
    <t>184 cm</t>
  </si>
  <si>
    <t>175.5</t>
  </si>
  <si>
    <t>castaway ctd</t>
  </si>
  <si>
    <t>interface</t>
  </si>
  <si>
    <t>1 m</t>
  </si>
  <si>
    <t>5 m</t>
  </si>
  <si>
    <t>10 m</t>
  </si>
  <si>
    <t>T</t>
  </si>
  <si>
    <t>S</t>
  </si>
  <si>
    <t>Cond</t>
  </si>
  <si>
    <t>can be used for GEM-2 callibration settings</t>
  </si>
  <si>
    <t>Microplastic core</t>
  </si>
  <si>
    <t xml:space="preserve">Weight in the air [g] </t>
  </si>
  <si>
    <t xml:space="preserve">Weight in the parafine [g] </t>
  </si>
  <si>
    <t>salinity bag</t>
  </si>
  <si>
    <t>Mean depth [cm]</t>
  </si>
  <si>
    <r>
      <t>Density [g/cm</t>
    </r>
    <r>
      <rPr>
        <b/>
        <sz val="11"/>
        <color theme="1"/>
        <rFont val="Calibri"/>
        <family val="2"/>
      </rPr>
      <t>³]</t>
    </r>
  </si>
  <si>
    <t>temperature lab</t>
  </si>
  <si>
    <t>density parafine</t>
  </si>
  <si>
    <t>section 1</t>
  </si>
  <si>
    <t>section 2</t>
  </si>
  <si>
    <t>section2 starts, note change in parafine density</t>
  </si>
  <si>
    <t>a bit of bubbles leaking during weighing in parafine</t>
  </si>
  <si>
    <t>C2</t>
  </si>
  <si>
    <t>C3</t>
  </si>
  <si>
    <t>C4</t>
  </si>
  <si>
    <t>C11</t>
  </si>
  <si>
    <t>C12</t>
  </si>
  <si>
    <t>C13</t>
  </si>
  <si>
    <t>C14</t>
  </si>
  <si>
    <t>C15</t>
  </si>
  <si>
    <t>C16</t>
  </si>
  <si>
    <t>C17</t>
  </si>
  <si>
    <t>C18</t>
  </si>
  <si>
    <t>C19</t>
  </si>
  <si>
    <t>J17</t>
  </si>
  <si>
    <t>C1</t>
  </si>
  <si>
    <t>J1</t>
  </si>
  <si>
    <t>J2</t>
  </si>
  <si>
    <t>J5</t>
  </si>
  <si>
    <t>J9</t>
  </si>
  <si>
    <t>J3</t>
  </si>
  <si>
    <t>J8</t>
  </si>
  <si>
    <t>J7</t>
  </si>
  <si>
    <t>J6</t>
  </si>
  <si>
    <t>J4</t>
  </si>
  <si>
    <t>J10</t>
  </si>
  <si>
    <t>J11</t>
  </si>
  <si>
    <t>J12</t>
  </si>
  <si>
    <t>J13</t>
  </si>
  <si>
    <t>J14</t>
  </si>
  <si>
    <t>J15</t>
  </si>
  <si>
    <t>J16</t>
  </si>
  <si>
    <t>J18</t>
  </si>
  <si>
    <t>bubbles  during weighing in parafine (and voids inside); some brine leaked from the core and froze in the bag along the entire core section</t>
  </si>
  <si>
    <t>bubbles</t>
  </si>
  <si>
    <t>piece floats (only a bit on the very surface</t>
  </si>
  <si>
    <t>2 pieces (break), not sure if density is correct (seems did not weight small piece in parafine)</t>
  </si>
  <si>
    <t>05.08.2022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</si>
</sst>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0&quot; cm²&quot;"/>
    <numFmt numFmtId="176" formatCode="0.0&quot; mm&quot;"/>
    <numFmt numFmtId="177" formatCode="0.0&quot; cm&quot;"/>
    <numFmt numFmtId="178" formatCode="dd/mm/yy;@"/>
  </numFmts>
  <fonts count="17"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FF00"/>
        <bgColor indexed="64"/>
      </patternFill>
    </fill>
  </fills>
  <borders count="4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8" applyNumberFormat="0" applyAlignment="0" applyProtection="0"/>
    <xf numFmtId="164" fontId="14" fillId="0" borderId="0" applyFont="0" applyFill="0" applyBorder="0" applyAlignment="0" applyProtection="0"/>
  </cellStyleXfs>
  <cellXfs count="235">
    <xf numFmtId="0" fontId="0" fillId="0" borderId="0" xfId="0"/>
    <xf numFmtId="0" fontId="3" fillId="0" borderId="0" xfId="0" applyFont="1"/>
    <xf numFmtId="49" fontId="0" fillId="0" borderId="0" xfId="0" applyNumberFormat="1"/>
    <xf numFmtId="0" fontId="8" fillId="4" borderId="8" xfId="2"/>
    <xf numFmtId="0" fontId="5" fillId="3" borderId="9" xfId="0" applyFont="1" applyFill="1" applyBorder="1"/>
    <xf numFmtId="0" fontId="5" fillId="3" borderId="10" xfId="0" applyFont="1" applyFill="1" applyBorder="1"/>
    <xf numFmtId="0" fontId="5" fillId="3" borderId="9" xfId="0" applyFont="1" applyFill="1" applyBorder="1" applyAlignment="1">
      <alignment vertical="top"/>
    </xf>
    <xf numFmtId="0" fontId="0" fillId="3" borderId="9" xfId="0" applyFill="1" applyBorder="1"/>
    <xf numFmtId="167" fontId="0" fillId="3" borderId="9" xfId="0" applyNumberFormat="1" applyFill="1" applyBorder="1"/>
    <xf numFmtId="0" fontId="0" fillId="3" borderId="11" xfId="0" applyFill="1" applyBorder="1"/>
    <xf numFmtId="0" fontId="3" fillId="3" borderId="9" xfId="0" applyFont="1" applyFill="1" applyBorder="1" applyAlignment="1">
      <alignment horizontal="center" wrapText="1"/>
    </xf>
    <xf numFmtId="49" fontId="0" fillId="3" borderId="15" xfId="0" applyNumberFormat="1" applyFill="1" applyBorder="1" applyAlignment="1">
      <alignment wrapText="1"/>
    </xf>
    <xf numFmtId="49" fontId="0" fillId="3" borderId="17" xfId="0" applyNumberFormat="1" applyFill="1" applyBorder="1" applyAlignment="1">
      <alignment wrapText="1"/>
    </xf>
    <xf numFmtId="49" fontId="0" fillId="3" borderId="20" xfId="0" applyNumberFormat="1" applyFill="1" applyBorder="1" applyAlignment="1">
      <alignment wrapText="1"/>
    </xf>
    <xf numFmtId="0" fontId="3" fillId="3" borderId="24" xfId="0" applyFont="1" applyFill="1" applyBorder="1" applyAlignment="1">
      <alignment vertical="top" wrapText="1"/>
    </xf>
    <xf numFmtId="0" fontId="0" fillId="3" borderId="12" xfId="0" applyFill="1" applyBorder="1"/>
    <xf numFmtId="0" fontId="0" fillId="3" borderId="15" xfId="0" applyFill="1" applyBorder="1"/>
    <xf numFmtId="0" fontId="0" fillId="3" borderId="21" xfId="0" applyFill="1" applyBorder="1"/>
    <xf numFmtId="0" fontId="0" fillId="3" borderId="17" xfId="0" applyFill="1" applyBorder="1"/>
    <xf numFmtId="167" fontId="0" fillId="3" borderId="18" xfId="0" applyNumberFormat="1" applyFill="1" applyBorder="1"/>
    <xf numFmtId="0" fontId="0" fillId="3" borderId="15" xfId="0" applyFill="1" applyBorder="1" applyAlignment="1">
      <alignment vertical="top"/>
    </xf>
    <xf numFmtId="0" fontId="0" fillId="3" borderId="17" xfId="0" applyFill="1" applyBorder="1" applyAlignment="1">
      <alignment vertical="top"/>
    </xf>
    <xf numFmtId="49" fontId="8" fillId="4" borderId="8" xfId="2" applyNumberFormat="1"/>
    <xf numFmtId="0" fontId="0" fillId="3" borderId="9" xfId="0" applyFill="1" applyBorder="1" applyAlignment="1">
      <alignment horizontal="center" wrapText="1"/>
    </xf>
    <xf numFmtId="0" fontId="7" fillId="3" borderId="12" xfId="0" applyFont="1" applyFill="1" applyBorder="1"/>
    <xf numFmtId="0" fontId="7" fillId="3" borderId="15" xfId="0" applyFont="1" applyFill="1" applyBorder="1"/>
    <xf numFmtId="0" fontId="7" fillId="3" borderId="30" xfId="0" applyFont="1" applyFill="1" applyBorder="1"/>
    <xf numFmtId="0" fontId="7" fillId="3" borderId="17" xfId="0" applyFont="1" applyFill="1" applyBorder="1" applyAlignment="1">
      <alignment vertical="top"/>
    </xf>
    <xf numFmtId="0" fontId="6" fillId="3" borderId="22" xfId="0" applyFont="1" applyFill="1" applyBorder="1" applyAlignment="1">
      <alignment horizontal="center" wrapText="1"/>
    </xf>
    <xf numFmtId="0" fontId="6" fillId="3" borderId="23" xfId="0" applyFont="1" applyFill="1" applyBorder="1" applyAlignment="1">
      <alignment horizontal="center" wrapText="1"/>
    </xf>
    <xf numFmtId="0" fontId="7" fillId="3" borderId="23" xfId="0" applyFont="1" applyFill="1" applyBorder="1" applyAlignment="1">
      <alignment horizontal="center" wrapText="1"/>
    </xf>
    <xf numFmtId="0" fontId="6" fillId="3" borderId="24" xfId="0" applyFont="1" applyFill="1" applyBorder="1" applyAlignment="1">
      <alignment horizontal="center" wrapText="1"/>
    </xf>
    <xf numFmtId="0" fontId="3" fillId="3" borderId="22" xfId="0" applyFont="1" applyFill="1" applyBorder="1" applyAlignment="1">
      <alignment horizontal="center" wrapText="1"/>
    </xf>
    <xf numFmtId="0" fontId="3" fillId="3" borderId="23" xfId="0" applyFont="1" applyFill="1" applyBorder="1" applyAlignment="1">
      <alignment horizontal="center" wrapText="1"/>
    </xf>
    <xf numFmtId="0" fontId="3" fillId="3" borderId="24" xfId="0" applyFont="1" applyFill="1" applyBorder="1" applyAlignment="1">
      <alignment horizontal="center" wrapText="1"/>
    </xf>
    <xf numFmtId="0" fontId="5" fillId="3" borderId="12" xfId="0" applyFont="1" applyFill="1" applyBorder="1"/>
    <xf numFmtId="0" fontId="5" fillId="3" borderId="15" xfId="0" applyFont="1" applyFill="1" applyBorder="1"/>
    <xf numFmtId="0" fontId="5" fillId="3" borderId="30" xfId="0" applyFont="1" applyFill="1" applyBorder="1"/>
    <xf numFmtId="0" fontId="5" fillId="3" borderId="17" xfId="0" applyFont="1" applyFill="1" applyBorder="1" applyAlignment="1">
      <alignment vertical="top"/>
    </xf>
    <xf numFmtId="174" fontId="0" fillId="3" borderId="19" xfId="0" applyNumberFormat="1" applyFill="1" applyBorder="1"/>
    <xf numFmtId="0" fontId="3" fillId="3" borderId="22" xfId="0" applyFont="1" applyFill="1" applyBorder="1"/>
    <xf numFmtId="0" fontId="3" fillId="3" borderId="24" xfId="0" applyFont="1" applyFill="1" applyBorder="1"/>
    <xf numFmtId="0" fontId="3" fillId="3" borderId="23" xfId="0" applyFont="1" applyFill="1" applyBorder="1"/>
    <xf numFmtId="49" fontId="5" fillId="5" borderId="4" xfId="0" applyNumberFormat="1" applyFont="1" applyFill="1" applyBorder="1" applyAlignment="1" applyProtection="1">
      <alignment horizontal="right"/>
      <protection locked="0"/>
    </xf>
    <xf numFmtId="0" fontId="0" fillId="5" borderId="9" xfId="0" applyFill="1" applyBorder="1"/>
    <xf numFmtId="174" fontId="0" fillId="5" borderId="9" xfId="0" applyNumberFormat="1" applyFill="1" applyBorder="1" applyAlignment="1">
      <alignment horizontal="right"/>
    </xf>
    <xf numFmtId="174" fontId="0" fillId="3" borderId="9" xfId="0" applyNumberFormat="1" applyFill="1" applyBorder="1"/>
    <xf numFmtId="0" fontId="0" fillId="5" borderId="9" xfId="0" applyFill="1" applyBorder="1" applyProtection="1">
      <protection locked="0"/>
    </xf>
    <xf numFmtId="174" fontId="0" fillId="5" borderId="9" xfId="0" applyNumberFormat="1" applyFill="1" applyBorder="1" applyProtection="1">
      <protection locked="0"/>
    </xf>
    <xf numFmtId="0" fontId="0" fillId="6" borderId="22"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5" xfId="0" applyFill="1" applyBorder="1"/>
    <xf numFmtId="0" fontId="0" fillId="7" borderId="0" xfId="0" applyFill="1" applyAlignment="1">
      <alignment vertical="top"/>
    </xf>
    <xf numFmtId="0" fontId="0" fillId="7" borderId="0" xfId="0" applyFill="1" applyAlignment="1">
      <alignment vertical="top" wrapText="1"/>
    </xf>
    <xf numFmtId="0" fontId="0" fillId="7" borderId="28" xfId="0" applyFill="1" applyBorder="1"/>
    <xf numFmtId="0" fontId="0" fillId="7" borderId="26" xfId="0" applyFill="1" applyBorder="1"/>
    <xf numFmtId="0" fontId="0" fillId="7" borderId="27" xfId="0" applyFill="1" applyBorder="1"/>
    <xf numFmtId="20" fontId="0" fillId="7" borderId="27" xfId="0" applyNumberFormat="1" applyFill="1" applyBorder="1"/>
    <xf numFmtId="0" fontId="0" fillId="7" borderId="9"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2" xfId="0" applyFill="1" applyBorder="1" applyAlignment="1">
      <alignment vertical="top"/>
    </xf>
    <xf numFmtId="0" fontId="0" fillId="7" borderId="0" xfId="0" applyFill="1" applyProtection="1">
      <protection locked="0"/>
    </xf>
    <xf numFmtId="168" fontId="0" fillId="5" borderId="2" xfId="0" applyNumberFormat="1" applyFill="1" applyBorder="1" applyProtection="1">
      <protection locked="0"/>
    </xf>
    <xf numFmtId="0" fontId="0" fillId="5" borderId="16" xfId="0" applyFill="1" applyBorder="1" applyProtection="1">
      <protection locked="0"/>
    </xf>
    <xf numFmtId="0" fontId="0" fillId="5" borderId="18" xfId="0" applyFill="1" applyBorder="1" applyProtection="1">
      <protection locked="0"/>
    </xf>
    <xf numFmtId="0" fontId="0" fillId="5" borderId="19" xfId="0" applyFill="1" applyBorder="1" applyProtection="1">
      <protection locked="0"/>
    </xf>
    <xf numFmtId="0" fontId="0" fillId="5" borderId="21" xfId="0" applyFill="1" applyBorder="1" applyAlignment="1" applyProtection="1">
      <alignment horizontal="left" wrapText="1"/>
      <protection locked="0"/>
    </xf>
    <xf numFmtId="0" fontId="0" fillId="5" borderId="16" xfId="0" applyFill="1" applyBorder="1" applyAlignment="1" applyProtection="1">
      <alignment horizontal="left"/>
      <protection locked="0"/>
    </xf>
    <xf numFmtId="0" fontId="0" fillId="5" borderId="19" xfId="0" applyFill="1" applyBorder="1" applyAlignment="1" applyProtection="1">
      <alignment horizontal="left"/>
      <protection locked="0"/>
    </xf>
    <xf numFmtId="0" fontId="5" fillId="7" borderId="25" xfId="0" applyFont="1" applyFill="1" applyBorder="1" applyAlignment="1">
      <alignment vertical="top"/>
    </xf>
    <xf numFmtId="0" fontId="5" fillId="7" borderId="0" xfId="0" applyFont="1" applyFill="1" applyAlignment="1">
      <alignment vertical="top" wrapText="1"/>
    </xf>
    <xf numFmtId="0" fontId="5" fillId="7" borderId="0" xfId="0" applyFont="1" applyFill="1"/>
    <xf numFmtId="0" fontId="5" fillId="7" borderId="0" xfId="0" applyFont="1" applyFill="1" applyAlignment="1">
      <alignment horizontal="right"/>
    </xf>
    <xf numFmtId="0" fontId="5" fillId="7" borderId="29" xfId="0" applyFont="1" applyFill="1" applyBorder="1" applyAlignment="1">
      <alignment vertical="top"/>
    </xf>
    <xf numFmtId="0" fontId="5" fillId="7" borderId="0" xfId="0" applyFont="1" applyFill="1" applyAlignment="1">
      <alignment wrapText="1"/>
    </xf>
    <xf numFmtId="0" fontId="0" fillId="7" borderId="0" xfId="0" applyFill="1" applyAlignment="1">
      <alignment wrapText="1"/>
    </xf>
    <xf numFmtId="173" fontId="0" fillId="5" borderId="11" xfId="0" applyNumberFormat="1" applyFill="1" applyBorder="1" applyProtection="1">
      <protection locked="0"/>
    </xf>
    <xf numFmtId="2" fontId="0" fillId="5" borderId="11" xfId="0" applyNumberFormat="1" applyFill="1" applyBorder="1" applyProtection="1">
      <protection locked="0"/>
    </xf>
    <xf numFmtId="174" fontId="0" fillId="5" borderId="11" xfId="0" applyNumberFormat="1" applyFill="1" applyBorder="1" applyProtection="1">
      <protection locked="0"/>
    </xf>
    <xf numFmtId="0" fontId="5" fillId="5" borderId="11" xfId="0" applyFont="1" applyFill="1" applyBorder="1" applyProtection="1">
      <protection locked="0"/>
    </xf>
    <xf numFmtId="173" fontId="0" fillId="5" borderId="9" xfId="0" applyNumberFormat="1" applyFill="1" applyBorder="1" applyProtection="1">
      <protection locked="0"/>
    </xf>
    <xf numFmtId="2" fontId="0" fillId="5" borderId="9" xfId="0" applyNumberFormat="1" applyFill="1" applyBorder="1" applyProtection="1">
      <protection locked="0"/>
    </xf>
    <xf numFmtId="0" fontId="5" fillId="5" borderId="9" xfId="0" applyFont="1" applyFill="1" applyBorder="1" applyProtection="1">
      <protection locked="0"/>
    </xf>
    <xf numFmtId="0" fontId="3" fillId="7" borderId="0" xfId="0" applyFont="1" applyFill="1" applyAlignment="1">
      <alignment horizontal="center" wrapText="1"/>
    </xf>
    <xf numFmtId="0" fontId="0" fillId="5" borderId="11" xfId="0" applyFill="1" applyBorder="1" applyProtection="1">
      <protection locked="0"/>
    </xf>
    <xf numFmtId="172" fontId="5" fillId="7" borderId="0" xfId="0" applyNumberFormat="1" applyFont="1" applyFill="1" applyAlignment="1">
      <alignment vertical="top" wrapText="1"/>
    </xf>
    <xf numFmtId="0" fontId="0" fillId="7" borderId="13" xfId="0" applyFill="1" applyBorder="1"/>
    <xf numFmtId="0" fontId="0" fillId="7" borderId="14" xfId="0" applyFill="1" applyBorder="1"/>
    <xf numFmtId="0" fontId="0" fillId="7" borderId="16" xfId="0" applyFill="1" applyBorder="1"/>
    <xf numFmtId="0" fontId="0" fillId="7" borderId="18" xfId="0" applyFill="1" applyBorder="1"/>
    <xf numFmtId="170" fontId="0" fillId="5" borderId="14" xfId="0" applyNumberFormat="1" applyFill="1" applyBorder="1" applyAlignment="1" applyProtection="1">
      <alignment horizontal="right"/>
      <protection locked="0"/>
    </xf>
    <xf numFmtId="170" fontId="0" fillId="5" borderId="16" xfId="0" applyNumberFormat="1" applyFill="1" applyBorder="1" applyAlignment="1" applyProtection="1">
      <alignment horizontal="right"/>
      <protection locked="0"/>
    </xf>
    <xf numFmtId="170" fontId="0" fillId="5" borderId="19" xfId="0" applyNumberFormat="1" applyFill="1" applyBorder="1" applyAlignment="1" applyProtection="1">
      <alignment horizontal="right"/>
      <protection locked="0"/>
    </xf>
    <xf numFmtId="174" fontId="0" fillId="5" borderId="14"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9" xfId="0" applyNumberFormat="1" applyFill="1" applyBorder="1" applyAlignment="1" applyProtection="1">
      <alignment horizontal="right"/>
      <protection locked="0"/>
    </xf>
    <xf numFmtId="174" fontId="0" fillId="5" borderId="13"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0" fillId="5" borderId="9" xfId="0" applyFill="1" applyBorder="1" applyAlignment="1" applyProtection="1">
      <alignment horizontal="center"/>
      <protection locked="0"/>
    </xf>
    <xf numFmtId="174" fontId="0" fillId="5" borderId="9" xfId="0" applyNumberFormat="1" applyFill="1" applyBorder="1" applyAlignment="1" applyProtection="1">
      <alignment horizontal="right"/>
      <protection locked="0"/>
    </xf>
    <xf numFmtId="174" fontId="0" fillId="5" borderId="9" xfId="3" applyNumberFormat="1" applyFont="1" applyFill="1" applyBorder="1" applyAlignment="1" applyProtection="1">
      <alignment horizontal="right"/>
      <protection locked="0"/>
    </xf>
    <xf numFmtId="2" fontId="0" fillId="5" borderId="9" xfId="0" applyNumberFormat="1" applyFill="1" applyBorder="1" applyAlignment="1" applyProtection="1">
      <alignment horizontal="center"/>
      <protection locked="0"/>
    </xf>
    <xf numFmtId="170" fontId="0" fillId="5" borderId="9" xfId="0" applyNumberFormat="1" applyFill="1" applyBorder="1" applyProtection="1">
      <protection locked="0"/>
    </xf>
    <xf numFmtId="49" fontId="0" fillId="5" borderId="9" xfId="0" applyNumberFormat="1" applyFill="1" applyBorder="1" applyAlignment="1" applyProtection="1">
      <alignment horizontal="left"/>
      <protection locked="0"/>
    </xf>
    <xf numFmtId="0" fontId="5" fillId="7" borderId="6" xfId="0" applyFont="1" applyFill="1" applyBorder="1" applyAlignment="1">
      <alignment vertical="top"/>
    </xf>
    <xf numFmtId="0" fontId="5" fillId="7" borderId="7" xfId="0" applyFont="1" applyFill="1" applyBorder="1" applyAlignment="1">
      <alignment vertical="top"/>
    </xf>
    <xf numFmtId="0" fontId="15" fillId="7" borderId="0" xfId="0" applyFont="1" applyFill="1"/>
    <xf numFmtId="0" fontId="0" fillId="7" borderId="0" xfId="0" applyFill="1" applyAlignment="1">
      <alignment horizontal="center" wrapText="1"/>
    </xf>
    <xf numFmtId="170" fontId="0" fillId="5" borderId="9" xfId="0" applyNumberFormat="1" applyFill="1" applyBorder="1" applyAlignment="1" applyProtection="1">
      <alignment horizontal="right"/>
      <protection locked="0"/>
    </xf>
    <xf numFmtId="171" fontId="0" fillId="5" borderId="9" xfId="0" applyNumberFormat="1" applyFill="1" applyBorder="1" applyAlignment="1" applyProtection="1">
      <alignment horizontal="right"/>
      <protection locked="0"/>
    </xf>
    <xf numFmtId="169" fontId="0" fillId="5" borderId="9" xfId="0" applyNumberFormat="1" applyFill="1" applyBorder="1" applyAlignment="1" applyProtection="1">
      <alignment horizontal="right"/>
      <protection locked="0"/>
    </xf>
    <xf numFmtId="0" fontId="1" fillId="7" borderId="0" xfId="1" applyFill="1" applyBorder="1"/>
    <xf numFmtId="0" fontId="0" fillId="5" borderId="11" xfId="0" applyFill="1" applyBorder="1"/>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1" xfId="0" applyNumberFormat="1" applyFill="1" applyBorder="1" applyAlignment="1">
      <alignment horizontal="right"/>
    </xf>
    <xf numFmtId="0" fontId="0" fillId="5" borderId="9" xfId="0" applyFill="1" applyBorder="1" applyAlignment="1">
      <alignment horizontal="left"/>
    </xf>
    <xf numFmtId="174" fontId="0" fillId="5" borderId="11" xfId="0" applyNumberFormat="1" applyFill="1" applyBorder="1"/>
    <xf numFmtId="0" fontId="0" fillId="3" borderId="37" xfId="0" applyFill="1" applyBorder="1"/>
    <xf numFmtId="174" fontId="0" fillId="5" borderId="14" xfId="0" applyNumberFormat="1" applyFill="1" applyBorder="1" applyAlignment="1">
      <alignment horizontal="right"/>
    </xf>
    <xf numFmtId="0" fontId="0" fillId="3" borderId="34" xfId="0" applyFill="1" applyBorder="1"/>
    <xf numFmtId="174" fontId="0" fillId="5" borderId="16" xfId="0" applyNumberFormat="1" applyFill="1" applyBorder="1" applyAlignment="1">
      <alignment horizontal="right"/>
    </xf>
    <xf numFmtId="0" fontId="0" fillId="3" borderId="38" xfId="0" applyFill="1" applyBorder="1"/>
    <xf numFmtId="174" fontId="0" fillId="5" borderId="19" xfId="0" applyNumberFormat="1" applyFill="1" applyBorder="1" applyAlignment="1">
      <alignment horizontal="right"/>
    </xf>
    <xf numFmtId="175" fontId="9" fillId="5" borderId="39" xfId="0" applyNumberFormat="1" applyFont="1" applyFill="1" applyBorder="1" applyAlignment="1">
      <alignment horizontal="right"/>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5" borderId="15" xfId="0" applyFill="1" applyBorder="1" applyAlignment="1">
      <alignment horizontal="center"/>
    </xf>
    <xf numFmtId="0" fontId="0" fillId="5" borderId="36"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center"/>
    </xf>
    <xf numFmtId="174" fontId="0" fillId="5" borderId="18" xfId="0" applyNumberFormat="1" applyFill="1" applyBorder="1" applyAlignment="1">
      <alignment horizontal="right"/>
    </xf>
    <xf numFmtId="0" fontId="0" fillId="5" borderId="19" xfId="0" applyFill="1" applyBorder="1" applyAlignment="1">
      <alignment horizontal="left"/>
    </xf>
    <xf numFmtId="0" fontId="0" fillId="5" borderId="11" xfId="0" applyFill="1" applyBorder="1" applyAlignment="1">
      <alignment horizontal="left"/>
    </xf>
    <xf numFmtId="0" fontId="3" fillId="3" borderId="22" xfId="0" applyFont="1" applyFill="1" applyBorder="1" applyAlignment="1">
      <alignment horizontal="center"/>
    </xf>
    <xf numFmtId="0" fontId="3" fillId="3" borderId="23" xfId="0" applyFont="1" applyFill="1" applyBorder="1" applyAlignment="1">
      <alignment horizontal="center"/>
    </xf>
    <xf numFmtId="170" fontId="0" fillId="5" borderId="13" xfId="0" applyNumberFormat="1" applyFill="1" applyBorder="1" applyAlignment="1" applyProtection="1">
      <alignment horizontal="right"/>
      <protection locked="0"/>
    </xf>
    <xf numFmtId="176" fontId="0" fillId="5" borderId="9" xfId="0" applyNumberFormat="1" applyFill="1" applyBorder="1" applyProtection="1">
      <protection locked="0"/>
    </xf>
    <xf numFmtId="169" fontId="0" fillId="5" borderId="9" xfId="0" applyNumberFormat="1" applyFill="1" applyBorder="1" applyProtection="1">
      <protection locked="0"/>
    </xf>
    <xf numFmtId="177" fontId="0" fillId="5" borderId="5" xfId="0" applyNumberFormat="1" applyFill="1" applyBorder="1" applyAlignment="1" applyProtection="1">
      <alignment horizontal="right"/>
      <protection locked="0"/>
    </xf>
    <xf numFmtId="177" fontId="0" fillId="5" borderId="2" xfId="0" applyNumberFormat="1" applyFill="1" applyBorder="1" applyAlignment="1" applyProtection="1">
      <alignment horizontal="right"/>
      <protection locked="0"/>
    </xf>
    <xf numFmtId="2" fontId="0" fillId="9" borderId="9" xfId="0" applyNumberFormat="1" applyFill="1" applyBorder="1" applyAlignment="1" applyProtection="1">
      <alignment horizontal="center"/>
      <protection locked="0"/>
    </xf>
    <xf numFmtId="0" fontId="3" fillId="5" borderId="9" xfId="0" applyFont="1" applyFill="1" applyBorder="1" applyProtection="1">
      <protection locked="0"/>
    </xf>
    <xf numFmtId="49" fontId="0" fillId="0" borderId="0" xfId="0" applyNumberFormat="1" applyAlignment="1">
      <alignment horizontal="right"/>
    </xf>
    <xf numFmtId="0" fontId="0" fillId="0" borderId="0" xfId="0" applyAlignment="1">
      <alignment horizontal="right"/>
    </xf>
    <xf numFmtId="0" fontId="0" fillId="0" borderId="1" xfId="0" applyBorder="1" applyAlignment="1">
      <alignment horizontal="center"/>
    </xf>
    <xf numFmtId="49" fontId="0" fillId="0" borderId="1" xfId="0" applyNumberFormat="1" applyBorder="1" applyAlignment="1">
      <alignment horizontal="center"/>
    </xf>
    <xf numFmtId="49" fontId="3" fillId="3" borderId="9" xfId="0" applyNumberFormat="1" applyFont="1" applyFill="1" applyBorder="1" applyAlignment="1">
      <alignment horizontal="center" wrapText="1"/>
    </xf>
    <xf numFmtId="0" fontId="0" fillId="0" borderId="9" xfId="0" applyBorder="1"/>
    <xf numFmtId="49" fontId="0" fillId="0" borderId="9" xfId="0" applyNumberFormat="1" applyBorder="1" applyAlignment="1">
      <alignment horizontal="right"/>
    </xf>
    <xf numFmtId="49" fontId="0" fillId="5" borderId="9" xfId="0" applyNumberFormat="1" applyFill="1" applyBorder="1" applyProtection="1">
      <protection locked="0"/>
    </xf>
    <xf numFmtId="0" fontId="0" fillId="0" borderId="9" xfId="0" applyBorder="1" applyAlignment="1">
      <alignment horizontal="right"/>
    </xf>
    <xf numFmtId="0" fontId="0" fillId="7" borderId="0" xfId="0" applyFill="1" applyAlignment="1">
      <alignment horizontal="center"/>
    </xf>
    <xf numFmtId="2" fontId="0" fillId="5" borderId="11" xfId="0" applyNumberFormat="1" applyFill="1" applyBorder="1"/>
    <xf numFmtId="2" fontId="0" fillId="5" borderId="9" xfId="0" applyNumberFormat="1" applyFill="1" applyBorder="1"/>
    <xf numFmtId="1" fontId="0" fillId="5" borderId="11" xfId="0" applyNumberFormat="1" applyFill="1" applyBorder="1"/>
    <xf numFmtId="1" fontId="0" fillId="5" borderId="9" xfId="0" applyNumberFormat="1" applyFill="1" applyBorder="1"/>
    <xf numFmtId="0" fontId="3" fillId="3" borderId="24" xfId="0" applyFont="1" applyFill="1" applyBorder="1" applyAlignment="1">
      <alignment horizontal="center"/>
    </xf>
    <xf numFmtId="0" fontId="0" fillId="5" borderId="9"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23" xfId="0" applyNumberFormat="1" applyFill="1" applyBorder="1" applyProtection="1">
      <protection locked="0"/>
    </xf>
    <xf numFmtId="49" fontId="0" fillId="5" borderId="24" xfId="0" applyNumberFormat="1" applyFill="1" applyBorder="1" applyProtection="1">
      <protection locked="0"/>
    </xf>
    <xf numFmtId="0" fontId="0" fillId="5" borderId="9" xfId="0" applyFill="1" applyBorder="1" applyAlignment="1" applyProtection="1">
      <alignment horizontal="center" vertical="top" wrapText="1"/>
      <protection locked="0"/>
    </xf>
    <xf numFmtId="0" fontId="0" fillId="5" borderId="16"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19"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3" xfId="0" applyFill="1" applyBorder="1" applyAlignment="1" applyProtection="1">
      <alignment horizontal="left"/>
      <protection locked="0"/>
    </xf>
    <xf numFmtId="0" fontId="0" fillId="5" borderId="14" xfId="0" applyFill="1" applyBorder="1" applyAlignment="1" applyProtection="1">
      <alignment horizontal="left"/>
      <protection locked="0"/>
    </xf>
    <xf numFmtId="49" fontId="0" fillId="5" borderId="13" xfId="0" applyNumberFormat="1" applyFill="1" applyBorder="1" applyAlignment="1" applyProtection="1">
      <alignment horizontal="right"/>
      <protection locked="0"/>
    </xf>
    <xf numFmtId="49" fontId="0" fillId="5" borderId="14"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 fontId="0" fillId="5" borderId="16" xfId="0" applyNumberFormat="1" applyFill="1" applyBorder="1" applyAlignment="1" applyProtection="1">
      <alignment horizontal="right"/>
      <protection locked="0"/>
    </xf>
    <xf numFmtId="49" fontId="0" fillId="5" borderId="18" xfId="0" applyNumberFormat="1" applyFill="1" applyBorder="1" applyAlignment="1" applyProtection="1">
      <alignment horizontal="right"/>
      <protection locked="0"/>
    </xf>
    <xf numFmtId="49" fontId="0" fillId="5" borderId="19" xfId="0" applyNumberFormat="1" applyFill="1" applyBorder="1" applyAlignment="1" applyProtection="1">
      <alignment horizontal="right"/>
      <protection locked="0"/>
    </xf>
    <xf numFmtId="0" fontId="0" fillId="5" borderId="9" xfId="0" applyFill="1" applyBorder="1" applyAlignment="1" applyProtection="1">
      <alignment horizontal="right"/>
      <protection locked="0"/>
    </xf>
    <xf numFmtId="0" fontId="0" fillId="5" borderId="18" xfId="0" applyFill="1" applyBorder="1" applyAlignment="1" applyProtection="1">
      <alignment horizontal="right"/>
      <protection locked="0"/>
    </xf>
    <xf numFmtId="0" fontId="3" fillId="3" borderId="23" xfId="0" applyFont="1" applyFill="1" applyBorder="1" applyAlignment="1">
      <alignment horizontal="center" vertical="top" wrapText="1"/>
    </xf>
    <xf numFmtId="0" fontId="0" fillId="5" borderId="11" xfId="0" applyFill="1" applyBorder="1" applyAlignment="1" applyProtection="1">
      <alignment horizontal="right" wrapText="1"/>
      <protection locked="0"/>
    </xf>
    <xf numFmtId="0" fontId="5" fillId="5" borderId="31" xfId="0" applyFont="1" applyFill="1" applyBorder="1" applyAlignment="1" applyProtection="1">
      <alignment horizontal="left" wrapText="1"/>
      <protection locked="0"/>
    </xf>
    <xf numFmtId="0" fontId="5" fillId="5" borderId="32" xfId="0" applyFont="1" applyFill="1" applyBorder="1" applyAlignment="1" applyProtection="1">
      <alignment horizontal="left" wrapText="1"/>
      <protection locked="0"/>
    </xf>
    <xf numFmtId="0" fontId="5" fillId="5" borderId="33" xfId="0" applyFont="1" applyFill="1" applyBorder="1" applyAlignment="1" applyProtection="1">
      <alignment horizontal="left" wrapText="1"/>
      <protection locked="0"/>
    </xf>
    <xf numFmtId="49" fontId="5" fillId="3" borderId="13" xfId="0" applyNumberFormat="1" applyFont="1" applyFill="1" applyBorder="1" applyAlignment="1">
      <alignment horizontal="right"/>
    </xf>
    <xf numFmtId="166" fontId="5" fillId="3" borderId="9" xfId="0" applyNumberFormat="1" applyFont="1" applyFill="1" applyBorder="1" applyAlignment="1">
      <alignment horizontal="right"/>
    </xf>
    <xf numFmtId="0" fontId="5" fillId="5" borderId="9" xfId="0" applyFont="1" applyFill="1" applyBorder="1" applyAlignment="1" applyProtection="1">
      <alignment horizontal="right"/>
      <protection locked="0"/>
    </xf>
    <xf numFmtId="168" fontId="5" fillId="5" borderId="9" xfId="0" applyNumberFormat="1" applyFont="1" applyFill="1" applyBorder="1" applyAlignment="1" applyProtection="1">
      <alignment horizontal="right"/>
      <protection locked="0"/>
    </xf>
    <xf numFmtId="49" fontId="5" fillId="5" borderId="9" xfId="0" applyNumberFormat="1" applyFon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5" fillId="5" borderId="31" xfId="0" applyFont="1" applyFill="1" applyBorder="1" applyAlignment="1" applyProtection="1">
      <alignment horizontal="left" vertical="top"/>
      <protection locked="0"/>
    </xf>
    <xf numFmtId="0" fontId="5" fillId="5" borderId="32" xfId="0" applyFont="1" applyFill="1" applyBorder="1" applyAlignment="1" applyProtection="1">
      <alignment horizontal="left" vertical="top"/>
      <protection locked="0"/>
    </xf>
    <xf numFmtId="0" fontId="5" fillId="5" borderId="33" xfId="0" applyFont="1" applyFill="1" applyBorder="1" applyAlignment="1" applyProtection="1">
      <alignment horizontal="left" vertical="top"/>
      <protection locked="0"/>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9" xfId="0" applyFont="1" applyFill="1" applyBorder="1" applyAlignment="1">
      <alignment horizontal="right"/>
    </xf>
    <xf numFmtId="49" fontId="5" fillId="5" borderId="31" xfId="0" applyNumberFormat="1" applyFont="1" applyFill="1" applyBorder="1" applyAlignment="1" applyProtection="1">
      <alignment horizontal="left" wrapText="1"/>
      <protection locked="0"/>
    </xf>
    <xf numFmtId="49" fontId="5" fillId="5" borderId="32" xfId="0" applyNumberFormat="1" applyFont="1" applyFill="1" applyBorder="1" applyAlignment="1" applyProtection="1">
      <alignment horizontal="left" wrapText="1"/>
      <protection locked="0"/>
    </xf>
    <xf numFmtId="49" fontId="5" fillId="5" borderId="33"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4" xfId="0" applyFont="1" applyFill="1" applyBorder="1" applyAlignment="1">
      <alignment horizontal="left"/>
    </xf>
    <xf numFmtId="0" fontId="5" fillId="3" borderId="4" xfId="0" applyFont="1" applyFill="1" applyBorder="1" applyAlignment="1">
      <alignment horizontal="left"/>
    </xf>
    <xf numFmtId="49" fontId="0" fillId="5" borderId="9" xfId="0" applyNumberFormat="1" applyFill="1" applyBorder="1" applyAlignment="1" applyProtection="1">
      <alignment wrapText="1"/>
      <protection locked="0"/>
    </xf>
    <xf numFmtId="0" fontId="3" fillId="3" borderId="35" xfId="0" applyFont="1" applyFill="1" applyBorder="1"/>
    <xf numFmtId="0" fontId="3" fillId="3" borderId="40" xfId="0" applyFont="1" applyFill="1" applyBorder="1"/>
    <xf numFmtId="49" fontId="0" fillId="5" borderId="11" xfId="0" applyNumberFormat="1" applyFill="1" applyBorder="1" applyAlignment="1" applyProtection="1">
      <alignment wrapText="1"/>
      <protection locked="0"/>
    </xf>
    <xf numFmtId="0" fontId="5" fillId="5" borderId="31" xfId="0" applyFont="1" applyFill="1" applyBorder="1" applyAlignment="1">
      <alignment wrapText="1"/>
    </xf>
    <xf numFmtId="0" fontId="5" fillId="5" borderId="32" xfId="0" applyFont="1" applyFill="1" applyBorder="1" applyAlignment="1">
      <alignment wrapText="1"/>
    </xf>
    <xf numFmtId="0" fontId="5" fillId="5" borderId="33" xfId="0" applyFont="1" applyFill="1" applyBorder="1" applyAlignment="1">
      <alignment wrapText="1"/>
    </xf>
    <xf numFmtId="0" fontId="5" fillId="3" borderId="13" xfId="0" applyFont="1" applyFill="1" applyBorder="1" applyAlignment="1">
      <alignment horizontal="right"/>
    </xf>
    <xf numFmtId="0" fontId="5" fillId="5" borderId="9" xfId="0" applyFont="1" applyFill="1" applyBorder="1" applyAlignment="1">
      <alignment horizontal="right"/>
    </xf>
    <xf numFmtId="168" fontId="5" fillId="5" borderId="9"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49" fontId="5" fillId="5" borderId="9" xfId="0" applyNumberFormat="1" applyFont="1" applyFill="1" applyBorder="1" applyAlignment="1">
      <alignment horizontal="right"/>
    </xf>
    <xf numFmtId="178" fontId="0" fillId="7" borderId="28" xfId="0" applyNumberFormat="1" applyFill="1" applyBorder="1"/>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tabSelected="1" zoomScale="80" zoomScaleNormal="80" workbookViewId="0">
      <selection activeCell="F21" sqref="F21"/>
    </sheetView>
  </sheetViews>
  <sheetFormatPr defaultColWidth="9.140625" defaultRowHeight="15" x14ac:dyDescent="0.25"/>
  <cols>
    <col min="1" max="1" width="22.7109375" style="51" customWidth="1"/>
    <col min="2" max="2" width="12.7109375" style="51" customWidth="1"/>
    <col min="3" max="5" width="10.7109375" style="51" customWidth="1"/>
    <col min="6" max="6" width="32.7109375" style="51" customWidth="1"/>
    <col min="7" max="7" width="9.140625" style="51"/>
    <col min="8" max="9" width="9.140625" style="51" customWidth="1"/>
    <col min="10" max="16384" width="9.140625" style="51"/>
  </cols>
  <sheetData>
    <row r="1" spans="1:9" ht="31.5" x14ac:dyDescent="0.5">
      <c r="A1" s="178" t="s">
        <v>0</v>
      </c>
      <c r="B1" s="178"/>
      <c r="C1" s="178"/>
      <c r="D1" s="178"/>
      <c r="E1" s="178"/>
      <c r="F1" s="50"/>
      <c r="G1" s="50"/>
      <c r="H1" s="50"/>
    </row>
    <row r="2" spans="1:9" ht="15.75" customHeight="1" x14ac:dyDescent="0.35">
      <c r="A2" s="52"/>
      <c r="D2" s="50"/>
      <c r="E2" s="50"/>
      <c r="F2" s="50"/>
      <c r="G2" s="50"/>
      <c r="H2" s="50"/>
    </row>
    <row r="3" spans="1:9" ht="15.75" thickBot="1" x14ac:dyDescent="0.3">
      <c r="A3" s="53" t="s">
        <v>69</v>
      </c>
      <c r="D3" s="50"/>
      <c r="E3" s="50"/>
    </row>
    <row r="4" spans="1:9" x14ac:dyDescent="0.25">
      <c r="A4" s="15" t="s">
        <v>1</v>
      </c>
      <c r="B4" s="181" t="s">
        <v>186</v>
      </c>
      <c r="C4" s="182"/>
      <c r="H4" s="54"/>
      <c r="I4" s="54"/>
    </row>
    <row r="5" spans="1:9" x14ac:dyDescent="0.25">
      <c r="A5" s="16" t="s">
        <v>2</v>
      </c>
      <c r="B5" s="183">
        <v>6</v>
      </c>
      <c r="C5" s="184"/>
      <c r="H5" s="54"/>
      <c r="I5" s="54"/>
    </row>
    <row r="6" spans="1:9" x14ac:dyDescent="0.25">
      <c r="A6" s="16" t="s">
        <v>3</v>
      </c>
      <c r="B6" s="183">
        <v>1</v>
      </c>
      <c r="C6" s="184"/>
    </row>
    <row r="7" spans="1:9" ht="15.75" thickBot="1" x14ac:dyDescent="0.3">
      <c r="A7" s="18" t="s">
        <v>122</v>
      </c>
      <c r="B7" s="185" t="s">
        <v>187</v>
      </c>
      <c r="C7" s="186"/>
    </row>
    <row r="9" spans="1:9" ht="15.75" thickBot="1" x14ac:dyDescent="0.3">
      <c r="A9" s="53" t="s">
        <v>72</v>
      </c>
    </row>
    <row r="10" spans="1:9" x14ac:dyDescent="0.25">
      <c r="A10" s="15" t="s">
        <v>9</v>
      </c>
      <c r="B10" s="179" t="s">
        <v>26</v>
      </c>
      <c r="C10" s="179"/>
      <c r="D10" s="179"/>
      <c r="E10" s="180"/>
    </row>
    <row r="11" spans="1:9" x14ac:dyDescent="0.25">
      <c r="A11" s="16" t="s">
        <v>11</v>
      </c>
      <c r="B11" s="170" t="s">
        <v>24</v>
      </c>
      <c r="C11" s="170"/>
      <c r="D11" s="170"/>
      <c r="E11" s="171"/>
    </row>
    <row r="12" spans="1:9" x14ac:dyDescent="0.25">
      <c r="A12" s="20" t="s">
        <v>13</v>
      </c>
      <c r="B12" s="174" t="s">
        <v>331</v>
      </c>
      <c r="C12" s="174"/>
      <c r="D12" s="174"/>
      <c r="E12" s="175"/>
    </row>
    <row r="13" spans="1:9" x14ac:dyDescent="0.25">
      <c r="A13" s="20"/>
      <c r="B13" s="174"/>
      <c r="C13" s="174"/>
      <c r="D13" s="174"/>
      <c r="E13" s="175"/>
    </row>
    <row r="14" spans="1:9" ht="15.75" thickBot="1" x14ac:dyDescent="0.3">
      <c r="A14" s="21"/>
      <c r="B14" s="176"/>
      <c r="C14" s="176"/>
      <c r="D14" s="176"/>
      <c r="E14" s="177"/>
    </row>
    <row r="15" spans="1:9" x14ac:dyDescent="0.25">
      <c r="A15" s="56"/>
      <c r="B15" s="57"/>
      <c r="C15" s="57"/>
      <c r="D15" s="57"/>
      <c r="E15" s="57"/>
    </row>
    <row r="16" spans="1:9" ht="15.75" thickBot="1" x14ac:dyDescent="0.3">
      <c r="A16" s="53" t="s">
        <v>70</v>
      </c>
    </row>
    <row r="17" spans="1:6" x14ac:dyDescent="0.25">
      <c r="A17" s="15" t="s">
        <v>165</v>
      </c>
      <c r="B17" s="234" t="s">
        <v>484</v>
      </c>
      <c r="C17" s="58"/>
    </row>
    <row r="18" spans="1:6" ht="15.75" thickBot="1" x14ac:dyDescent="0.3">
      <c r="A18" s="16" t="s">
        <v>166</v>
      </c>
      <c r="B18" s="69">
        <v>0.2951388888888889</v>
      </c>
      <c r="C18" s="59"/>
      <c r="D18" s="60"/>
      <c r="E18" s="61"/>
    </row>
    <row r="19" spans="1:6" x14ac:dyDescent="0.25">
      <c r="A19" s="55"/>
      <c r="B19" s="62"/>
      <c r="C19" s="9" t="s">
        <v>6</v>
      </c>
      <c r="D19" s="9" t="s">
        <v>7</v>
      </c>
      <c r="E19" s="17" t="s">
        <v>8</v>
      </c>
    </row>
    <row r="20" spans="1:6" x14ac:dyDescent="0.25">
      <c r="A20" s="16" t="s">
        <v>39</v>
      </c>
      <c r="B20" s="8"/>
      <c r="C20" s="47">
        <v>86</v>
      </c>
      <c r="D20">
        <v>31.3673</v>
      </c>
      <c r="E20" s="70"/>
    </row>
    <row r="21" spans="1:6" ht="15.75" thickBot="1" x14ac:dyDescent="0.3">
      <c r="A21" s="18" t="s">
        <v>40</v>
      </c>
      <c r="B21" s="19"/>
      <c r="C21" s="71">
        <v>-5</v>
      </c>
      <c r="D21" s="71">
        <v>36.4589</v>
      </c>
      <c r="E21" s="72"/>
      <c r="F21" s="51" t="s">
        <v>290</v>
      </c>
    </row>
    <row r="23" spans="1:6" ht="15.75" thickBot="1" x14ac:dyDescent="0.3">
      <c r="A23" s="53" t="s">
        <v>71</v>
      </c>
      <c r="B23" s="63"/>
      <c r="E23" s="64"/>
    </row>
    <row r="24" spans="1:6" x14ac:dyDescent="0.25">
      <c r="A24" s="15" t="s">
        <v>43</v>
      </c>
      <c r="B24" s="58" t="s">
        <v>283</v>
      </c>
    </row>
    <row r="25" spans="1:6" ht="15.75" thickBot="1" x14ac:dyDescent="0.3">
      <c r="A25" s="16" t="s">
        <v>44</v>
      </c>
      <c r="B25" s="69">
        <v>0.76246527777777784</v>
      </c>
      <c r="C25" s="59"/>
      <c r="D25" s="60"/>
      <c r="E25" s="61"/>
    </row>
    <row r="26" spans="1:6" x14ac:dyDescent="0.25">
      <c r="A26" s="55"/>
      <c r="B26" s="62"/>
      <c r="C26" s="9" t="s">
        <v>6</v>
      </c>
      <c r="D26" s="9" t="s">
        <v>7</v>
      </c>
      <c r="E26" s="17" t="s">
        <v>8</v>
      </c>
    </row>
    <row r="27" spans="1:6" x14ac:dyDescent="0.25">
      <c r="A27" s="16" t="s">
        <v>41</v>
      </c>
      <c r="B27" s="8"/>
      <c r="C27" s="47">
        <v>86.486519999999999</v>
      </c>
      <c r="D27" s="47"/>
      <c r="E27" s="70"/>
    </row>
    <row r="28" spans="1:6" ht="15.75" thickBot="1" x14ac:dyDescent="0.3">
      <c r="A28" s="18" t="s">
        <v>42</v>
      </c>
      <c r="B28" s="19"/>
      <c r="C28" s="71">
        <v>-5.0529349999999997</v>
      </c>
      <c r="D28" s="71"/>
      <c r="E28" s="72"/>
      <c r="F28" s="51" t="s">
        <v>290</v>
      </c>
    </row>
    <row r="29" spans="1:6" ht="15.75" thickBot="1" x14ac:dyDescent="0.3">
      <c r="B29" s="65"/>
      <c r="C29" s="66"/>
    </row>
    <row r="30" spans="1:6" ht="15.75" thickBot="1" x14ac:dyDescent="0.3">
      <c r="A30" s="49" t="s">
        <v>164</v>
      </c>
      <c r="B30" s="172" t="s">
        <v>5</v>
      </c>
      <c r="C30" s="172"/>
      <c r="D30" s="172"/>
      <c r="E30" s="173"/>
    </row>
    <row r="31" spans="1:6" ht="15.75" thickBot="1" x14ac:dyDescent="0.3"/>
    <row r="32" spans="1:6" ht="30" customHeight="1" thickBot="1" x14ac:dyDescent="0.3">
      <c r="A32" s="67"/>
      <c r="B32" s="189" t="s">
        <v>163</v>
      </c>
      <c r="C32" s="189"/>
      <c r="D32" s="189" t="s">
        <v>162</v>
      </c>
      <c r="E32" s="189"/>
      <c r="F32" s="14" t="s">
        <v>14</v>
      </c>
    </row>
    <row r="33" spans="1:6" ht="30" customHeight="1" x14ac:dyDescent="0.25">
      <c r="A33" s="13" t="s">
        <v>167</v>
      </c>
      <c r="B33" s="190"/>
      <c r="C33" s="190"/>
      <c r="D33" s="190"/>
      <c r="E33" s="190"/>
      <c r="F33" s="73"/>
    </row>
    <row r="34" spans="1:6" ht="30" customHeight="1" x14ac:dyDescent="0.25">
      <c r="A34" s="11" t="s">
        <v>167</v>
      </c>
      <c r="B34" s="187"/>
      <c r="C34" s="187"/>
      <c r="D34" s="187"/>
      <c r="E34" s="187"/>
      <c r="F34" s="74"/>
    </row>
    <row r="35" spans="1:6" ht="30" customHeight="1" x14ac:dyDescent="0.25">
      <c r="A35" s="11" t="s">
        <v>167</v>
      </c>
      <c r="B35" s="187"/>
      <c r="C35" s="187"/>
      <c r="D35" s="187"/>
      <c r="E35" s="187"/>
      <c r="F35" s="74"/>
    </row>
    <row r="36" spans="1:6" ht="30" customHeight="1" x14ac:dyDescent="0.25">
      <c r="A36" s="11" t="s">
        <v>167</v>
      </c>
      <c r="B36" s="187"/>
      <c r="C36" s="187"/>
      <c r="D36" s="187"/>
      <c r="E36" s="187"/>
      <c r="F36" s="74"/>
    </row>
    <row r="37" spans="1:6" ht="30" customHeight="1" thickBot="1" x14ac:dyDescent="0.3">
      <c r="A37" s="12" t="s">
        <v>167</v>
      </c>
      <c r="B37" s="188"/>
      <c r="C37" s="188"/>
      <c r="D37" s="188"/>
      <c r="E37" s="188"/>
      <c r="F37" s="75"/>
    </row>
    <row r="38" spans="1:6" x14ac:dyDescent="0.25">
      <c r="B38" s="68"/>
      <c r="C38" s="68"/>
      <c r="D38" s="68"/>
      <c r="E38" s="68"/>
      <c r="F38" s="68"/>
    </row>
    <row r="39" spans="1:6" x14ac:dyDescent="0.25">
      <c r="B39" s="68"/>
      <c r="C39" s="68"/>
      <c r="D39" s="68"/>
      <c r="E39" s="68"/>
      <c r="F39" s="68"/>
    </row>
    <row r="40" spans="1:6" x14ac:dyDescent="0.25">
      <c r="B40" s="68"/>
      <c r="C40" s="68"/>
      <c r="D40" s="68"/>
      <c r="E40" s="68"/>
      <c r="F40" s="68"/>
    </row>
    <row r="41" spans="1:6" x14ac:dyDescent="0.25">
      <c r="B41" s="68"/>
      <c r="C41" s="68"/>
      <c r="D41" s="68"/>
      <c r="E41" s="68"/>
      <c r="F41" s="68"/>
    </row>
    <row r="42" spans="1:6" x14ac:dyDescent="0.25">
      <c r="B42" s="68"/>
      <c r="C42" s="68"/>
      <c r="D42" s="68"/>
      <c r="E42" s="68"/>
      <c r="F42" s="68"/>
    </row>
    <row r="43" spans="1:6" x14ac:dyDescent="0.25">
      <c r="B43" s="68"/>
      <c r="C43" s="68"/>
      <c r="D43" s="68"/>
      <c r="E43" s="68"/>
      <c r="F43" s="68"/>
    </row>
    <row r="44" spans="1:6" x14ac:dyDescent="0.25">
      <c r="B44" s="68"/>
      <c r="C44" s="68"/>
      <c r="D44" s="68"/>
      <c r="E44" s="68"/>
      <c r="F44" s="68"/>
    </row>
    <row r="45" spans="1:6" x14ac:dyDescent="0.25">
      <c r="B45" s="68"/>
      <c r="C45" s="68"/>
      <c r="D45" s="68"/>
      <c r="E45" s="68"/>
      <c r="F45" s="68"/>
    </row>
    <row r="46" spans="1:6" x14ac:dyDescent="0.25">
      <c r="B46" s="68"/>
      <c r="C46" s="68"/>
      <c r="D46" s="68"/>
      <c r="E46" s="68"/>
      <c r="F46" s="68"/>
    </row>
  </sheetData>
  <mergeCells count="21">
    <mergeCell ref="D32:E32"/>
    <mergeCell ref="D33:E33"/>
    <mergeCell ref="B32:C32"/>
    <mergeCell ref="B33:C33"/>
    <mergeCell ref="B34:C34"/>
    <mergeCell ref="B35:C35"/>
    <mergeCell ref="B36:C36"/>
    <mergeCell ref="B37:C37"/>
    <mergeCell ref="D34:E34"/>
    <mergeCell ref="D35:E35"/>
    <mergeCell ref="D36:E36"/>
    <mergeCell ref="D37:E37"/>
    <mergeCell ref="B11:E11"/>
    <mergeCell ref="B30:E30"/>
    <mergeCell ref="B12:E14"/>
    <mergeCell ref="A1:E1"/>
    <mergeCell ref="B10:E10"/>
    <mergeCell ref="B4:C4"/>
    <mergeCell ref="B5:C5"/>
    <mergeCell ref="B6:C6"/>
    <mergeCell ref="B7:C7"/>
  </mergeCells>
  <dataValidations xWindow="316" yWindow="263" count="24">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7:D28 D21"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O42"/>
  <sheetViews>
    <sheetView zoomScale="80" zoomScaleNormal="80" workbookViewId="0">
      <selection activeCell="D19" sqref="D19"/>
    </sheetView>
  </sheetViews>
  <sheetFormatPr defaultColWidth="9.140625" defaultRowHeight="15" x14ac:dyDescent="0.25"/>
  <cols>
    <col min="1" max="1" width="21.42578125" style="51" customWidth="1"/>
    <col min="2" max="10" width="15.7109375" style="51" customWidth="1"/>
    <col min="11" max="11" width="36.7109375" style="51" customWidth="1"/>
    <col min="12" max="12" width="8.5703125" style="51" customWidth="1"/>
    <col min="13" max="13" width="9.140625" style="51" customWidth="1"/>
    <col min="14" max="16384" width="9.140625" style="51"/>
  </cols>
  <sheetData>
    <row r="1" spans="1:15" ht="32.25" thickBot="1" x14ac:dyDescent="0.55000000000000004">
      <c r="A1" s="178" t="s">
        <v>224</v>
      </c>
      <c r="B1" s="178"/>
      <c r="C1" s="178"/>
      <c r="D1" s="178"/>
    </row>
    <row r="2" spans="1:15" ht="15" customHeight="1" x14ac:dyDescent="0.25">
      <c r="A2" s="24" t="s">
        <v>16</v>
      </c>
      <c r="B2" s="194" t="str">
        <f>CONCATENATE(ExpID,"-",StnNum,"-",StnDay)</f>
        <v>Polhavet2022-6-1</v>
      </c>
      <c r="C2" s="194"/>
      <c r="D2" s="76"/>
      <c r="E2" s="77"/>
      <c r="F2" s="77"/>
      <c r="G2" s="77"/>
      <c r="H2" s="77"/>
      <c r="I2" s="78"/>
      <c r="J2" s="79"/>
      <c r="K2" s="78"/>
    </row>
    <row r="3" spans="1:15" x14ac:dyDescent="0.25">
      <c r="A3" s="25" t="s">
        <v>137</v>
      </c>
      <c r="B3" s="196" t="s">
        <v>189</v>
      </c>
      <c r="C3" s="196"/>
      <c r="D3" s="80"/>
      <c r="E3" s="77"/>
      <c r="F3" s="77"/>
      <c r="G3" s="77"/>
      <c r="H3" s="77"/>
      <c r="I3" s="78"/>
      <c r="J3" s="79"/>
      <c r="K3" s="78"/>
    </row>
    <row r="4" spans="1:15" x14ac:dyDescent="0.25">
      <c r="A4" s="25" t="s">
        <v>4</v>
      </c>
      <c r="B4" s="195"/>
      <c r="C4" s="195"/>
      <c r="D4" s="80"/>
      <c r="E4" s="77"/>
      <c r="F4" s="77"/>
      <c r="G4" s="77"/>
      <c r="H4" s="77"/>
      <c r="I4" s="77"/>
      <c r="J4" s="79"/>
      <c r="K4" s="78"/>
    </row>
    <row r="5" spans="1:15" x14ac:dyDescent="0.25">
      <c r="A5" s="26" t="s">
        <v>108</v>
      </c>
      <c r="B5" s="197">
        <v>0.55208333333333337</v>
      </c>
      <c r="C5" s="197"/>
      <c r="D5" s="80" t="s">
        <v>308</v>
      </c>
      <c r="E5" s="77"/>
      <c r="F5" s="77"/>
      <c r="G5" s="77"/>
      <c r="H5" s="77"/>
      <c r="I5" s="77"/>
      <c r="J5" s="79"/>
      <c r="K5" s="78"/>
    </row>
    <row r="6" spans="1:15" x14ac:dyDescent="0.25">
      <c r="A6" s="26" t="s">
        <v>122</v>
      </c>
      <c r="B6" s="198" t="s">
        <v>188</v>
      </c>
      <c r="C6" s="198"/>
      <c r="D6" s="80" t="s">
        <v>310</v>
      </c>
      <c r="E6" s="77"/>
      <c r="F6" s="77"/>
      <c r="G6" s="77"/>
      <c r="H6" s="77"/>
      <c r="I6" s="77"/>
      <c r="J6" s="79"/>
      <c r="K6" s="78"/>
    </row>
    <row r="7" spans="1:15" x14ac:dyDescent="0.25">
      <c r="A7" s="26" t="s">
        <v>185</v>
      </c>
      <c r="B7" s="198"/>
      <c r="C7" s="198"/>
      <c r="D7" s="80"/>
      <c r="E7" s="77"/>
      <c r="F7" s="77"/>
      <c r="G7" s="77"/>
      <c r="H7" s="77"/>
      <c r="I7" s="77"/>
      <c r="J7" s="79"/>
      <c r="K7" s="78"/>
    </row>
    <row r="8" spans="1:15" x14ac:dyDescent="0.25">
      <c r="A8" s="26" t="s">
        <v>161</v>
      </c>
      <c r="B8" s="199" t="s">
        <v>190</v>
      </c>
      <c r="C8" s="200"/>
      <c r="D8" s="80"/>
      <c r="E8" s="77"/>
      <c r="F8" s="77"/>
      <c r="G8" s="77"/>
      <c r="H8" s="77"/>
      <c r="I8" s="77"/>
      <c r="J8" s="79"/>
      <c r="K8" s="78"/>
    </row>
    <row r="9" spans="1:15" x14ac:dyDescent="0.25">
      <c r="A9" s="26" t="s">
        <v>126</v>
      </c>
      <c r="B9" s="196" t="s">
        <v>252</v>
      </c>
      <c r="C9" s="196"/>
      <c r="D9" s="80"/>
      <c r="E9" s="77"/>
      <c r="F9" s="77"/>
      <c r="G9" s="77"/>
      <c r="H9" s="77"/>
      <c r="I9" s="77"/>
      <c r="J9" s="79"/>
      <c r="K9" s="78"/>
    </row>
    <row r="10" spans="1:15" ht="45" customHeight="1" thickBot="1" x14ac:dyDescent="0.3">
      <c r="A10" s="27" t="s">
        <v>15</v>
      </c>
      <c r="B10" s="191" t="s">
        <v>317</v>
      </c>
      <c r="C10" s="192"/>
      <c r="D10" s="193"/>
      <c r="E10" s="78"/>
      <c r="F10" s="78"/>
      <c r="G10" s="78"/>
      <c r="H10" s="78"/>
      <c r="I10" s="78"/>
      <c r="J10" s="78"/>
      <c r="M10" s="78"/>
    </row>
    <row r="11" spans="1:15" ht="15.75" thickBot="1" x14ac:dyDescent="0.3">
      <c r="A11" s="78"/>
      <c r="B11" s="78"/>
      <c r="C11" s="78"/>
      <c r="D11" s="78"/>
      <c r="E11" s="78"/>
      <c r="F11" s="78"/>
      <c r="G11" s="78"/>
      <c r="H11" s="78"/>
      <c r="I11" s="78"/>
      <c r="J11" s="78"/>
      <c r="M11" s="78"/>
    </row>
    <row r="12" spans="1:15" s="82" customFormat="1" ht="45.75" thickBot="1" x14ac:dyDescent="0.3">
      <c r="A12" s="28" t="s">
        <v>17</v>
      </c>
      <c r="B12" s="29" t="s">
        <v>124</v>
      </c>
      <c r="C12" s="29" t="s">
        <v>125</v>
      </c>
      <c r="D12" s="29" t="s">
        <v>18</v>
      </c>
      <c r="E12" s="30" t="s">
        <v>123</v>
      </c>
      <c r="F12" s="30" t="s">
        <v>138</v>
      </c>
      <c r="G12" s="30" t="s">
        <v>139</v>
      </c>
      <c r="H12" s="30" t="s">
        <v>140</v>
      </c>
      <c r="I12" s="29" t="s">
        <v>141</v>
      </c>
      <c r="J12" s="29" t="s">
        <v>142</v>
      </c>
      <c r="K12" s="31" t="s">
        <v>13</v>
      </c>
      <c r="L12" s="81"/>
      <c r="M12" s="81"/>
      <c r="N12" s="81"/>
      <c r="O12" s="81"/>
    </row>
    <row r="13" spans="1:15" x14ac:dyDescent="0.25">
      <c r="A13" s="83"/>
      <c r="B13" s="84"/>
      <c r="C13" s="84"/>
      <c r="D13" s="85"/>
      <c r="E13" s="84"/>
      <c r="F13" s="85"/>
      <c r="G13" s="85"/>
      <c r="H13" s="85"/>
      <c r="I13" s="85"/>
      <c r="J13" s="85"/>
      <c r="K13" s="86" t="s">
        <v>309</v>
      </c>
      <c r="L13" s="78"/>
      <c r="M13" s="78"/>
    </row>
    <row r="14" spans="1:15" x14ac:dyDescent="0.25">
      <c r="A14" s="87"/>
      <c r="B14" s="88"/>
      <c r="C14" s="88"/>
      <c r="D14" s="48"/>
      <c r="E14" s="88"/>
      <c r="F14" s="48"/>
      <c r="G14" s="48"/>
      <c r="H14" s="48"/>
      <c r="I14" s="48"/>
      <c r="J14" s="48"/>
      <c r="K14" s="89" t="s">
        <v>311</v>
      </c>
      <c r="L14" s="78"/>
      <c r="M14" s="78"/>
    </row>
    <row r="15" spans="1:15" x14ac:dyDescent="0.25">
      <c r="A15" s="87"/>
      <c r="B15" s="88"/>
      <c r="C15" s="88"/>
      <c r="D15" s="48"/>
      <c r="E15" s="88"/>
      <c r="F15" s="48"/>
      <c r="G15" s="48"/>
      <c r="H15" s="48"/>
      <c r="I15" s="48"/>
      <c r="J15" s="48"/>
      <c r="K15" s="89" t="s">
        <v>312</v>
      </c>
      <c r="L15" s="78"/>
      <c r="M15" s="78"/>
    </row>
    <row r="16" spans="1:15" x14ac:dyDescent="0.25">
      <c r="A16" s="87"/>
      <c r="B16" s="88"/>
      <c r="C16" s="88"/>
      <c r="D16" s="48"/>
      <c r="E16" s="88"/>
      <c r="F16" s="48"/>
      <c r="G16" s="48"/>
      <c r="H16" s="48"/>
      <c r="I16" s="48"/>
      <c r="J16" s="48"/>
      <c r="K16" s="89" t="s">
        <v>313</v>
      </c>
      <c r="L16" s="78"/>
      <c r="M16" s="78"/>
    </row>
    <row r="17" spans="1:13" x14ac:dyDescent="0.25">
      <c r="A17" s="87"/>
      <c r="B17" s="88"/>
      <c r="C17" s="88"/>
      <c r="D17" s="48"/>
      <c r="E17" s="88"/>
      <c r="F17" s="48"/>
      <c r="G17" s="48"/>
      <c r="H17" s="48"/>
      <c r="I17" s="48"/>
      <c r="J17" s="48"/>
      <c r="K17" s="89" t="s">
        <v>314</v>
      </c>
      <c r="L17" s="78"/>
      <c r="M17" s="78"/>
    </row>
    <row r="18" spans="1:13" x14ac:dyDescent="0.25">
      <c r="A18" s="87"/>
      <c r="B18" s="88"/>
      <c r="C18" s="88"/>
      <c r="D18" s="48"/>
      <c r="E18" s="88"/>
      <c r="F18" s="48"/>
      <c r="G18" s="48"/>
      <c r="H18" s="48"/>
      <c r="I18" s="48"/>
      <c r="J18" s="48"/>
      <c r="K18" s="89" t="s">
        <v>315</v>
      </c>
      <c r="L18" s="78"/>
      <c r="M18" s="78"/>
    </row>
    <row r="19" spans="1:13" x14ac:dyDescent="0.25">
      <c r="A19" s="87"/>
      <c r="B19" s="88"/>
      <c r="C19" s="88"/>
      <c r="D19" s="48"/>
      <c r="E19" s="88"/>
      <c r="F19" s="48"/>
      <c r="G19" s="48"/>
      <c r="H19" s="48"/>
      <c r="I19" s="48"/>
      <c r="J19" s="48"/>
      <c r="K19" s="89" t="s">
        <v>316</v>
      </c>
      <c r="L19" s="78"/>
      <c r="M19" s="78"/>
    </row>
    <row r="20" spans="1:13" x14ac:dyDescent="0.25">
      <c r="A20" s="87"/>
      <c r="B20" s="88"/>
      <c r="C20" s="88"/>
      <c r="D20" s="48"/>
      <c r="E20" s="88"/>
      <c r="F20" s="48"/>
      <c r="G20" s="48"/>
      <c r="H20" s="48"/>
      <c r="I20" s="48"/>
      <c r="J20" s="48"/>
      <c r="K20" s="89" t="s">
        <v>318</v>
      </c>
      <c r="L20" s="78"/>
      <c r="M20" s="78"/>
    </row>
    <row r="21" spans="1:13" x14ac:dyDescent="0.25">
      <c r="A21" s="87"/>
      <c r="B21" s="88"/>
      <c r="C21" s="88"/>
      <c r="D21" s="48"/>
      <c r="E21" s="88"/>
      <c r="F21" s="48"/>
      <c r="G21" s="48"/>
      <c r="H21" s="48"/>
      <c r="I21" s="48"/>
      <c r="J21" s="48"/>
      <c r="K21" s="89" t="s">
        <v>319</v>
      </c>
      <c r="L21" s="78"/>
      <c r="M21" s="78"/>
    </row>
    <row r="22" spans="1:13" x14ac:dyDescent="0.25">
      <c r="A22" s="87"/>
      <c r="B22" s="88"/>
      <c r="C22" s="88"/>
      <c r="D22" s="48"/>
      <c r="E22" s="88"/>
      <c r="F22" s="48"/>
      <c r="G22" s="48"/>
      <c r="H22" s="48"/>
      <c r="I22" s="48"/>
      <c r="J22" s="48"/>
      <c r="K22" s="89" t="s">
        <v>320</v>
      </c>
      <c r="L22" s="78"/>
      <c r="M22" s="78"/>
    </row>
    <row r="23" spans="1:13" x14ac:dyDescent="0.25">
      <c r="A23" s="87"/>
      <c r="B23" s="88"/>
      <c r="C23" s="88"/>
      <c r="D23" s="48"/>
      <c r="E23" s="88"/>
      <c r="F23" s="48"/>
      <c r="G23" s="48"/>
      <c r="H23" s="48"/>
      <c r="I23" s="48"/>
      <c r="J23" s="48"/>
      <c r="K23" s="89" t="s">
        <v>321</v>
      </c>
      <c r="L23" s="78"/>
      <c r="M23" s="78"/>
    </row>
    <row r="24" spans="1:13" x14ac:dyDescent="0.25">
      <c r="A24" s="87"/>
      <c r="B24" s="88"/>
      <c r="C24" s="88"/>
      <c r="D24" s="48"/>
      <c r="E24" s="88"/>
      <c r="F24" s="48"/>
      <c r="G24" s="48"/>
      <c r="H24" s="48"/>
      <c r="I24" s="48"/>
      <c r="J24" s="48"/>
      <c r="K24" s="89" t="s">
        <v>323</v>
      </c>
      <c r="L24" s="78"/>
      <c r="M24" s="78"/>
    </row>
    <row r="25" spans="1:13" x14ac:dyDescent="0.25">
      <c r="A25" s="87"/>
      <c r="B25" s="88"/>
      <c r="C25" s="88"/>
      <c r="D25" s="48"/>
      <c r="E25" s="88"/>
      <c r="F25" s="48"/>
      <c r="G25" s="48"/>
      <c r="H25" s="48"/>
      <c r="I25" s="48"/>
      <c r="J25" s="48"/>
      <c r="K25" s="89" t="s">
        <v>322</v>
      </c>
      <c r="L25" s="78"/>
      <c r="M25" s="78"/>
    </row>
    <row r="26" spans="1:13" x14ac:dyDescent="0.25">
      <c r="A26" s="87"/>
      <c r="B26" s="88"/>
      <c r="C26" s="88"/>
      <c r="D26" s="48"/>
      <c r="E26" s="88"/>
      <c r="F26" s="48"/>
      <c r="G26" s="48"/>
      <c r="H26" s="48"/>
      <c r="I26" s="48"/>
      <c r="J26" s="48"/>
      <c r="K26" s="89" t="s">
        <v>324</v>
      </c>
    </row>
    <row r="27" spans="1:13" x14ac:dyDescent="0.25">
      <c r="A27" s="87"/>
      <c r="B27" s="88"/>
      <c r="C27" s="88"/>
      <c r="D27" s="48"/>
      <c r="E27" s="88"/>
      <c r="F27" s="48"/>
      <c r="G27" s="48"/>
      <c r="H27" s="48"/>
      <c r="I27" s="48"/>
      <c r="J27" s="48"/>
      <c r="K27" s="89" t="s">
        <v>325</v>
      </c>
    </row>
    <row r="28" spans="1:13" x14ac:dyDescent="0.25">
      <c r="A28" s="87"/>
      <c r="B28" s="88"/>
      <c r="C28" s="88"/>
      <c r="D28" s="48"/>
      <c r="E28" s="88"/>
      <c r="F28" s="48"/>
      <c r="G28" s="48"/>
      <c r="H28" s="48"/>
      <c r="I28" s="48"/>
      <c r="J28" s="48"/>
      <c r="K28" s="89" t="s">
        <v>326</v>
      </c>
    </row>
    <row r="29" spans="1:13" x14ac:dyDescent="0.25">
      <c r="A29" s="87"/>
      <c r="B29" s="88"/>
      <c r="C29" s="88"/>
      <c r="D29" s="48"/>
      <c r="E29" s="88"/>
      <c r="F29" s="48"/>
      <c r="G29" s="48"/>
      <c r="H29" s="48"/>
      <c r="I29" s="48"/>
      <c r="J29" s="48"/>
      <c r="K29" s="89" t="s">
        <v>327</v>
      </c>
    </row>
    <row r="30" spans="1:13" x14ac:dyDescent="0.25">
      <c r="A30" s="87"/>
      <c r="B30" s="88"/>
      <c r="C30" s="88"/>
      <c r="D30" s="48"/>
      <c r="E30" s="88"/>
      <c r="F30" s="48"/>
      <c r="G30" s="48"/>
      <c r="H30" s="48"/>
      <c r="I30" s="48"/>
      <c r="J30" s="48"/>
      <c r="K30" s="89"/>
    </row>
    <row r="31" spans="1:13" x14ac:dyDescent="0.25">
      <c r="A31" s="87"/>
      <c r="B31" s="88"/>
      <c r="C31" s="88"/>
      <c r="D31" s="48"/>
      <c r="E31" s="88"/>
      <c r="F31" s="48"/>
      <c r="G31" s="48"/>
      <c r="H31" s="48"/>
      <c r="I31" s="48"/>
      <c r="J31" s="48"/>
      <c r="K31" s="89" t="s">
        <v>328</v>
      </c>
    </row>
    <row r="32" spans="1:13" x14ac:dyDescent="0.25">
      <c r="A32" s="87"/>
      <c r="B32" s="88"/>
      <c r="C32" s="88"/>
      <c r="D32" s="48"/>
      <c r="E32" s="88"/>
      <c r="F32" s="48"/>
      <c r="G32" s="48"/>
      <c r="H32" s="48"/>
      <c r="I32" s="48"/>
      <c r="J32" s="48"/>
      <c r="K32" s="89"/>
    </row>
    <row r="33" spans="1:11" x14ac:dyDescent="0.25">
      <c r="A33" s="87"/>
      <c r="B33" s="88"/>
      <c r="C33" s="88"/>
      <c r="D33" s="48"/>
      <c r="E33" s="88"/>
      <c r="F33" s="48"/>
      <c r="G33" s="48"/>
      <c r="H33" s="48"/>
      <c r="I33" s="48"/>
      <c r="J33" s="48"/>
      <c r="K33" s="89"/>
    </row>
    <row r="34" spans="1:11" x14ac:dyDescent="0.25">
      <c r="A34" s="87"/>
      <c r="B34" s="88"/>
      <c r="C34" s="88"/>
      <c r="D34" s="48"/>
      <c r="E34" s="88"/>
      <c r="F34" s="48"/>
      <c r="G34" s="48"/>
      <c r="H34" s="48"/>
      <c r="I34" s="48"/>
      <c r="J34" s="48"/>
      <c r="K34" s="89"/>
    </row>
    <row r="35" spans="1:11" x14ac:dyDescent="0.25">
      <c r="A35" s="87"/>
      <c r="B35" s="88"/>
      <c r="C35" s="88"/>
      <c r="D35" s="48"/>
      <c r="E35" s="88"/>
      <c r="F35" s="48"/>
      <c r="G35" s="48"/>
      <c r="H35" s="48"/>
      <c r="I35" s="48"/>
      <c r="J35" s="48"/>
      <c r="K35" s="89"/>
    </row>
    <row r="36" spans="1:11" x14ac:dyDescent="0.25">
      <c r="A36" s="87"/>
      <c r="B36" s="88"/>
      <c r="C36" s="88"/>
      <c r="D36" s="48"/>
      <c r="E36" s="88"/>
      <c r="F36" s="48"/>
      <c r="G36" s="48"/>
      <c r="H36" s="48"/>
      <c r="I36" s="48"/>
      <c r="J36" s="48"/>
      <c r="K36" s="89"/>
    </row>
    <row r="37" spans="1:11" x14ac:dyDescent="0.25">
      <c r="A37" s="87"/>
      <c r="B37" s="88"/>
      <c r="C37" s="88"/>
      <c r="D37" s="48"/>
      <c r="E37" s="88"/>
      <c r="F37" s="48"/>
      <c r="G37" s="48"/>
      <c r="H37" s="48"/>
      <c r="I37" s="48"/>
      <c r="J37" s="48"/>
      <c r="K37" s="89"/>
    </row>
    <row r="38" spans="1:11" x14ac:dyDescent="0.25">
      <c r="A38" s="87"/>
      <c r="B38" s="88"/>
      <c r="C38" s="88"/>
      <c r="D38" s="48"/>
      <c r="E38" s="88"/>
      <c r="F38" s="48"/>
      <c r="G38" s="48"/>
      <c r="H38" s="48"/>
      <c r="I38" s="48"/>
      <c r="J38" s="48"/>
      <c r="K38" s="89"/>
    </row>
    <row r="39" spans="1:11" x14ac:dyDescent="0.25">
      <c r="A39" s="87"/>
      <c r="B39" s="88"/>
      <c r="C39" s="88"/>
      <c r="D39" s="48"/>
      <c r="E39" s="88"/>
      <c r="F39" s="48"/>
      <c r="G39" s="48"/>
      <c r="H39" s="48"/>
      <c r="I39" s="48"/>
      <c r="J39" s="48"/>
      <c r="K39" s="89"/>
    </row>
    <row r="40" spans="1:11" x14ac:dyDescent="0.25">
      <c r="A40" s="87"/>
      <c r="B40" s="88"/>
      <c r="C40" s="88"/>
      <c r="D40" s="48"/>
      <c r="E40" s="88"/>
      <c r="F40" s="48"/>
      <c r="G40" s="48"/>
      <c r="H40" s="48"/>
      <c r="I40" s="48"/>
      <c r="J40" s="48"/>
      <c r="K40" s="89"/>
    </row>
    <row r="41" spans="1:11" x14ac:dyDescent="0.25">
      <c r="A41" s="87"/>
      <c r="B41" s="88"/>
      <c r="C41" s="88"/>
      <c r="D41" s="48"/>
      <c r="E41" s="88"/>
      <c r="F41" s="48"/>
      <c r="G41" s="48"/>
      <c r="H41" s="48"/>
      <c r="I41" s="48"/>
      <c r="J41" s="48"/>
      <c r="K41" s="89"/>
    </row>
    <row r="42" spans="1:11" x14ac:dyDescent="0.25">
      <c r="A42" s="87"/>
      <c r="B42" s="88"/>
      <c r="C42" s="88"/>
      <c r="D42" s="48"/>
      <c r="E42" s="88"/>
      <c r="F42" s="48"/>
      <c r="G42" s="48"/>
      <c r="H42" s="48"/>
      <c r="I42" s="48"/>
      <c r="J42" s="48"/>
      <c r="K42" s="89"/>
    </row>
  </sheetData>
  <mergeCells count="10">
    <mergeCell ref="A1:D1"/>
    <mergeCell ref="B10:D10"/>
    <mergeCell ref="B2:C2"/>
    <mergeCell ref="B4:C4"/>
    <mergeCell ref="B3:C3"/>
    <mergeCell ref="B5:C5"/>
    <mergeCell ref="B6:C6"/>
    <mergeCell ref="B7:C7"/>
    <mergeCell ref="B9:C9"/>
    <mergeCell ref="B8:C8"/>
  </mergeCells>
  <dataValidations count="4">
    <dataValidation type="decimal" operator="notEqual" allowBlank="1" showErrorMessage="1" error="Must enter a number" promptTitle="Start here" prompt="Enter the distance along the profile in this column.  The rows with entries in this column will then be ready for data in the other columns." sqref="A13:A42" xr:uid="{00000000-0002-0000-0100-000000000000}">
      <formula1>-1874525.21548457</formula1>
    </dataValidation>
    <dataValidation type="decimal" operator="greaterThanOrEqual" allowBlank="1" showInputMessage="1" showErrorMessage="1" error="Must be a positive number" promptTitle="Snow thickness" sqref="B13:B42" xr:uid="{00000000-0002-0000-0100-000001000000}">
      <formula1>0</formula1>
    </dataValidation>
    <dataValidation type="decimal" operator="greaterThanOrEqual" allowBlank="1" showErrorMessage="1" error="Must enter a positive number" promptTitle="EM Observation" prompt="Enter the data value recorded from the EM-31" sqref="C13:C42" xr:uid="{00000000-0002-0000-0100-000002000000}">
      <formula1>0</formula1>
    </dataValidation>
    <dataValidation allowBlank="1" showErrorMessage="1" promptTitle="Snow Thickness" prompt="Enter the measured snow thickness (in cm)." sqref="D13:D42" xr:uid="{00000000-0002-0000-0100-000003000000}"/>
  </dataValidations>
  <pageMargins left="0.7" right="0.7" top="0.75" bottom="0.75" header="0.3" footer="0.3"/>
  <pageSetup paperSize="9" scale="6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38"/>
  <sheetViews>
    <sheetView zoomScale="80" zoomScaleNormal="80" workbookViewId="0">
      <selection activeCell="B8" sqref="B8:D8"/>
    </sheetView>
  </sheetViews>
  <sheetFormatPr defaultColWidth="9.140625" defaultRowHeight="15" x14ac:dyDescent="0.25"/>
  <cols>
    <col min="1" max="1" width="18.7109375" style="51" customWidth="1"/>
    <col min="2" max="7" width="15.7109375" style="51" customWidth="1"/>
    <col min="8" max="8" width="36.7109375" style="51" customWidth="1"/>
    <col min="9" max="16384" width="9.140625" style="51"/>
  </cols>
  <sheetData>
    <row r="1" spans="1:9" ht="32.25" thickBot="1" x14ac:dyDescent="0.55000000000000004">
      <c r="A1" s="178" t="s">
        <v>73</v>
      </c>
      <c r="B1" s="178"/>
      <c r="C1" s="178"/>
      <c r="D1" s="178"/>
    </row>
    <row r="2" spans="1:9" x14ac:dyDescent="0.25">
      <c r="A2" s="24" t="s">
        <v>16</v>
      </c>
      <c r="B2" s="194" t="str">
        <f>CONCATENATE(ExpID,"-",StnNum,"-",StnDay)</f>
        <v>Polhavet2022-6-1</v>
      </c>
      <c r="C2" s="194"/>
      <c r="D2" s="76"/>
    </row>
    <row r="3" spans="1:9" x14ac:dyDescent="0.25">
      <c r="A3" s="25" t="s">
        <v>137</v>
      </c>
      <c r="B3" s="196"/>
      <c r="C3" s="196"/>
      <c r="D3" s="80"/>
    </row>
    <row r="4" spans="1:9" x14ac:dyDescent="0.25">
      <c r="A4" s="25" t="s">
        <v>4</v>
      </c>
      <c r="B4" s="195" t="str">
        <f>ObsDate</f>
        <v>05.08.2022</v>
      </c>
      <c r="C4" s="195"/>
      <c r="D4" s="80"/>
    </row>
    <row r="5" spans="1:9" x14ac:dyDescent="0.25">
      <c r="A5" s="26" t="s">
        <v>108</v>
      </c>
      <c r="B5" s="206"/>
      <c r="C5" s="207"/>
      <c r="D5" s="80"/>
    </row>
    <row r="6" spans="1:9" x14ac:dyDescent="0.25">
      <c r="A6" s="26" t="s">
        <v>122</v>
      </c>
      <c r="B6" s="199" t="s">
        <v>289</v>
      </c>
      <c r="C6" s="200"/>
      <c r="D6" s="80"/>
      <c r="E6" s="77"/>
      <c r="F6" s="77"/>
      <c r="G6" s="77"/>
      <c r="H6" s="79"/>
      <c r="I6" s="78"/>
    </row>
    <row r="7" spans="1:9" x14ac:dyDescent="0.25">
      <c r="A7" s="26" t="s">
        <v>168</v>
      </c>
      <c r="B7" s="201" t="s">
        <v>232</v>
      </c>
      <c r="C7" s="202"/>
      <c r="D7" s="80"/>
      <c r="E7" s="77"/>
      <c r="F7" s="77"/>
      <c r="G7" s="77"/>
      <c r="H7" s="79"/>
      <c r="I7" s="78"/>
    </row>
    <row r="8" spans="1:9" ht="30" customHeight="1" thickBot="1" x14ac:dyDescent="0.3">
      <c r="A8" s="27" t="s">
        <v>15</v>
      </c>
      <c r="B8" s="203" t="s">
        <v>304</v>
      </c>
      <c r="C8" s="204"/>
      <c r="D8" s="205"/>
    </row>
    <row r="9" spans="1:9" ht="15.75" thickBot="1" x14ac:dyDescent="0.3"/>
    <row r="10" spans="1:9" s="90" customFormat="1" ht="45.75" thickBot="1" x14ac:dyDescent="0.3">
      <c r="A10" s="32" t="s">
        <v>17</v>
      </c>
      <c r="B10" s="29" t="s">
        <v>155</v>
      </c>
      <c r="C10" s="33" t="s">
        <v>138</v>
      </c>
      <c r="D10" s="33" t="s">
        <v>139</v>
      </c>
      <c r="E10" s="33" t="s">
        <v>140</v>
      </c>
      <c r="F10" s="33" t="s">
        <v>141</v>
      </c>
      <c r="G10" s="33" t="s">
        <v>143</v>
      </c>
      <c r="H10" s="34" t="s">
        <v>13</v>
      </c>
    </row>
    <row r="11" spans="1:9" x14ac:dyDescent="0.25">
      <c r="A11" s="83"/>
      <c r="B11" s="85">
        <v>4</v>
      </c>
      <c r="C11" s="85">
        <v>159</v>
      </c>
      <c r="D11" s="85">
        <v>164</v>
      </c>
      <c r="E11" s="85"/>
      <c r="F11" s="85"/>
      <c r="G11" s="85"/>
      <c r="H11" s="91" t="s">
        <v>255</v>
      </c>
    </row>
    <row r="12" spans="1:9" x14ac:dyDescent="0.25">
      <c r="A12" s="87"/>
      <c r="B12" s="48"/>
      <c r="C12" s="48">
        <v>150</v>
      </c>
      <c r="D12" s="48">
        <v>148</v>
      </c>
      <c r="E12" s="48"/>
      <c r="F12" s="48"/>
      <c r="G12" s="48"/>
      <c r="H12" s="47" t="s">
        <v>256</v>
      </c>
    </row>
    <row r="13" spans="1:9" x14ac:dyDescent="0.25">
      <c r="A13" s="87"/>
      <c r="B13" s="48">
        <v>3</v>
      </c>
      <c r="C13" s="48">
        <v>157</v>
      </c>
      <c r="D13" s="48">
        <v>178</v>
      </c>
      <c r="E13" s="48"/>
      <c r="F13" s="48"/>
      <c r="G13" s="48"/>
      <c r="H13" s="47" t="s">
        <v>257</v>
      </c>
    </row>
    <row r="14" spans="1:9" x14ac:dyDescent="0.25">
      <c r="A14" s="87"/>
      <c r="B14" s="48">
        <v>5</v>
      </c>
      <c r="C14" s="48">
        <v>154</v>
      </c>
      <c r="D14" s="48">
        <v>170</v>
      </c>
      <c r="E14" s="48"/>
      <c r="F14" s="48"/>
      <c r="G14" s="48"/>
      <c r="H14" s="47" t="s">
        <v>258</v>
      </c>
    </row>
    <row r="15" spans="1:9" x14ac:dyDescent="0.25">
      <c r="A15" s="87"/>
      <c r="B15" s="48"/>
      <c r="C15" s="48"/>
      <c r="D15" s="48"/>
      <c r="E15" s="48"/>
      <c r="F15" s="48"/>
      <c r="G15" s="48"/>
      <c r="H15" s="47"/>
    </row>
    <row r="16" spans="1:9" x14ac:dyDescent="0.25">
      <c r="A16" s="87"/>
      <c r="B16" s="48">
        <v>0</v>
      </c>
      <c r="C16" s="48">
        <v>132</v>
      </c>
      <c r="D16" s="48">
        <v>154</v>
      </c>
      <c r="E16" s="48"/>
      <c r="F16" s="48"/>
      <c r="G16" s="48"/>
      <c r="H16" s="47" t="s">
        <v>291</v>
      </c>
    </row>
    <row r="17" spans="1:17" x14ac:dyDescent="0.25">
      <c r="A17" s="87"/>
      <c r="B17" s="48">
        <v>0</v>
      </c>
      <c r="C17" s="48">
        <v>163</v>
      </c>
      <c r="D17" s="48">
        <v>183</v>
      </c>
      <c r="E17" s="48"/>
      <c r="F17" s="48"/>
      <c r="G17" s="48"/>
      <c r="H17" s="154" t="s">
        <v>292</v>
      </c>
      <c r="I17" s="51" t="s">
        <v>301</v>
      </c>
    </row>
    <row r="18" spans="1:17" x14ac:dyDescent="0.25">
      <c r="A18" s="87"/>
      <c r="B18" s="48"/>
      <c r="C18" s="48"/>
      <c r="D18" s="48"/>
      <c r="E18" s="48"/>
      <c r="F18" s="48"/>
      <c r="G18" s="48"/>
      <c r="H18" s="47"/>
    </row>
    <row r="19" spans="1:17" x14ac:dyDescent="0.25">
      <c r="A19" s="87"/>
      <c r="B19" s="48">
        <v>0</v>
      </c>
      <c r="C19" s="48">
        <v>134</v>
      </c>
      <c r="D19" s="48">
        <v>156</v>
      </c>
      <c r="E19" s="48"/>
      <c r="F19" s="48"/>
      <c r="G19" s="48"/>
      <c r="H19" s="47" t="s">
        <v>293</v>
      </c>
      <c r="O19" s="51" t="s">
        <v>231</v>
      </c>
    </row>
    <row r="20" spans="1:17" x14ac:dyDescent="0.25">
      <c r="A20" s="87"/>
      <c r="B20" s="48">
        <v>0</v>
      </c>
      <c r="C20" s="48">
        <v>165</v>
      </c>
      <c r="D20" s="48">
        <v>188</v>
      </c>
      <c r="E20" s="48"/>
      <c r="F20" s="48"/>
      <c r="G20" s="48"/>
      <c r="H20" s="154" t="s">
        <v>294</v>
      </c>
      <c r="I20" s="51" t="s">
        <v>302</v>
      </c>
    </row>
    <row r="21" spans="1:17" x14ac:dyDescent="0.25">
      <c r="A21" s="87"/>
      <c r="B21" s="48"/>
      <c r="C21" s="48"/>
      <c r="D21" s="48"/>
      <c r="E21" s="48"/>
      <c r="F21" s="48"/>
      <c r="G21" s="48"/>
      <c r="H21" s="47"/>
      <c r="O21" s="51" t="s">
        <v>229</v>
      </c>
      <c r="Q21" s="51" t="s">
        <v>228</v>
      </c>
    </row>
    <row r="22" spans="1:17" x14ac:dyDescent="0.25">
      <c r="A22" s="87"/>
      <c r="B22" s="48">
        <v>0</v>
      </c>
      <c r="C22" s="48">
        <v>135</v>
      </c>
      <c r="D22" s="48">
        <v>155</v>
      </c>
      <c r="E22" s="48"/>
      <c r="F22" s="48"/>
      <c r="G22" s="48"/>
      <c r="H22" s="47" t="s">
        <v>295</v>
      </c>
    </row>
    <row r="23" spans="1:17" x14ac:dyDescent="0.25">
      <c r="A23" s="87"/>
      <c r="B23" s="48">
        <v>0</v>
      </c>
      <c r="C23" s="48">
        <v>164</v>
      </c>
      <c r="D23" s="48">
        <v>185</v>
      </c>
      <c r="E23" s="48"/>
      <c r="F23" s="48"/>
      <c r="G23" s="48"/>
      <c r="H23" s="154" t="s">
        <v>296</v>
      </c>
      <c r="I23" s="51" t="s">
        <v>303</v>
      </c>
    </row>
    <row r="24" spans="1:17" x14ac:dyDescent="0.25">
      <c r="A24" s="87"/>
      <c r="B24" s="48"/>
      <c r="C24" s="48"/>
      <c r="D24" s="48"/>
      <c r="E24" s="48"/>
      <c r="F24" s="48"/>
      <c r="G24" s="48"/>
      <c r="H24" s="47"/>
      <c r="P24" s="51" t="s">
        <v>230</v>
      </c>
    </row>
    <row r="25" spans="1:17" x14ac:dyDescent="0.25">
      <c r="A25" s="87"/>
      <c r="B25" s="48">
        <v>0</v>
      </c>
      <c r="C25" s="48">
        <v>131</v>
      </c>
      <c r="D25" s="48">
        <v>154</v>
      </c>
      <c r="E25" s="48"/>
      <c r="F25" s="48"/>
      <c r="G25" s="48"/>
      <c r="H25" s="47" t="s">
        <v>297</v>
      </c>
      <c r="M25" s="90"/>
      <c r="O25" s="51" t="s">
        <v>227</v>
      </c>
      <c r="Q25" s="51" t="s">
        <v>226</v>
      </c>
    </row>
    <row r="26" spans="1:17" x14ac:dyDescent="0.25">
      <c r="A26" s="87"/>
      <c r="B26" s="48">
        <v>0</v>
      </c>
      <c r="C26" s="48">
        <v>161</v>
      </c>
      <c r="D26" s="48">
        <v>184</v>
      </c>
      <c r="E26" s="48"/>
      <c r="F26" s="48"/>
      <c r="G26" s="48"/>
      <c r="H26" s="154" t="s">
        <v>298</v>
      </c>
      <c r="I26" s="51" t="s">
        <v>305</v>
      </c>
    </row>
    <row r="27" spans="1:17" x14ac:dyDescent="0.25">
      <c r="A27" s="87"/>
      <c r="B27" s="48"/>
      <c r="C27" s="48"/>
      <c r="D27" s="48"/>
      <c r="E27" s="48"/>
      <c r="F27" s="48"/>
      <c r="G27" s="48"/>
      <c r="H27" s="47"/>
    </row>
    <row r="28" spans="1:17" x14ac:dyDescent="0.25">
      <c r="A28" s="87"/>
      <c r="B28" s="48">
        <v>0</v>
      </c>
      <c r="C28" s="48">
        <v>133</v>
      </c>
      <c r="D28" s="48">
        <v>152</v>
      </c>
      <c r="E28" s="48"/>
      <c r="F28" s="48"/>
      <c r="G28" s="48"/>
      <c r="H28" s="47" t="s">
        <v>299</v>
      </c>
      <c r="I28" s="51" t="s">
        <v>307</v>
      </c>
      <c r="O28" s="90"/>
      <c r="P28" s="51" t="s">
        <v>225</v>
      </c>
      <c r="Q28" s="90"/>
    </row>
    <row r="29" spans="1:17" x14ac:dyDescent="0.25">
      <c r="A29" s="87"/>
      <c r="B29" s="48">
        <v>0</v>
      </c>
      <c r="C29" s="48">
        <v>163</v>
      </c>
      <c r="D29" s="48">
        <v>184</v>
      </c>
      <c r="E29" s="48"/>
      <c r="F29" s="48"/>
      <c r="G29" s="48"/>
      <c r="H29" s="154" t="s">
        <v>300</v>
      </c>
    </row>
    <row r="30" spans="1:17" x14ac:dyDescent="0.25">
      <c r="A30" s="87"/>
      <c r="B30" s="48"/>
      <c r="C30" s="48"/>
      <c r="D30" s="48"/>
      <c r="E30" s="48"/>
      <c r="F30" s="48"/>
      <c r="G30" s="48"/>
      <c r="H30" s="47"/>
    </row>
    <row r="31" spans="1:17" x14ac:dyDescent="0.25">
      <c r="A31" s="87"/>
      <c r="B31" s="48"/>
      <c r="C31" s="48"/>
      <c r="D31" s="48"/>
      <c r="E31" s="48"/>
      <c r="F31" s="48"/>
      <c r="G31" s="48"/>
      <c r="H31" s="154" t="s">
        <v>306</v>
      </c>
    </row>
    <row r="32" spans="1:17" x14ac:dyDescent="0.25">
      <c r="A32" s="87"/>
      <c r="B32" s="48"/>
      <c r="C32" s="48"/>
      <c r="D32" s="48"/>
      <c r="E32" s="48"/>
      <c r="F32" s="48"/>
      <c r="G32" s="48"/>
      <c r="H32" s="47"/>
    </row>
    <row r="33" spans="1:8" x14ac:dyDescent="0.25">
      <c r="A33" s="87"/>
      <c r="B33" s="48"/>
      <c r="C33" s="48"/>
      <c r="D33" s="48"/>
      <c r="E33" s="48"/>
      <c r="F33" s="48"/>
      <c r="G33" s="48"/>
      <c r="H33" s="47"/>
    </row>
    <row r="34" spans="1:8" x14ac:dyDescent="0.25">
      <c r="A34" s="87"/>
      <c r="B34" s="48"/>
      <c r="C34" s="48"/>
      <c r="D34" s="48"/>
      <c r="E34" s="48"/>
      <c r="F34" s="48"/>
      <c r="G34" s="48"/>
      <c r="H34" s="47"/>
    </row>
    <row r="35" spans="1:8" x14ac:dyDescent="0.25">
      <c r="A35" s="87"/>
      <c r="B35" s="48"/>
      <c r="C35" s="48"/>
      <c r="D35" s="48"/>
      <c r="E35" s="48"/>
      <c r="F35" s="48"/>
      <c r="G35" s="48"/>
      <c r="H35" s="47"/>
    </row>
    <row r="36" spans="1:8" x14ac:dyDescent="0.25">
      <c r="A36" s="87"/>
      <c r="B36" s="48"/>
      <c r="C36" s="48"/>
      <c r="D36" s="48"/>
      <c r="E36" s="48"/>
      <c r="F36" s="48"/>
      <c r="G36" s="48"/>
      <c r="H36" s="47"/>
    </row>
    <row r="37" spans="1:8" x14ac:dyDescent="0.25">
      <c r="A37" s="87"/>
      <c r="B37" s="48"/>
      <c r="C37" s="48"/>
      <c r="D37" s="48"/>
      <c r="E37" s="48"/>
      <c r="F37" s="48"/>
      <c r="G37" s="48"/>
      <c r="H37" s="47"/>
    </row>
    <row r="38" spans="1:8" x14ac:dyDescent="0.25">
      <c r="A38" s="87"/>
      <c r="B38" s="48"/>
      <c r="C38" s="48"/>
      <c r="D38" s="48"/>
      <c r="E38" s="48"/>
      <c r="F38" s="48"/>
      <c r="G38" s="48"/>
      <c r="H38" s="47"/>
    </row>
  </sheetData>
  <mergeCells count="8">
    <mergeCell ref="B6:C6"/>
    <mergeCell ref="B7:C7"/>
    <mergeCell ref="B8:D8"/>
    <mergeCell ref="A1:D1"/>
    <mergeCell ref="B2:C2"/>
    <mergeCell ref="B3:C3"/>
    <mergeCell ref="B4:C4"/>
    <mergeCell ref="B5:C5"/>
  </mergeCells>
  <pageMargins left="0.7" right="0.7" top="0.75" bottom="0.75" header="0.3" footer="0.3"/>
  <pageSetup paperSize="9" scale="8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5"/>
  <sheetViews>
    <sheetView topLeftCell="A16" zoomScale="80" zoomScaleNormal="80" workbookViewId="0">
      <selection activeCell="C55" sqref="C55"/>
    </sheetView>
  </sheetViews>
  <sheetFormatPr defaultColWidth="9.140625" defaultRowHeight="15" x14ac:dyDescent="0.25"/>
  <cols>
    <col min="1" max="1" width="29.42578125" style="51" bestFit="1" customWidth="1"/>
    <col min="2" max="8" width="15.7109375" style="51" customWidth="1"/>
    <col min="9" max="9" width="36.7109375" style="51" customWidth="1"/>
    <col min="10" max="10" width="16.42578125" style="51" customWidth="1"/>
    <col min="11" max="13" width="15.7109375" style="51" customWidth="1"/>
    <col min="14" max="14" width="36.7109375" style="51" customWidth="1"/>
    <col min="15" max="16384" width="9.140625" style="51"/>
  </cols>
  <sheetData>
    <row r="1" spans="1:13" ht="31.5" x14ac:dyDescent="0.5">
      <c r="A1" s="210" t="s">
        <v>112</v>
      </c>
      <c r="B1" s="210"/>
      <c r="C1" s="210"/>
      <c r="D1" s="210"/>
    </row>
    <row r="2" spans="1:13" x14ac:dyDescent="0.25">
      <c r="A2" s="4" t="s">
        <v>16</v>
      </c>
      <c r="B2" s="214" t="str">
        <f>CONCATENATE(ExpID,"-",StnNum,"-",StnDay)</f>
        <v>Polhavet2022-6-1</v>
      </c>
      <c r="C2" s="214"/>
      <c r="D2" s="113"/>
    </row>
    <row r="3" spans="1:13" x14ac:dyDescent="0.25">
      <c r="A3" s="4" t="s">
        <v>137</v>
      </c>
      <c r="B3" s="196" t="s">
        <v>223</v>
      </c>
      <c r="C3" s="196"/>
      <c r="D3" s="114"/>
    </row>
    <row r="4" spans="1:13" x14ac:dyDescent="0.25">
      <c r="A4" s="4" t="s">
        <v>4</v>
      </c>
      <c r="B4" s="195" t="str">
        <f>ObsDate</f>
        <v>05.08.2022</v>
      </c>
      <c r="C4" s="195"/>
      <c r="D4" s="114"/>
    </row>
    <row r="5" spans="1:13" x14ac:dyDescent="0.25">
      <c r="A5" s="5" t="s">
        <v>108</v>
      </c>
      <c r="B5" s="197">
        <v>0.55208333333333337</v>
      </c>
      <c r="C5" s="197"/>
      <c r="D5" s="114"/>
      <c r="E5" s="51" t="s">
        <v>268</v>
      </c>
    </row>
    <row r="6" spans="1:13" x14ac:dyDescent="0.25">
      <c r="A6" s="5" t="s">
        <v>122</v>
      </c>
      <c r="B6" s="198" t="s">
        <v>253</v>
      </c>
      <c r="C6" s="198"/>
      <c r="D6" s="114"/>
      <c r="E6" s="77"/>
    </row>
    <row r="7" spans="1:13" ht="30" customHeight="1" x14ac:dyDescent="0.25">
      <c r="A7" s="6" t="s">
        <v>15</v>
      </c>
      <c r="B7" s="211" t="s">
        <v>370</v>
      </c>
      <c r="C7" s="212"/>
      <c r="D7" s="213"/>
    </row>
    <row r="9" spans="1:13" x14ac:dyDescent="0.25">
      <c r="A9" s="53" t="s">
        <v>110</v>
      </c>
    </row>
    <row r="10" spans="1:13" x14ac:dyDescent="0.25">
      <c r="A10" s="7" t="s">
        <v>144</v>
      </c>
      <c r="B10" s="109"/>
      <c r="K10" s="208" t="s">
        <v>175</v>
      </c>
      <c r="L10" s="209"/>
      <c r="M10" s="48"/>
    </row>
    <row r="11" spans="1:13" x14ac:dyDescent="0.25">
      <c r="A11" s="7" t="s">
        <v>145</v>
      </c>
      <c r="B11" s="109">
        <v>185</v>
      </c>
      <c r="K11" s="208" t="s">
        <v>132</v>
      </c>
      <c r="L11" s="209"/>
      <c r="M11" s="47">
        <v>2</v>
      </c>
    </row>
    <row r="12" spans="1:13" x14ac:dyDescent="0.25">
      <c r="A12" s="7" t="s">
        <v>146</v>
      </c>
      <c r="B12" s="109">
        <v>167</v>
      </c>
      <c r="K12" s="7" t="s">
        <v>131</v>
      </c>
      <c r="L12" s="7"/>
      <c r="M12" s="46">
        <f>SUM(M18:M50)</f>
        <v>188.5</v>
      </c>
    </row>
    <row r="13" spans="1:13" x14ac:dyDescent="0.25">
      <c r="A13" s="7" t="s">
        <v>141</v>
      </c>
      <c r="B13" s="109"/>
    </row>
    <row r="14" spans="1:13" x14ac:dyDescent="0.25">
      <c r="A14" s="7" t="s">
        <v>143</v>
      </c>
      <c r="B14" s="109"/>
    </row>
    <row r="15" spans="1:13" x14ac:dyDescent="0.25">
      <c r="A15" s="7" t="s">
        <v>155</v>
      </c>
      <c r="B15" s="109">
        <v>3</v>
      </c>
    </row>
    <row r="17" spans="1:14" s="82" customFormat="1" ht="45" x14ac:dyDescent="0.25">
      <c r="A17" s="10" t="s">
        <v>114</v>
      </c>
      <c r="B17" s="10" t="s">
        <v>150</v>
      </c>
      <c r="C17" s="10" t="s">
        <v>151</v>
      </c>
      <c r="D17" s="10" t="s">
        <v>115</v>
      </c>
      <c r="E17" s="10" t="s">
        <v>116</v>
      </c>
      <c r="F17" s="10" t="s">
        <v>117</v>
      </c>
      <c r="G17" s="10" t="s">
        <v>152</v>
      </c>
      <c r="H17" s="10" t="s">
        <v>118</v>
      </c>
      <c r="I17" s="10" t="s">
        <v>13</v>
      </c>
      <c r="J17" s="82" t="s">
        <v>330</v>
      </c>
      <c r="K17" s="10" t="s">
        <v>119</v>
      </c>
      <c r="L17" s="10" t="s">
        <v>153</v>
      </c>
      <c r="M17" s="10" t="s">
        <v>154</v>
      </c>
      <c r="N17" s="10" t="s">
        <v>13</v>
      </c>
    </row>
    <row r="18" spans="1:14" x14ac:dyDescent="0.25">
      <c r="A18" s="110" t="s">
        <v>192</v>
      </c>
      <c r="B18" s="109">
        <v>0</v>
      </c>
      <c r="C18" s="109">
        <v>5</v>
      </c>
      <c r="D18" s="88">
        <v>0</v>
      </c>
      <c r="E18" s="88">
        <v>7.22E-2</v>
      </c>
      <c r="F18" s="111">
        <v>9</v>
      </c>
      <c r="G18" s="109"/>
      <c r="H18" s="88"/>
      <c r="I18" s="112"/>
      <c r="J18" s="51" t="s">
        <v>329</v>
      </c>
      <c r="K18" s="110">
        <v>1</v>
      </c>
      <c r="L18" s="109"/>
      <c r="M18" s="109">
        <v>81.5</v>
      </c>
      <c r="N18" s="112" t="s">
        <v>267</v>
      </c>
    </row>
    <row r="19" spans="1:14" x14ac:dyDescent="0.25">
      <c r="A19" s="110" t="s">
        <v>193</v>
      </c>
      <c r="B19" s="109">
        <v>5</v>
      </c>
      <c r="C19" s="109">
        <v>10</v>
      </c>
      <c r="D19" s="88">
        <v>0</v>
      </c>
      <c r="E19" s="88">
        <v>0.09</v>
      </c>
      <c r="F19" s="111">
        <v>9.1999999999999993</v>
      </c>
      <c r="G19" s="109"/>
      <c r="H19" s="88"/>
      <c r="I19" s="112"/>
      <c r="J19" s="51" t="s">
        <v>333</v>
      </c>
      <c r="K19" s="110">
        <v>2</v>
      </c>
      <c r="L19" s="109"/>
      <c r="M19" s="109">
        <f>115.5-5-3.5</f>
        <v>107</v>
      </c>
      <c r="N19" s="112" t="s">
        <v>266</v>
      </c>
    </row>
    <row r="20" spans="1:14" x14ac:dyDescent="0.25">
      <c r="A20" s="110" t="s">
        <v>194</v>
      </c>
      <c r="B20" s="109">
        <v>10</v>
      </c>
      <c r="C20" s="109">
        <v>15</v>
      </c>
      <c r="D20" s="88">
        <v>0</v>
      </c>
      <c r="E20" s="88">
        <v>6.2E-2</v>
      </c>
      <c r="F20" s="111">
        <v>9.6</v>
      </c>
      <c r="G20" s="109"/>
      <c r="H20" s="88"/>
      <c r="I20" s="112"/>
      <c r="J20" s="51" t="s">
        <v>334</v>
      </c>
      <c r="K20" s="110"/>
      <c r="L20" s="109"/>
      <c r="M20" s="109"/>
      <c r="N20" s="112"/>
    </row>
    <row r="21" spans="1:14" x14ac:dyDescent="0.25">
      <c r="A21" s="110" t="s">
        <v>195</v>
      </c>
      <c r="B21" s="109">
        <v>15</v>
      </c>
      <c r="C21" s="109">
        <v>20</v>
      </c>
      <c r="D21" s="88">
        <v>0</v>
      </c>
      <c r="E21" s="88">
        <v>6.8000000000000005E-2</v>
      </c>
      <c r="F21" s="111">
        <v>9</v>
      </c>
      <c r="G21" s="109"/>
      <c r="H21" s="88"/>
      <c r="I21" s="112"/>
      <c r="J21" s="51" t="s">
        <v>335</v>
      </c>
      <c r="K21" s="110"/>
      <c r="L21" s="109"/>
      <c r="M21" s="109"/>
      <c r="N21" s="112"/>
    </row>
    <row r="22" spans="1:14" x14ac:dyDescent="0.25">
      <c r="A22" s="110" t="s">
        <v>196</v>
      </c>
      <c r="B22" s="109">
        <v>20</v>
      </c>
      <c r="C22" s="109">
        <v>25</v>
      </c>
      <c r="D22" s="88">
        <v>0</v>
      </c>
      <c r="E22" s="88">
        <v>6.3E-2</v>
      </c>
      <c r="F22" s="111">
        <v>8.9</v>
      </c>
      <c r="G22" s="109"/>
      <c r="H22" s="88"/>
      <c r="I22" s="112"/>
      <c r="J22" s="51" t="s">
        <v>336</v>
      </c>
      <c r="K22" s="110"/>
      <c r="L22" s="109"/>
      <c r="M22" s="109"/>
      <c r="N22" s="112"/>
    </row>
    <row r="23" spans="1:14" x14ac:dyDescent="0.25">
      <c r="A23" s="110" t="s">
        <v>197</v>
      </c>
      <c r="B23" s="109">
        <v>25</v>
      </c>
      <c r="C23" s="109">
        <v>30</v>
      </c>
      <c r="D23" s="88">
        <v>0</v>
      </c>
      <c r="E23" s="88">
        <v>7.3999999999999996E-2</v>
      </c>
      <c r="F23" s="111">
        <v>9.1</v>
      </c>
      <c r="G23" s="109"/>
      <c r="H23" s="88"/>
      <c r="I23" s="112"/>
      <c r="J23" s="51" t="s">
        <v>337</v>
      </c>
      <c r="K23" s="110"/>
      <c r="L23" s="109"/>
      <c r="M23" s="109"/>
      <c r="N23" s="112"/>
    </row>
    <row r="24" spans="1:14" x14ac:dyDescent="0.25">
      <c r="A24" s="110" t="s">
        <v>198</v>
      </c>
      <c r="B24" s="109">
        <v>30</v>
      </c>
      <c r="C24" s="109">
        <v>35</v>
      </c>
      <c r="D24" s="88">
        <v>0</v>
      </c>
      <c r="E24" s="88">
        <v>0.08</v>
      </c>
      <c r="F24" s="111">
        <v>9.1999999999999993</v>
      </c>
      <c r="G24" s="109"/>
      <c r="H24" s="88"/>
      <c r="I24" s="112"/>
      <c r="J24" s="51" t="s">
        <v>338</v>
      </c>
      <c r="K24" s="110"/>
      <c r="L24" s="109"/>
      <c r="M24" s="109"/>
      <c r="N24" s="112"/>
    </row>
    <row r="25" spans="1:14" x14ac:dyDescent="0.25">
      <c r="A25" s="110" t="s">
        <v>199</v>
      </c>
      <c r="B25" s="109">
        <v>35</v>
      </c>
      <c r="C25" s="109">
        <v>40</v>
      </c>
      <c r="D25" s="88">
        <v>0</v>
      </c>
      <c r="E25" s="88">
        <v>0.115</v>
      </c>
      <c r="F25" s="111">
        <v>9.1999999999999993</v>
      </c>
      <c r="G25" s="109"/>
      <c r="H25" s="88"/>
      <c r="I25" s="112"/>
      <c r="J25" s="51" t="s">
        <v>339</v>
      </c>
      <c r="K25" s="110"/>
      <c r="L25" s="109"/>
      <c r="M25" s="109"/>
      <c r="N25" s="112"/>
    </row>
    <row r="26" spans="1:14" x14ac:dyDescent="0.25">
      <c r="A26" s="110" t="s">
        <v>200</v>
      </c>
      <c r="B26" s="109">
        <v>40</v>
      </c>
      <c r="C26" s="109">
        <v>45</v>
      </c>
      <c r="D26" s="88">
        <v>0</v>
      </c>
      <c r="E26" s="88">
        <v>0.20799999999999999</v>
      </c>
      <c r="F26" s="111">
        <v>10.4</v>
      </c>
      <c r="G26" s="109"/>
      <c r="H26" s="88"/>
      <c r="I26" s="112"/>
      <c r="J26" s="51" t="s">
        <v>340</v>
      </c>
      <c r="K26" s="110"/>
      <c r="L26" s="109"/>
      <c r="M26" s="109"/>
      <c r="N26" s="112"/>
    </row>
    <row r="27" spans="1:14" x14ac:dyDescent="0.25">
      <c r="A27" s="110" t="s">
        <v>201</v>
      </c>
      <c r="B27" s="109">
        <v>45</v>
      </c>
      <c r="C27" s="109">
        <v>50</v>
      </c>
      <c r="D27" s="88">
        <v>0.1</v>
      </c>
      <c r="E27" s="88">
        <v>0.34399999999999997</v>
      </c>
      <c r="F27" s="111">
        <v>10.6</v>
      </c>
      <c r="G27" s="109"/>
      <c r="H27" s="88"/>
      <c r="I27" s="112"/>
      <c r="J27" s="51" t="s">
        <v>341</v>
      </c>
      <c r="K27" s="110"/>
      <c r="L27" s="109"/>
      <c r="M27" s="109"/>
      <c r="N27" s="112"/>
    </row>
    <row r="28" spans="1:14" x14ac:dyDescent="0.25">
      <c r="A28" s="110" t="s">
        <v>202</v>
      </c>
      <c r="B28" s="109">
        <v>50</v>
      </c>
      <c r="C28" s="109">
        <v>55</v>
      </c>
      <c r="D28" s="88">
        <v>0.3</v>
      </c>
      <c r="E28" s="88">
        <v>0.78300000000000003</v>
      </c>
      <c r="F28" s="111">
        <v>9.1999999999999993</v>
      </c>
      <c r="G28" s="109"/>
      <c r="H28" s="88"/>
      <c r="I28" s="112"/>
      <c r="J28" s="51" t="s">
        <v>342</v>
      </c>
      <c r="K28" s="110"/>
      <c r="L28" s="109"/>
      <c r="M28" s="109"/>
      <c r="N28" s="112"/>
    </row>
    <row r="29" spans="1:14" x14ac:dyDescent="0.25">
      <c r="A29" s="110" t="s">
        <v>203</v>
      </c>
      <c r="B29" s="109">
        <v>55</v>
      </c>
      <c r="C29" s="109">
        <v>60</v>
      </c>
      <c r="D29" s="88">
        <v>0.7</v>
      </c>
      <c r="E29" s="88">
        <v>1.478</v>
      </c>
      <c r="F29" s="111">
        <v>9.1999999999999993</v>
      </c>
      <c r="G29" s="109"/>
      <c r="H29" s="88"/>
      <c r="I29" s="112"/>
      <c r="J29" s="51" t="s">
        <v>343</v>
      </c>
      <c r="K29" s="110"/>
      <c r="L29" s="109"/>
      <c r="M29" s="109"/>
      <c r="N29" s="112"/>
    </row>
    <row r="30" spans="1:14" x14ac:dyDescent="0.25">
      <c r="A30" s="110" t="s">
        <v>204</v>
      </c>
      <c r="B30" s="109">
        <v>60</v>
      </c>
      <c r="C30" s="109">
        <v>65</v>
      </c>
      <c r="D30" s="88">
        <v>1.1000000000000001</v>
      </c>
      <c r="E30" s="88">
        <v>2.31</v>
      </c>
      <c r="F30" s="111">
        <v>10.6</v>
      </c>
      <c r="G30" s="109"/>
      <c r="H30" s="88"/>
      <c r="I30" s="112"/>
      <c r="J30" s="51" t="s">
        <v>344</v>
      </c>
      <c r="K30" s="110"/>
      <c r="L30" s="109"/>
      <c r="M30" s="109"/>
      <c r="N30" s="112"/>
    </row>
    <row r="31" spans="1:14" x14ac:dyDescent="0.25">
      <c r="A31" s="110" t="s">
        <v>205</v>
      </c>
      <c r="B31" s="109">
        <v>65</v>
      </c>
      <c r="C31" s="109">
        <v>70</v>
      </c>
      <c r="D31" s="88">
        <v>1.6</v>
      </c>
      <c r="E31" s="88">
        <v>3.13</v>
      </c>
      <c r="F31" s="111">
        <v>10.8</v>
      </c>
      <c r="G31" s="109"/>
      <c r="H31" s="88"/>
      <c r="I31" s="112"/>
      <c r="J31" s="51" t="s">
        <v>345</v>
      </c>
      <c r="K31" s="110"/>
      <c r="L31" s="109"/>
      <c r="M31" s="109"/>
      <c r="N31" s="112"/>
    </row>
    <row r="32" spans="1:14" x14ac:dyDescent="0.25">
      <c r="A32" s="110" t="s">
        <v>206</v>
      </c>
      <c r="B32" s="109">
        <v>70</v>
      </c>
      <c r="C32" s="109">
        <v>75</v>
      </c>
      <c r="D32" s="88">
        <v>2</v>
      </c>
      <c r="E32" s="88">
        <v>3.95</v>
      </c>
      <c r="F32" s="111">
        <v>10.6</v>
      </c>
      <c r="G32" s="109"/>
      <c r="H32" s="88"/>
      <c r="I32" s="112"/>
      <c r="J32" s="51" t="s">
        <v>346</v>
      </c>
      <c r="K32" s="110"/>
      <c r="L32" s="109"/>
      <c r="M32" s="109"/>
      <c r="N32" s="112"/>
    </row>
    <row r="33" spans="1:14" x14ac:dyDescent="0.25">
      <c r="A33" s="153" t="s">
        <v>207</v>
      </c>
      <c r="B33" s="109">
        <v>75</v>
      </c>
      <c r="C33" s="109">
        <v>81.5</v>
      </c>
      <c r="D33" s="88">
        <v>1.6</v>
      </c>
      <c r="E33" s="88">
        <v>3.21</v>
      </c>
      <c r="F33" s="111">
        <v>9.3000000000000007</v>
      </c>
      <c r="G33" s="109"/>
      <c r="H33" s="88"/>
      <c r="I33" s="112" t="s">
        <v>191</v>
      </c>
      <c r="J33" s="51" t="s">
        <v>347</v>
      </c>
      <c r="K33" s="110"/>
      <c r="L33" s="109"/>
      <c r="M33" s="109"/>
      <c r="N33" s="112"/>
    </row>
    <row r="34" spans="1:14" x14ac:dyDescent="0.25">
      <c r="A34" s="153" t="s">
        <v>208</v>
      </c>
      <c r="B34" s="109">
        <v>81.5</v>
      </c>
      <c r="C34" s="109">
        <f>81.5+7</f>
        <v>88.5</v>
      </c>
      <c r="D34" s="88">
        <v>1.2</v>
      </c>
      <c r="E34" s="88">
        <v>2.39</v>
      </c>
      <c r="F34" s="111">
        <v>9.4</v>
      </c>
      <c r="G34" s="109"/>
      <c r="H34" s="88"/>
      <c r="I34" s="112" t="s">
        <v>265</v>
      </c>
      <c r="J34" s="51" t="s">
        <v>348</v>
      </c>
      <c r="K34" s="110"/>
      <c r="L34" s="109"/>
      <c r="M34" s="109"/>
      <c r="N34" s="112"/>
    </row>
    <row r="35" spans="1:14" x14ac:dyDescent="0.25">
      <c r="A35" s="110" t="s">
        <v>209</v>
      </c>
      <c r="B35" s="109">
        <v>87.5</v>
      </c>
      <c r="C35" s="109">
        <v>92.5</v>
      </c>
      <c r="D35" s="88">
        <v>1.5</v>
      </c>
      <c r="E35" s="88">
        <v>2.92</v>
      </c>
      <c r="F35" s="111">
        <v>9.1</v>
      </c>
      <c r="G35" s="109"/>
      <c r="H35" s="88"/>
      <c r="I35" s="112"/>
      <c r="J35" s="51" t="s">
        <v>349</v>
      </c>
      <c r="K35" s="110"/>
      <c r="L35" s="109"/>
      <c r="M35" s="109"/>
      <c r="N35" s="112"/>
    </row>
    <row r="36" spans="1:14" x14ac:dyDescent="0.25">
      <c r="A36" s="110" t="s">
        <v>210</v>
      </c>
      <c r="B36" s="109">
        <v>92.5</v>
      </c>
      <c r="C36" s="109">
        <v>97.5</v>
      </c>
      <c r="D36" s="88">
        <v>1.3</v>
      </c>
      <c r="E36" s="88">
        <v>2.59</v>
      </c>
      <c r="F36" s="111">
        <v>8.9</v>
      </c>
      <c r="G36" s="109"/>
      <c r="H36" s="88"/>
      <c r="I36" s="112"/>
      <c r="J36" s="51" t="s">
        <v>350</v>
      </c>
      <c r="K36" s="110"/>
      <c r="L36" s="109"/>
      <c r="M36" s="109"/>
      <c r="N36" s="112"/>
    </row>
    <row r="37" spans="1:14" x14ac:dyDescent="0.25">
      <c r="A37" s="110" t="s">
        <v>211</v>
      </c>
      <c r="B37" s="109">
        <v>97.5</v>
      </c>
      <c r="C37" s="109">
        <v>102.5</v>
      </c>
      <c r="D37" s="88">
        <v>1.1000000000000001</v>
      </c>
      <c r="E37" s="88">
        <v>2.2200000000000002</v>
      </c>
      <c r="F37" s="111">
        <v>9.6999999999999993</v>
      </c>
      <c r="G37" s="109"/>
      <c r="H37" s="88"/>
      <c r="I37" s="112"/>
      <c r="J37" s="51" t="s">
        <v>351</v>
      </c>
      <c r="K37" s="110"/>
      <c r="L37" s="109"/>
      <c r="M37" s="109"/>
      <c r="N37" s="112"/>
    </row>
    <row r="38" spans="1:14" x14ac:dyDescent="0.25">
      <c r="A38" s="110" t="s">
        <v>212</v>
      </c>
      <c r="B38" s="109">
        <v>102.5</v>
      </c>
      <c r="C38" s="109">
        <v>107.5</v>
      </c>
      <c r="D38" s="88">
        <v>1.7</v>
      </c>
      <c r="E38" s="88">
        <v>3.37</v>
      </c>
      <c r="F38" s="111">
        <v>9.6</v>
      </c>
      <c r="G38" s="109"/>
      <c r="H38" s="88"/>
      <c r="I38" s="112"/>
      <c r="J38" s="51" t="s">
        <v>352</v>
      </c>
      <c r="K38" s="110"/>
      <c r="L38" s="109"/>
      <c r="M38" s="109"/>
      <c r="N38" s="112"/>
    </row>
    <row r="39" spans="1:14" x14ac:dyDescent="0.25">
      <c r="A39" s="110" t="s">
        <v>213</v>
      </c>
      <c r="B39" s="109">
        <v>107.5</v>
      </c>
      <c r="C39" s="109">
        <v>112.5</v>
      </c>
      <c r="D39" s="88">
        <v>1.7</v>
      </c>
      <c r="E39" s="88">
        <v>3.27</v>
      </c>
      <c r="F39" s="111">
        <v>9.4</v>
      </c>
      <c r="G39" s="109"/>
      <c r="H39" s="88"/>
      <c r="I39" s="112"/>
      <c r="J39" s="51" t="s">
        <v>353</v>
      </c>
      <c r="K39" s="110"/>
      <c r="L39" s="109"/>
      <c r="M39" s="109"/>
      <c r="N39" s="112"/>
    </row>
    <row r="40" spans="1:14" x14ac:dyDescent="0.25">
      <c r="A40" s="110" t="s">
        <v>214</v>
      </c>
      <c r="B40" s="109">
        <v>112.5</v>
      </c>
      <c r="C40" s="109">
        <v>117.5</v>
      </c>
      <c r="D40" s="88">
        <v>2.2999999999999998</v>
      </c>
      <c r="E40" s="88">
        <v>4.47</v>
      </c>
      <c r="F40" s="111">
        <v>8.4</v>
      </c>
      <c r="G40" s="109"/>
      <c r="H40" s="88"/>
      <c r="I40" s="112"/>
      <c r="J40" s="51" t="s">
        <v>354</v>
      </c>
      <c r="K40" s="110"/>
      <c r="L40" s="109"/>
      <c r="M40" s="109"/>
      <c r="N40" s="112"/>
    </row>
    <row r="41" spans="1:14" x14ac:dyDescent="0.25">
      <c r="A41" s="110" t="s">
        <v>215</v>
      </c>
      <c r="B41" s="109">
        <v>117.5</v>
      </c>
      <c r="C41" s="109">
        <v>122.5</v>
      </c>
      <c r="D41" s="88">
        <v>2.6</v>
      </c>
      <c r="E41" s="88">
        <v>4.9400000000000004</v>
      </c>
      <c r="F41" s="111">
        <v>8.9</v>
      </c>
      <c r="G41" s="109"/>
      <c r="H41" s="88"/>
      <c r="I41" s="112"/>
      <c r="J41" s="51" t="s">
        <v>355</v>
      </c>
      <c r="K41" s="110"/>
      <c r="L41" s="109"/>
      <c r="M41" s="109"/>
      <c r="N41" s="112"/>
    </row>
    <row r="42" spans="1:14" x14ac:dyDescent="0.25">
      <c r="A42" s="110" t="s">
        <v>216</v>
      </c>
      <c r="B42" s="109">
        <v>122.5</v>
      </c>
      <c r="C42" s="109">
        <v>127.5</v>
      </c>
      <c r="D42" s="88">
        <v>2.9</v>
      </c>
      <c r="E42" s="88">
        <v>5.48</v>
      </c>
      <c r="F42" s="111">
        <v>8.8000000000000007</v>
      </c>
      <c r="G42" s="109"/>
      <c r="H42" s="88"/>
      <c r="I42" s="112"/>
      <c r="J42" s="51" t="s">
        <v>356</v>
      </c>
      <c r="K42" s="110"/>
      <c r="L42" s="109"/>
      <c r="M42" s="109"/>
      <c r="N42" s="112"/>
    </row>
    <row r="43" spans="1:14" x14ac:dyDescent="0.25">
      <c r="A43" s="110" t="s">
        <v>217</v>
      </c>
      <c r="B43" s="109">
        <v>127.5</v>
      </c>
      <c r="C43" s="109">
        <v>132.5</v>
      </c>
      <c r="D43" s="88">
        <v>3.1</v>
      </c>
      <c r="E43" s="88">
        <v>5.85</v>
      </c>
      <c r="F43" s="111">
        <v>9.1</v>
      </c>
      <c r="G43" s="109"/>
      <c r="H43" s="88"/>
      <c r="I43" s="112"/>
      <c r="J43" s="51" t="s">
        <v>357</v>
      </c>
      <c r="K43" s="110"/>
      <c r="L43" s="109"/>
      <c r="M43" s="109"/>
      <c r="N43" s="112"/>
    </row>
    <row r="44" spans="1:14" x14ac:dyDescent="0.25">
      <c r="A44" s="110" t="s">
        <v>218</v>
      </c>
      <c r="B44" s="109">
        <v>132.5</v>
      </c>
      <c r="C44" s="109">
        <v>137.5</v>
      </c>
      <c r="D44" s="88">
        <v>2.6</v>
      </c>
      <c r="E44" s="88">
        <v>4.99</v>
      </c>
      <c r="F44" s="111">
        <v>7.7</v>
      </c>
      <c r="G44" s="109"/>
      <c r="H44" s="88"/>
      <c r="I44" s="112"/>
      <c r="J44" s="51" t="s">
        <v>358</v>
      </c>
      <c r="K44" s="110"/>
      <c r="L44" s="109"/>
      <c r="M44" s="109"/>
      <c r="N44" s="112"/>
    </row>
    <row r="45" spans="1:14" x14ac:dyDescent="0.25">
      <c r="A45" s="110" t="s">
        <v>219</v>
      </c>
      <c r="B45" s="109">
        <v>137.5</v>
      </c>
      <c r="C45" s="109">
        <v>142.5</v>
      </c>
      <c r="D45" s="88">
        <v>3.1</v>
      </c>
      <c r="E45" s="88">
        <v>5.77</v>
      </c>
      <c r="F45" s="111">
        <v>8.3000000000000007</v>
      </c>
      <c r="G45" s="109"/>
      <c r="H45" s="88"/>
      <c r="I45" s="112"/>
      <c r="J45" s="51" t="s">
        <v>359</v>
      </c>
      <c r="K45" s="110"/>
      <c r="L45" s="109"/>
      <c r="M45" s="109"/>
      <c r="N45" s="112"/>
    </row>
    <row r="46" spans="1:14" x14ac:dyDescent="0.25">
      <c r="A46" s="110" t="s">
        <v>220</v>
      </c>
      <c r="B46" s="109">
        <v>142.5</v>
      </c>
      <c r="C46" s="109">
        <v>147.5</v>
      </c>
      <c r="D46" s="88">
        <v>2.7</v>
      </c>
      <c r="E46" s="88">
        <v>5.26</v>
      </c>
      <c r="F46" s="111">
        <v>5.4</v>
      </c>
      <c r="G46" s="109"/>
      <c r="H46" s="88"/>
      <c r="I46" s="112"/>
      <c r="J46" s="51" t="s">
        <v>360</v>
      </c>
      <c r="K46" s="110"/>
      <c r="L46" s="109"/>
      <c r="M46" s="109"/>
      <c r="N46" s="112"/>
    </row>
    <row r="47" spans="1:14" x14ac:dyDescent="0.25">
      <c r="A47" s="110" t="s">
        <v>221</v>
      </c>
      <c r="B47" s="109">
        <v>147.5</v>
      </c>
      <c r="C47" s="109">
        <v>152.5</v>
      </c>
      <c r="D47" s="88">
        <v>2.9</v>
      </c>
      <c r="E47" s="88">
        <v>5.47</v>
      </c>
      <c r="F47" s="111">
        <v>9.3000000000000007</v>
      </c>
      <c r="G47" s="109"/>
      <c r="H47" s="88"/>
      <c r="I47" s="112"/>
      <c r="J47" s="51" t="s">
        <v>361</v>
      </c>
      <c r="K47" s="110"/>
      <c r="L47" s="109"/>
      <c r="M47" s="109"/>
      <c r="N47" s="112"/>
    </row>
    <row r="48" spans="1:14" x14ac:dyDescent="0.25">
      <c r="A48" s="110" t="s">
        <v>222</v>
      </c>
      <c r="B48" s="109">
        <v>152.5</v>
      </c>
      <c r="C48" s="109">
        <v>157.5</v>
      </c>
      <c r="D48" s="88">
        <v>2.6</v>
      </c>
      <c r="E48" s="88">
        <v>4.93</v>
      </c>
      <c r="F48" s="111">
        <v>9.5</v>
      </c>
      <c r="G48" s="109"/>
      <c r="H48" s="88"/>
      <c r="I48" s="112"/>
      <c r="J48" s="51" t="s">
        <v>362</v>
      </c>
      <c r="K48" s="110"/>
      <c r="L48" s="109"/>
      <c r="M48" s="109"/>
      <c r="N48" s="112"/>
    </row>
    <row r="49" spans="1:14" x14ac:dyDescent="0.25">
      <c r="A49" s="110" t="s">
        <v>259</v>
      </c>
      <c r="B49" s="109">
        <v>157.5</v>
      </c>
      <c r="C49" s="109">
        <v>162.5</v>
      </c>
      <c r="D49" s="88">
        <v>3</v>
      </c>
      <c r="E49" s="88">
        <v>5.62</v>
      </c>
      <c r="F49" s="111">
        <v>8.8000000000000007</v>
      </c>
      <c r="G49" s="109"/>
      <c r="H49" s="88"/>
      <c r="I49" s="112"/>
      <c r="J49" s="51" t="s">
        <v>363</v>
      </c>
      <c r="K49" s="110"/>
      <c r="L49" s="109"/>
      <c r="M49" s="109"/>
      <c r="N49" s="112"/>
    </row>
    <row r="50" spans="1:14" x14ac:dyDescent="0.25">
      <c r="A50" s="110" t="s">
        <v>260</v>
      </c>
      <c r="B50" s="109">
        <v>162.5</v>
      </c>
      <c r="C50" s="109">
        <v>167.5</v>
      </c>
      <c r="D50" s="88">
        <v>2.8</v>
      </c>
      <c r="E50" s="88">
        <v>5.37</v>
      </c>
      <c r="F50" s="111">
        <v>9.3000000000000007</v>
      </c>
      <c r="G50" s="109"/>
      <c r="H50" s="88"/>
      <c r="I50" s="112"/>
      <c r="J50" s="51" t="s">
        <v>364</v>
      </c>
      <c r="K50" s="110"/>
      <c r="L50" s="109"/>
      <c r="M50" s="109"/>
      <c r="N50" s="112"/>
    </row>
    <row r="51" spans="1:14" x14ac:dyDescent="0.25">
      <c r="A51" s="110" t="s">
        <v>261</v>
      </c>
      <c r="B51" s="109">
        <v>167.5</v>
      </c>
      <c r="C51" s="109">
        <v>172.5</v>
      </c>
      <c r="D51" s="51">
        <v>2.9</v>
      </c>
      <c r="E51" s="51">
        <v>5.47</v>
      </c>
      <c r="F51" s="51">
        <v>9.1</v>
      </c>
      <c r="J51" s="51" t="s">
        <v>365</v>
      </c>
    </row>
    <row r="52" spans="1:14" x14ac:dyDescent="0.25">
      <c r="A52" s="110" t="s">
        <v>262</v>
      </c>
      <c r="B52" s="109">
        <v>172.5</v>
      </c>
      <c r="C52" s="109">
        <v>177.5</v>
      </c>
      <c r="D52" s="51">
        <v>2.9</v>
      </c>
      <c r="E52" s="51">
        <v>5.43</v>
      </c>
      <c r="F52" s="51">
        <v>9.1</v>
      </c>
      <c r="J52" s="51" t="s">
        <v>366</v>
      </c>
    </row>
    <row r="53" spans="1:14" x14ac:dyDescent="0.25">
      <c r="A53" s="110" t="s">
        <v>263</v>
      </c>
      <c r="B53" s="109">
        <v>177.5</v>
      </c>
      <c r="C53" s="109">
        <v>182.5</v>
      </c>
      <c r="D53" s="51">
        <v>2.8</v>
      </c>
      <c r="E53" s="51">
        <v>5.37</v>
      </c>
      <c r="F53" s="51">
        <v>8.6</v>
      </c>
      <c r="J53" s="51" t="s">
        <v>367</v>
      </c>
    </row>
    <row r="54" spans="1:14" x14ac:dyDescent="0.25">
      <c r="A54" s="110" t="s">
        <v>264</v>
      </c>
      <c r="B54" s="109">
        <v>182.5</v>
      </c>
      <c r="C54" s="109">
        <v>187.5</v>
      </c>
      <c r="D54" s="51">
        <v>3.2</v>
      </c>
      <c r="E54" s="51">
        <v>5.95</v>
      </c>
      <c r="F54" s="51">
        <v>8.6</v>
      </c>
      <c r="J54" s="51" t="s">
        <v>368</v>
      </c>
    </row>
    <row r="55" spans="1:14" x14ac:dyDescent="0.25">
      <c r="A55" s="51" t="s">
        <v>332</v>
      </c>
      <c r="D55" s="51">
        <v>0</v>
      </c>
      <c r="E55" s="51">
        <v>5.5999999999999999E-3</v>
      </c>
      <c r="F55" s="51">
        <v>10.199999999999999</v>
      </c>
      <c r="J55" s="51" t="s">
        <v>369</v>
      </c>
    </row>
  </sheetData>
  <mergeCells count="9">
    <mergeCell ref="K11:L11"/>
    <mergeCell ref="K10:L10"/>
    <mergeCell ref="A1:D1"/>
    <mergeCell ref="B7:D7"/>
    <mergeCell ref="B2:C2"/>
    <mergeCell ref="B3:C3"/>
    <mergeCell ref="B4:C4"/>
    <mergeCell ref="B5:C5"/>
    <mergeCell ref="B6:C6"/>
  </mergeCells>
  <phoneticPr fontId="16" type="noConversion"/>
  <pageMargins left="0.7" right="0.7" top="0.75" bottom="0.75" header="0.3" footer="0.3"/>
  <pageSetup paperSize="9" scale="49" fitToHeight="0" orientation="landscape" verticalDpi="0" r:id="rId1"/>
  <ignoredErrors>
    <ignoredError sqref="M19 C3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topLeftCell="A4" zoomScale="80" zoomScaleNormal="80" workbookViewId="0">
      <selection activeCell="E16" sqref="E16"/>
    </sheetView>
  </sheetViews>
  <sheetFormatPr defaultColWidth="9.140625" defaultRowHeight="15" x14ac:dyDescent="0.25"/>
  <cols>
    <col min="1" max="1" width="23.7109375" style="51" bestFit="1" customWidth="1"/>
    <col min="2" max="2" width="16.42578125" style="51" bestFit="1" customWidth="1"/>
    <col min="3" max="3" width="12.7109375" style="51" customWidth="1"/>
    <col min="4" max="4" width="29.42578125" style="51" bestFit="1" customWidth="1"/>
    <col min="5" max="5" width="18.7109375" style="51" customWidth="1"/>
    <col min="6" max="6" width="20.28515625" style="51" bestFit="1" customWidth="1"/>
    <col min="7" max="7" width="18.7109375" style="51" customWidth="1"/>
    <col min="8" max="8" width="36.7109375" style="51" customWidth="1"/>
    <col min="9" max="16384" width="9.140625" style="51"/>
  </cols>
  <sheetData>
    <row r="1" spans="1:9" ht="34.5" thickBot="1" x14ac:dyDescent="0.55000000000000004">
      <c r="A1" s="218" t="s">
        <v>109</v>
      </c>
      <c r="B1" s="218"/>
      <c r="C1" s="218"/>
      <c r="D1" s="218"/>
    </row>
    <row r="2" spans="1:9" x14ac:dyDescent="0.25">
      <c r="A2" s="35" t="s">
        <v>16</v>
      </c>
      <c r="B2" s="194" t="str">
        <f>CONCATENATE(ExpID,"-",StnNum,"-",StnDay)</f>
        <v>Polhavet2022-6-1</v>
      </c>
      <c r="C2" s="194"/>
      <c r="D2" s="76"/>
    </row>
    <row r="3" spans="1:9" x14ac:dyDescent="0.25">
      <c r="A3" s="36" t="s">
        <v>137</v>
      </c>
      <c r="B3" s="196" t="s">
        <v>223</v>
      </c>
      <c r="C3" s="196"/>
      <c r="D3" s="80"/>
    </row>
    <row r="4" spans="1:9" x14ac:dyDescent="0.25">
      <c r="A4" s="36" t="s">
        <v>4</v>
      </c>
      <c r="B4" s="195" t="str">
        <f>ObsDate</f>
        <v>05.08.2022</v>
      </c>
      <c r="C4" s="195"/>
      <c r="D4" s="80"/>
    </row>
    <row r="5" spans="1:9" x14ac:dyDescent="0.25">
      <c r="A5" s="37" t="s">
        <v>108</v>
      </c>
      <c r="B5" s="197"/>
      <c r="C5" s="197"/>
      <c r="D5" s="80"/>
    </row>
    <row r="6" spans="1:9" x14ac:dyDescent="0.25">
      <c r="A6" s="37" t="s">
        <v>122</v>
      </c>
      <c r="B6" s="199" t="s">
        <v>254</v>
      </c>
      <c r="C6" s="200"/>
      <c r="D6" s="80"/>
    </row>
    <row r="7" spans="1:9" x14ac:dyDescent="0.25">
      <c r="A7" s="219" t="s">
        <v>172</v>
      </c>
      <c r="B7" s="220"/>
      <c r="C7" s="43"/>
      <c r="D7" s="80"/>
      <c r="E7" s="92"/>
      <c r="F7" s="77"/>
      <c r="G7" s="77"/>
      <c r="H7" s="79"/>
      <c r="I7" s="78"/>
    </row>
    <row r="8" spans="1:9" ht="30" customHeight="1" thickBot="1" x14ac:dyDescent="0.3">
      <c r="A8" s="38" t="s">
        <v>15</v>
      </c>
      <c r="B8" s="215" t="s">
        <v>276</v>
      </c>
      <c r="C8" s="216"/>
      <c r="D8" s="217"/>
    </row>
    <row r="10" spans="1:9" ht="15.75" thickBot="1" x14ac:dyDescent="0.3">
      <c r="A10" s="53" t="s">
        <v>79</v>
      </c>
      <c r="D10" s="53" t="s">
        <v>110</v>
      </c>
    </row>
    <row r="11" spans="1:9" x14ac:dyDescent="0.25">
      <c r="A11" s="15" t="s">
        <v>127</v>
      </c>
      <c r="B11" s="97">
        <v>0.6</v>
      </c>
      <c r="D11" s="15" t="s">
        <v>144</v>
      </c>
      <c r="E11" s="100"/>
    </row>
    <row r="12" spans="1:9" x14ac:dyDescent="0.25">
      <c r="A12" s="16" t="s">
        <v>128</v>
      </c>
      <c r="B12" s="98">
        <v>0.1</v>
      </c>
      <c r="D12" s="16" t="s">
        <v>145</v>
      </c>
      <c r="E12" s="101">
        <v>184</v>
      </c>
    </row>
    <row r="13" spans="1:9" x14ac:dyDescent="0.25">
      <c r="A13" s="16" t="s">
        <v>129</v>
      </c>
      <c r="B13" s="98">
        <v>-0.1</v>
      </c>
      <c r="D13" s="16" t="s">
        <v>146</v>
      </c>
      <c r="E13" s="101">
        <v>165</v>
      </c>
    </row>
    <row r="14" spans="1:9" ht="15.75" thickBot="1" x14ac:dyDescent="0.3">
      <c r="A14" s="18" t="s">
        <v>130</v>
      </c>
      <c r="B14" s="99">
        <v>-0.3</v>
      </c>
      <c r="C14" s="51" t="s">
        <v>272</v>
      </c>
      <c r="D14" s="16" t="s">
        <v>141</v>
      </c>
      <c r="E14" s="101"/>
    </row>
    <row r="15" spans="1:9" x14ac:dyDescent="0.25">
      <c r="D15" s="16" t="s">
        <v>143</v>
      </c>
      <c r="E15" s="101"/>
    </row>
    <row r="16" spans="1:9" ht="15.75" thickBot="1" x14ac:dyDescent="0.3">
      <c r="D16" s="18" t="s">
        <v>155</v>
      </c>
      <c r="E16" s="102">
        <v>3</v>
      </c>
    </row>
    <row r="17" spans="1:8" ht="15.75" thickBot="1" x14ac:dyDescent="0.3"/>
    <row r="18" spans="1:8" x14ac:dyDescent="0.25">
      <c r="D18" s="15" t="s">
        <v>175</v>
      </c>
      <c r="E18" s="103">
        <v>187.5</v>
      </c>
      <c r="F18" s="93"/>
      <c r="G18" s="94"/>
    </row>
    <row r="19" spans="1:8" x14ac:dyDescent="0.25">
      <c r="D19" s="16" t="s">
        <v>132</v>
      </c>
      <c r="E19" s="104">
        <v>2</v>
      </c>
      <c r="F19" s="62"/>
      <c r="G19" s="95"/>
    </row>
    <row r="20" spans="1:8" ht="15.75" thickBot="1" x14ac:dyDescent="0.3">
      <c r="D20" s="18" t="s">
        <v>131</v>
      </c>
      <c r="E20" s="96"/>
      <c r="F20" s="96"/>
      <c r="G20" s="39">
        <f>G23+G24</f>
        <v>187.5</v>
      </c>
    </row>
    <row r="21" spans="1:8" ht="15.75" thickBot="1" x14ac:dyDescent="0.3"/>
    <row r="22" spans="1:8" ht="15.75" thickBot="1" x14ac:dyDescent="0.3">
      <c r="A22" s="40" t="s">
        <v>180</v>
      </c>
      <c r="B22" s="41" t="s">
        <v>111</v>
      </c>
      <c r="D22" s="40" t="s">
        <v>119</v>
      </c>
      <c r="E22" s="42" t="s">
        <v>147</v>
      </c>
      <c r="F22" s="42" t="s">
        <v>148</v>
      </c>
      <c r="G22" s="42" t="s">
        <v>149</v>
      </c>
      <c r="H22" s="41" t="s">
        <v>13</v>
      </c>
    </row>
    <row r="23" spans="1:8" x14ac:dyDescent="0.25">
      <c r="A23" s="151">
        <v>2.5</v>
      </c>
      <c r="B23" s="148">
        <v>-0.2</v>
      </c>
      <c r="D23" s="105">
        <v>1</v>
      </c>
      <c r="E23" s="106"/>
      <c r="F23" s="106"/>
      <c r="G23" s="106">
        <v>96.5</v>
      </c>
      <c r="H23" s="91" t="s">
        <v>273</v>
      </c>
    </row>
    <row r="24" spans="1:8" x14ac:dyDescent="0.25">
      <c r="A24" s="152">
        <v>12.5</v>
      </c>
      <c r="B24" s="117">
        <v>-0.1</v>
      </c>
      <c r="D24" s="107">
        <v>2</v>
      </c>
      <c r="E24" s="108"/>
      <c r="F24" s="108"/>
      <c r="G24" s="108">
        <v>91</v>
      </c>
      <c r="H24" s="47"/>
    </row>
    <row r="25" spans="1:8" x14ac:dyDescent="0.25">
      <c r="A25" s="152">
        <v>22.5</v>
      </c>
      <c r="B25" s="117">
        <v>-0.1</v>
      </c>
      <c r="D25" s="107"/>
      <c r="E25" s="108"/>
      <c r="F25" s="108"/>
      <c r="G25" s="108"/>
      <c r="H25" s="47"/>
    </row>
    <row r="26" spans="1:8" x14ac:dyDescent="0.25">
      <c r="A26" s="152">
        <v>32.5</v>
      </c>
      <c r="B26" s="117">
        <v>-0.1</v>
      </c>
      <c r="D26" s="107"/>
      <c r="E26" s="108"/>
      <c r="F26" s="108"/>
      <c r="G26" s="108"/>
      <c r="H26" s="47"/>
    </row>
    <row r="27" spans="1:8" x14ac:dyDescent="0.25">
      <c r="A27" s="151">
        <v>42.5</v>
      </c>
      <c r="B27" s="117">
        <v>-0.1</v>
      </c>
      <c r="D27" s="107"/>
      <c r="E27" s="108"/>
      <c r="F27" s="108"/>
      <c r="G27" s="108"/>
      <c r="H27" s="47"/>
    </row>
    <row r="28" spans="1:8" x14ac:dyDescent="0.25">
      <c r="A28" s="152">
        <v>52.5</v>
      </c>
      <c r="B28" s="117">
        <v>-0.3</v>
      </c>
      <c r="D28" s="107"/>
      <c r="E28" s="108"/>
      <c r="F28" s="108"/>
      <c r="G28" s="108"/>
      <c r="H28" s="47"/>
    </row>
    <row r="29" spans="1:8" x14ac:dyDescent="0.25">
      <c r="A29" s="152">
        <v>62.5</v>
      </c>
      <c r="B29" s="117">
        <v>-0.4</v>
      </c>
      <c r="D29" s="107"/>
      <c r="E29" s="108"/>
      <c r="F29" s="108"/>
      <c r="G29" s="108"/>
      <c r="H29" s="47"/>
    </row>
    <row r="30" spans="1:8" x14ac:dyDescent="0.25">
      <c r="A30" s="152">
        <v>72.5</v>
      </c>
      <c r="B30" s="117">
        <v>-0.6</v>
      </c>
      <c r="D30" s="107"/>
      <c r="E30" s="108"/>
      <c r="F30" s="108"/>
      <c r="G30" s="108"/>
      <c r="H30" s="47"/>
    </row>
    <row r="31" spans="1:8" x14ac:dyDescent="0.25">
      <c r="A31" s="151">
        <v>82.5</v>
      </c>
      <c r="B31" s="117">
        <v>-0.7</v>
      </c>
      <c r="D31" s="107"/>
      <c r="E31" s="108"/>
      <c r="F31" s="108"/>
      <c r="G31" s="108"/>
      <c r="H31" s="47"/>
    </row>
    <row r="32" spans="1:8" x14ac:dyDescent="0.25">
      <c r="A32" s="152">
        <v>92.5</v>
      </c>
      <c r="B32" s="117">
        <v>-0.9</v>
      </c>
      <c r="C32" s="51" t="s">
        <v>269</v>
      </c>
      <c r="D32" s="107"/>
      <c r="E32" s="108"/>
      <c r="F32" s="108"/>
      <c r="G32" s="108"/>
      <c r="H32" s="47"/>
    </row>
    <row r="33" spans="1:8" x14ac:dyDescent="0.25">
      <c r="A33" s="152">
        <v>102.5</v>
      </c>
      <c r="B33" s="117">
        <v>-0.9</v>
      </c>
      <c r="C33" s="51" t="s">
        <v>270</v>
      </c>
      <c r="D33" s="107"/>
      <c r="E33" s="108"/>
      <c r="F33" s="108"/>
      <c r="G33" s="108"/>
      <c r="H33" s="47"/>
    </row>
    <row r="34" spans="1:8" x14ac:dyDescent="0.25">
      <c r="A34" s="152">
        <v>112.5</v>
      </c>
      <c r="B34" s="117">
        <v>-0.8</v>
      </c>
      <c r="D34" s="107"/>
      <c r="E34" s="108"/>
      <c r="F34" s="108"/>
      <c r="G34" s="108"/>
      <c r="H34" s="47"/>
    </row>
    <row r="35" spans="1:8" x14ac:dyDescent="0.25">
      <c r="A35" s="151">
        <v>122.5</v>
      </c>
      <c r="B35" s="117">
        <v>-1.2</v>
      </c>
      <c r="D35" s="107"/>
      <c r="E35" s="108"/>
      <c r="F35" s="108"/>
      <c r="G35" s="108"/>
      <c r="H35" s="47"/>
    </row>
    <row r="36" spans="1:8" x14ac:dyDescent="0.25">
      <c r="A36" s="152">
        <v>132.5</v>
      </c>
      <c r="B36" s="117">
        <v>-1.3</v>
      </c>
      <c r="D36" s="107"/>
      <c r="E36" s="108"/>
      <c r="F36" s="108"/>
      <c r="G36" s="108"/>
      <c r="H36" s="47"/>
    </row>
    <row r="37" spans="1:8" x14ac:dyDescent="0.25">
      <c r="A37" s="152">
        <v>142.5</v>
      </c>
      <c r="B37" s="117">
        <v>-1.3</v>
      </c>
      <c r="D37" s="107"/>
      <c r="E37" s="108"/>
      <c r="F37" s="108"/>
      <c r="G37" s="108"/>
      <c r="H37" s="47"/>
    </row>
    <row r="38" spans="1:8" x14ac:dyDescent="0.25">
      <c r="A38" s="152">
        <v>152.5</v>
      </c>
      <c r="B38" s="117">
        <v>-1.4</v>
      </c>
      <c r="D38" s="107"/>
      <c r="E38" s="108"/>
      <c r="F38" s="108"/>
      <c r="G38" s="108"/>
      <c r="H38" s="47"/>
    </row>
    <row r="39" spans="1:8" x14ac:dyDescent="0.25">
      <c r="A39" s="152">
        <v>162.5</v>
      </c>
      <c r="B39" s="117">
        <v>-1.4</v>
      </c>
      <c r="D39" s="107"/>
      <c r="E39" s="108"/>
      <c r="F39" s="108"/>
      <c r="G39" s="108"/>
      <c r="H39" s="47"/>
    </row>
    <row r="40" spans="1:8" x14ac:dyDescent="0.25">
      <c r="A40" s="152">
        <v>172.5</v>
      </c>
      <c r="B40" s="117">
        <v>-1.4</v>
      </c>
      <c r="D40" s="107"/>
      <c r="E40" s="108"/>
      <c r="F40" s="108"/>
      <c r="G40" s="108"/>
      <c r="H40" s="47"/>
    </row>
    <row r="41" spans="1:8" x14ac:dyDescent="0.25">
      <c r="A41" s="152">
        <v>182.5</v>
      </c>
      <c r="B41" s="117">
        <v>-1.4</v>
      </c>
      <c r="D41" s="107"/>
      <c r="E41" s="108"/>
      <c r="F41" s="108"/>
      <c r="G41" s="108"/>
      <c r="H41" s="47"/>
    </row>
    <row r="42" spans="1:8" x14ac:dyDescent="0.25">
      <c r="A42" s="152">
        <v>187.5</v>
      </c>
      <c r="B42" s="117">
        <v>-1.1000000000000001</v>
      </c>
      <c r="C42" s="51" t="s">
        <v>271</v>
      </c>
      <c r="D42" s="107"/>
      <c r="E42" s="108"/>
      <c r="F42" s="108"/>
      <c r="G42" s="108"/>
      <c r="H42" s="47"/>
    </row>
    <row r="43" spans="1:8" x14ac:dyDescent="0.25">
      <c r="A43" s="152"/>
      <c r="B43" s="117"/>
      <c r="D43" s="107"/>
      <c r="E43" s="108"/>
      <c r="F43" s="108"/>
      <c r="G43" s="108"/>
      <c r="H43" s="47"/>
    </row>
    <row r="44" spans="1:8" x14ac:dyDescent="0.25">
      <c r="A44" s="152"/>
      <c r="B44" s="117"/>
      <c r="D44" s="107"/>
      <c r="E44" s="108"/>
      <c r="F44" s="108"/>
      <c r="G44" s="108"/>
      <c r="H44" s="47"/>
    </row>
    <row r="45" spans="1:8" x14ac:dyDescent="0.25">
      <c r="A45" s="152"/>
      <c r="B45" s="117"/>
      <c r="D45" s="107"/>
      <c r="E45" s="108"/>
      <c r="F45" s="108"/>
      <c r="G45" s="108"/>
      <c r="H45" s="47"/>
    </row>
    <row r="46" spans="1:8" x14ac:dyDescent="0.25">
      <c r="A46" s="152"/>
      <c r="B46" s="117"/>
      <c r="D46" s="107"/>
      <c r="E46" s="108"/>
      <c r="F46" s="108"/>
      <c r="G46" s="108"/>
      <c r="H46" s="47"/>
    </row>
    <row r="47" spans="1:8" x14ac:dyDescent="0.25">
      <c r="A47" s="152"/>
      <c r="B47" s="117"/>
      <c r="D47" s="107"/>
      <c r="E47" s="108"/>
      <c r="F47" s="108"/>
      <c r="G47" s="108"/>
      <c r="H47" s="47"/>
    </row>
  </sheetData>
  <mergeCells count="8">
    <mergeCell ref="B8:D8"/>
    <mergeCell ref="A1:D1"/>
    <mergeCell ref="B2:C2"/>
    <mergeCell ref="B3:C3"/>
    <mergeCell ref="B4:C4"/>
    <mergeCell ref="B5:C5"/>
    <mergeCell ref="B6:C6"/>
    <mergeCell ref="A7:B7"/>
  </mergeCells>
  <dataValidations disablePrompts="1"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zoomScale="80" zoomScaleNormal="80" workbookViewId="0">
      <selection activeCell="B8" sqref="B8:D8"/>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36.7109375" style="51" customWidth="1"/>
    <col min="9" max="16384" width="9.140625" style="51"/>
  </cols>
  <sheetData>
    <row r="1" spans="1:9" ht="34.5" thickBot="1" x14ac:dyDescent="0.55000000000000004">
      <c r="A1" s="218" t="s">
        <v>182</v>
      </c>
      <c r="B1" s="218"/>
      <c r="C1" s="218"/>
      <c r="D1" s="218"/>
    </row>
    <row r="2" spans="1:9" x14ac:dyDescent="0.25">
      <c r="A2" s="35" t="s">
        <v>16</v>
      </c>
      <c r="B2" s="194" t="str">
        <f>CONCATENATE(ExpID,"-",StnNum,"-",StnDay)</f>
        <v>Polhavet2022-6-1</v>
      </c>
      <c r="C2" s="194"/>
      <c r="D2" s="76"/>
    </row>
    <row r="3" spans="1:9" x14ac:dyDescent="0.25">
      <c r="A3" s="36" t="s">
        <v>137</v>
      </c>
      <c r="B3" s="196" t="s">
        <v>223</v>
      </c>
      <c r="C3" s="196"/>
      <c r="D3" s="80"/>
    </row>
    <row r="4" spans="1:9" x14ac:dyDescent="0.25">
      <c r="A4" s="36" t="s">
        <v>4</v>
      </c>
      <c r="B4" s="195" t="str">
        <f>ObsDate</f>
        <v>05.08.2022</v>
      </c>
      <c r="C4" s="195"/>
      <c r="D4" s="80"/>
    </row>
    <row r="5" spans="1:9" x14ac:dyDescent="0.25">
      <c r="A5" s="37" t="s">
        <v>108</v>
      </c>
      <c r="B5" s="197"/>
      <c r="C5" s="197"/>
      <c r="D5" s="80"/>
    </row>
    <row r="6" spans="1:9" x14ac:dyDescent="0.25">
      <c r="A6" s="37" t="s">
        <v>122</v>
      </c>
      <c r="B6" s="199" t="s">
        <v>254</v>
      </c>
      <c r="C6" s="200"/>
      <c r="D6" s="80"/>
    </row>
    <row r="7" spans="1:9" x14ac:dyDescent="0.25">
      <c r="A7" s="219" t="s">
        <v>172</v>
      </c>
      <c r="B7" s="220"/>
      <c r="C7" s="43"/>
      <c r="D7" s="80"/>
      <c r="E7" s="92"/>
      <c r="F7" s="77"/>
      <c r="G7" s="77"/>
      <c r="H7" s="79"/>
      <c r="I7" s="78"/>
    </row>
    <row r="8" spans="1:9" ht="30" customHeight="1" thickBot="1" x14ac:dyDescent="0.3">
      <c r="A8" s="38" t="s">
        <v>15</v>
      </c>
      <c r="B8" s="215" t="s">
        <v>278</v>
      </c>
      <c r="C8" s="216"/>
      <c r="D8" s="217"/>
    </row>
    <row r="10" spans="1:9" ht="15.75" thickBot="1" x14ac:dyDescent="0.3">
      <c r="A10" s="53" t="s">
        <v>79</v>
      </c>
      <c r="D10" s="53" t="s">
        <v>110</v>
      </c>
    </row>
    <row r="11" spans="1:9" x14ac:dyDescent="0.25">
      <c r="A11" s="15" t="s">
        <v>127</v>
      </c>
      <c r="B11" s="97"/>
      <c r="D11" s="15" t="s">
        <v>144</v>
      </c>
      <c r="E11" s="100"/>
    </row>
    <row r="12" spans="1:9" x14ac:dyDescent="0.25">
      <c r="A12" s="16" t="s">
        <v>128</v>
      </c>
      <c r="B12" s="98"/>
      <c r="D12" s="16" t="s">
        <v>145</v>
      </c>
      <c r="E12" s="101">
        <v>184</v>
      </c>
    </row>
    <row r="13" spans="1:9" x14ac:dyDescent="0.25">
      <c r="A13" s="16" t="s">
        <v>129</v>
      </c>
      <c r="B13" s="98"/>
      <c r="D13" s="16" t="s">
        <v>146</v>
      </c>
      <c r="E13" s="101">
        <v>165</v>
      </c>
    </row>
    <row r="14" spans="1:9" ht="15.75" thickBot="1" x14ac:dyDescent="0.3">
      <c r="A14" s="18" t="s">
        <v>130</v>
      </c>
      <c r="B14" s="99"/>
      <c r="D14" s="16" t="s">
        <v>141</v>
      </c>
      <c r="E14" s="101"/>
    </row>
    <row r="15" spans="1:9" x14ac:dyDescent="0.25">
      <c r="D15" s="16" t="s">
        <v>143</v>
      </c>
      <c r="E15" s="101"/>
    </row>
    <row r="16" spans="1:9" ht="15.75" thickBot="1" x14ac:dyDescent="0.3">
      <c r="D16" s="18" t="s">
        <v>155</v>
      </c>
      <c r="E16" s="102">
        <v>3</v>
      </c>
    </row>
    <row r="17" spans="1:6" ht="15.75" thickBot="1" x14ac:dyDescent="0.3"/>
    <row r="18" spans="1:6" x14ac:dyDescent="0.25">
      <c r="A18" s="15" t="s">
        <v>175</v>
      </c>
      <c r="B18" s="103"/>
      <c r="C18" s="93"/>
      <c r="D18" s="94"/>
    </row>
    <row r="19" spans="1:6" x14ac:dyDescent="0.25">
      <c r="A19" s="16" t="s">
        <v>132</v>
      </c>
      <c r="B19" s="104">
        <v>2</v>
      </c>
      <c r="C19" s="62"/>
      <c r="D19" s="95"/>
    </row>
    <row r="20" spans="1:6" ht="15.75" thickBot="1" x14ac:dyDescent="0.3">
      <c r="A20" s="18" t="s">
        <v>131</v>
      </c>
      <c r="B20" s="96"/>
      <c r="C20" s="96"/>
      <c r="D20" s="39">
        <v>188</v>
      </c>
    </row>
    <row r="21" spans="1:6" ht="15.75" thickBot="1" x14ac:dyDescent="0.3"/>
    <row r="22" spans="1:6" ht="15.75" thickBot="1" x14ac:dyDescent="0.3">
      <c r="A22" s="40" t="s">
        <v>119</v>
      </c>
      <c r="B22" s="42" t="s">
        <v>147</v>
      </c>
      <c r="C22" s="42" t="s">
        <v>148</v>
      </c>
      <c r="D22" s="42" t="s">
        <v>149</v>
      </c>
      <c r="E22" s="222" t="s">
        <v>13</v>
      </c>
      <c r="F22" s="223"/>
    </row>
    <row r="23" spans="1:6" x14ac:dyDescent="0.25">
      <c r="A23" s="105">
        <v>1</v>
      </c>
      <c r="B23" s="106"/>
      <c r="C23" s="106"/>
      <c r="D23" s="106">
        <v>96.5</v>
      </c>
      <c r="E23" s="224"/>
      <c r="F23" s="224"/>
    </row>
    <row r="24" spans="1:6" x14ac:dyDescent="0.25">
      <c r="A24" s="107">
        <v>2</v>
      </c>
      <c r="B24" s="108"/>
      <c r="C24" s="108"/>
      <c r="D24" s="108">
        <v>91</v>
      </c>
      <c r="E24" s="221"/>
      <c r="F24" s="221"/>
    </row>
    <row r="25" spans="1:6" x14ac:dyDescent="0.25">
      <c r="A25" s="107"/>
      <c r="B25" s="108"/>
      <c r="C25" s="108"/>
      <c r="D25" s="108"/>
      <c r="E25" s="221"/>
      <c r="F25" s="221"/>
    </row>
    <row r="26" spans="1:6" x14ac:dyDescent="0.25">
      <c r="A26" s="107"/>
      <c r="B26" s="108"/>
      <c r="C26" s="108"/>
      <c r="D26" s="108"/>
      <c r="E26" s="221"/>
      <c r="F26" s="221"/>
    </row>
    <row r="27" spans="1:6" x14ac:dyDescent="0.25">
      <c r="A27" s="107"/>
      <c r="B27" s="108"/>
      <c r="C27" s="108"/>
      <c r="D27" s="108"/>
      <c r="E27" s="221"/>
      <c r="F27" s="221"/>
    </row>
    <row r="28" spans="1:6" x14ac:dyDescent="0.25">
      <c r="A28" s="107"/>
      <c r="B28" s="108"/>
      <c r="C28" s="108"/>
      <c r="D28" s="108"/>
      <c r="E28" s="221"/>
      <c r="F28" s="221"/>
    </row>
    <row r="29" spans="1:6" x14ac:dyDescent="0.25">
      <c r="A29" s="107"/>
      <c r="B29" s="108"/>
      <c r="C29" s="108"/>
      <c r="D29" s="108"/>
      <c r="E29" s="221"/>
      <c r="F29" s="221"/>
    </row>
    <row r="30" spans="1:6" x14ac:dyDescent="0.25">
      <c r="A30" s="107"/>
      <c r="B30" s="108"/>
      <c r="C30" s="108"/>
      <c r="D30" s="108"/>
      <c r="E30" s="221"/>
      <c r="F30" s="221"/>
    </row>
    <row r="31" spans="1:6" x14ac:dyDescent="0.25">
      <c r="A31" s="107"/>
      <c r="B31" s="108"/>
      <c r="C31" s="108"/>
      <c r="D31" s="108"/>
      <c r="E31" s="221"/>
      <c r="F31" s="221"/>
    </row>
    <row r="32" spans="1:6" x14ac:dyDescent="0.25">
      <c r="A32" s="107"/>
      <c r="B32" s="108"/>
      <c r="C32" s="108"/>
      <c r="D32" s="108"/>
      <c r="E32" s="221"/>
      <c r="F32" s="221"/>
    </row>
    <row r="33" spans="1:6" x14ac:dyDescent="0.25">
      <c r="A33" s="107"/>
      <c r="B33" s="108"/>
      <c r="C33" s="108"/>
      <c r="D33" s="108"/>
      <c r="E33" s="221"/>
      <c r="F33" s="221"/>
    </row>
    <row r="34" spans="1:6" x14ac:dyDescent="0.25">
      <c r="A34" s="107"/>
      <c r="B34" s="108"/>
      <c r="C34" s="108"/>
      <c r="D34" s="108"/>
      <c r="E34" s="221"/>
      <c r="F34" s="221"/>
    </row>
    <row r="35" spans="1:6" x14ac:dyDescent="0.25">
      <c r="A35" s="107"/>
      <c r="B35" s="108"/>
      <c r="C35" s="108"/>
      <c r="D35" s="108"/>
      <c r="E35" s="221"/>
      <c r="F35" s="221"/>
    </row>
    <row r="36" spans="1:6" x14ac:dyDescent="0.25">
      <c r="A36" s="107"/>
      <c r="B36" s="108"/>
      <c r="C36" s="108"/>
      <c r="D36" s="108"/>
      <c r="E36" s="221"/>
      <c r="F36" s="221"/>
    </row>
    <row r="37" spans="1:6" x14ac:dyDescent="0.25">
      <c r="A37" s="107"/>
      <c r="B37" s="108"/>
      <c r="C37" s="108"/>
      <c r="D37" s="108"/>
      <c r="E37" s="221"/>
      <c r="F37" s="221"/>
    </row>
    <row r="38" spans="1:6" x14ac:dyDescent="0.25">
      <c r="A38" s="107"/>
      <c r="B38" s="108"/>
      <c r="C38" s="108"/>
      <c r="D38" s="108"/>
      <c r="E38" s="221"/>
      <c r="F38" s="221"/>
    </row>
    <row r="39" spans="1:6" x14ac:dyDescent="0.25">
      <c r="A39" s="107"/>
      <c r="B39" s="108"/>
      <c r="C39" s="108"/>
      <c r="D39" s="108"/>
      <c r="E39" s="221"/>
      <c r="F39" s="221"/>
    </row>
    <row r="40" spans="1:6" x14ac:dyDescent="0.25">
      <c r="A40" s="107"/>
      <c r="B40" s="108"/>
      <c r="C40" s="108"/>
      <c r="D40" s="108"/>
      <c r="E40" s="221"/>
      <c r="F40" s="221"/>
    </row>
    <row r="41" spans="1:6" x14ac:dyDescent="0.25">
      <c r="A41" s="107"/>
      <c r="B41" s="108"/>
      <c r="C41" s="108"/>
      <c r="D41" s="108"/>
      <c r="E41" s="221"/>
      <c r="F41" s="221"/>
    </row>
    <row r="42" spans="1:6" x14ac:dyDescent="0.25">
      <c r="A42" s="107"/>
      <c r="B42" s="108"/>
      <c r="C42" s="108"/>
      <c r="D42" s="108"/>
      <c r="E42" s="221"/>
      <c r="F42" s="221"/>
    </row>
    <row r="43" spans="1:6" x14ac:dyDescent="0.25">
      <c r="A43" s="107"/>
      <c r="B43" s="108"/>
      <c r="C43" s="108"/>
      <c r="D43" s="108"/>
      <c r="E43" s="221"/>
      <c r="F43" s="221"/>
    </row>
    <row r="44" spans="1:6" x14ac:dyDescent="0.25">
      <c r="A44" s="107"/>
      <c r="B44" s="108"/>
      <c r="C44" s="108"/>
      <c r="D44" s="108"/>
      <c r="E44" s="221"/>
      <c r="F44" s="221"/>
    </row>
    <row r="45" spans="1:6" x14ac:dyDescent="0.25">
      <c r="A45" s="107"/>
      <c r="B45" s="108"/>
      <c r="C45" s="108"/>
      <c r="D45" s="108"/>
      <c r="E45" s="221"/>
      <c r="F45" s="221"/>
    </row>
    <row r="46" spans="1:6" x14ac:dyDescent="0.25">
      <c r="A46" s="107"/>
      <c r="B46" s="108"/>
      <c r="C46" s="108"/>
      <c r="D46" s="108"/>
      <c r="E46" s="221"/>
      <c r="F46" s="221"/>
    </row>
    <row r="47" spans="1:6" x14ac:dyDescent="0.25">
      <c r="A47" s="107"/>
      <c r="B47" s="108"/>
      <c r="C47" s="108"/>
      <c r="D47" s="108"/>
      <c r="E47" s="221"/>
      <c r="F47" s="221"/>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L59"/>
  <sheetViews>
    <sheetView topLeftCell="A30" zoomScale="80" zoomScaleNormal="80" workbookViewId="0">
      <selection activeCell="L59" sqref="L59"/>
    </sheetView>
  </sheetViews>
  <sheetFormatPr defaultColWidth="9.140625" defaultRowHeight="15" x14ac:dyDescent="0.25"/>
  <cols>
    <col min="1" max="1" width="21.7109375" style="51" customWidth="1"/>
    <col min="2" max="3" width="15.7109375" style="51" customWidth="1"/>
    <col min="4" max="5" width="18.7109375" style="51" customWidth="1"/>
    <col min="6" max="6" width="19.5703125" style="51" bestFit="1" customWidth="1"/>
    <col min="7" max="7" width="19.85546875" style="51" bestFit="1" customWidth="1"/>
    <col min="8" max="8" width="19.5703125" style="51" bestFit="1" customWidth="1"/>
    <col min="9" max="9" width="36.7109375" style="122" customWidth="1"/>
    <col min="10" max="16384" width="9.140625" style="51"/>
  </cols>
  <sheetData>
    <row r="1" spans="1:10" ht="34.5" thickBot="1" x14ac:dyDescent="0.55000000000000004">
      <c r="A1" s="218" t="s">
        <v>121</v>
      </c>
      <c r="B1" s="218"/>
      <c r="C1" s="218"/>
      <c r="D1" s="120"/>
    </row>
    <row r="2" spans="1:10" x14ac:dyDescent="0.25">
      <c r="A2" s="35" t="s">
        <v>16</v>
      </c>
      <c r="B2" s="228" t="str">
        <f>CONCATENATE(ExpID,"-",StnNum,"-",StnDay)</f>
        <v>Polhavet2022-6-1</v>
      </c>
      <c r="C2" s="228"/>
      <c r="D2" s="76"/>
    </row>
    <row r="3" spans="1:10" x14ac:dyDescent="0.25">
      <c r="A3" s="36" t="s">
        <v>137</v>
      </c>
      <c r="B3" s="229" t="s">
        <v>223</v>
      </c>
      <c r="C3" s="229"/>
      <c r="D3" s="80"/>
    </row>
    <row r="4" spans="1:10" x14ac:dyDescent="0.25">
      <c r="A4" s="36" t="s">
        <v>4</v>
      </c>
      <c r="B4" s="195" t="str">
        <f>ObsDate</f>
        <v>05.08.2022</v>
      </c>
      <c r="C4" s="195"/>
      <c r="D4" s="80"/>
    </row>
    <row r="5" spans="1:10" x14ac:dyDescent="0.25">
      <c r="A5" s="37" t="s">
        <v>108</v>
      </c>
      <c r="B5" s="230"/>
      <c r="C5" s="230"/>
      <c r="D5" s="80"/>
    </row>
    <row r="6" spans="1:10" x14ac:dyDescent="0.25">
      <c r="A6" s="37" t="s">
        <v>122</v>
      </c>
      <c r="B6" s="231" t="s">
        <v>254</v>
      </c>
      <c r="C6" s="232"/>
      <c r="D6" s="80"/>
      <c r="E6" s="77"/>
      <c r="F6" s="77"/>
      <c r="G6" s="79"/>
      <c r="H6" s="78"/>
    </row>
    <row r="7" spans="1:10" ht="30" customHeight="1" thickBot="1" x14ac:dyDescent="0.3">
      <c r="A7" s="38" t="s">
        <v>15</v>
      </c>
      <c r="B7" s="225" t="s">
        <v>277</v>
      </c>
      <c r="C7" s="226"/>
      <c r="D7" s="227"/>
      <c r="F7" s="51" t="s">
        <v>443</v>
      </c>
      <c r="G7" s="51">
        <v>-19</v>
      </c>
    </row>
    <row r="8" spans="1:10" x14ac:dyDescent="0.25">
      <c r="F8" s="51" t="s">
        <v>444</v>
      </c>
      <c r="G8" s="51">
        <v>0.83199999999999996</v>
      </c>
      <c r="H8" s="51" t="s">
        <v>445</v>
      </c>
      <c r="I8" s="122">
        <v>0.83099999999999996</v>
      </c>
      <c r="J8" s="51" t="s">
        <v>446</v>
      </c>
    </row>
    <row r="9" spans="1:10" ht="15.75" thickBot="1" x14ac:dyDescent="0.3">
      <c r="A9" s="53" t="s">
        <v>110</v>
      </c>
    </row>
    <row r="10" spans="1:10" x14ac:dyDescent="0.25">
      <c r="A10" s="129" t="s">
        <v>155</v>
      </c>
      <c r="B10" s="130">
        <v>3</v>
      </c>
      <c r="F10" s="136" t="s">
        <v>119</v>
      </c>
      <c r="G10" s="137" t="s">
        <v>153</v>
      </c>
      <c r="H10" s="137" t="s">
        <v>154</v>
      </c>
      <c r="I10" s="138" t="s">
        <v>13</v>
      </c>
    </row>
    <row r="11" spans="1:10" x14ac:dyDescent="0.25">
      <c r="A11" s="131" t="s">
        <v>143</v>
      </c>
      <c r="B11" s="132">
        <v>182</v>
      </c>
      <c r="F11" s="139">
        <v>1</v>
      </c>
      <c r="G11" s="125"/>
      <c r="H11" s="45">
        <v>85</v>
      </c>
      <c r="I11" s="140" t="s">
        <v>274</v>
      </c>
    </row>
    <row r="12" spans="1:10" x14ac:dyDescent="0.25">
      <c r="A12" s="131" t="s">
        <v>156</v>
      </c>
      <c r="B12" s="132">
        <v>166</v>
      </c>
      <c r="F12" s="139">
        <v>2</v>
      </c>
      <c r="G12" s="45"/>
      <c r="H12" s="126">
        <v>100</v>
      </c>
      <c r="I12" s="141"/>
    </row>
    <row r="13" spans="1:10" x14ac:dyDescent="0.25">
      <c r="A13" s="131" t="s">
        <v>141</v>
      </c>
      <c r="B13" s="132"/>
      <c r="F13" s="139"/>
      <c r="G13" s="45"/>
      <c r="H13" s="45"/>
      <c r="I13" s="141" t="s">
        <v>275</v>
      </c>
    </row>
    <row r="14" spans="1:10" ht="15.75" thickBot="1" x14ac:dyDescent="0.3">
      <c r="A14" s="133" t="s">
        <v>157</v>
      </c>
      <c r="B14" s="134"/>
      <c r="F14" s="139"/>
      <c r="G14" s="45"/>
      <c r="H14" s="45"/>
      <c r="I14" s="141"/>
    </row>
    <row r="15" spans="1:10" x14ac:dyDescent="0.25">
      <c r="F15" s="139"/>
      <c r="G15" s="45"/>
      <c r="H15" s="45"/>
      <c r="I15" s="141"/>
    </row>
    <row r="16" spans="1:10" ht="15.75" thickBot="1" x14ac:dyDescent="0.3">
      <c r="A16" s="53" t="s">
        <v>113</v>
      </c>
      <c r="F16" s="139"/>
      <c r="G16" s="45"/>
      <c r="H16" s="45"/>
      <c r="I16" s="141"/>
    </row>
    <row r="17" spans="1:12" x14ac:dyDescent="0.25">
      <c r="A17" s="129" t="s">
        <v>158</v>
      </c>
      <c r="B17" s="130"/>
      <c r="F17" s="139"/>
      <c r="G17" s="45"/>
      <c r="H17" s="45"/>
      <c r="I17" s="141"/>
    </row>
    <row r="18" spans="1:12" ht="15.75" thickBot="1" x14ac:dyDescent="0.3">
      <c r="A18" s="18" t="s">
        <v>159</v>
      </c>
      <c r="B18" s="135"/>
      <c r="F18" s="139"/>
      <c r="G18" s="45"/>
      <c r="H18" s="45"/>
      <c r="I18" s="141"/>
    </row>
    <row r="19" spans="1:12" ht="15.75" thickBot="1" x14ac:dyDescent="0.3">
      <c r="B19" s="123"/>
      <c r="F19" s="142"/>
      <c r="G19" s="143"/>
      <c r="H19" s="143"/>
      <c r="I19" s="144"/>
    </row>
    <row r="21" spans="1:12" ht="15.75" thickBot="1" x14ac:dyDescent="0.3"/>
    <row r="22" spans="1:12" s="124" customFormat="1" ht="45.75" thickBot="1" x14ac:dyDescent="0.3">
      <c r="A22" s="146" t="s">
        <v>150</v>
      </c>
      <c r="B22" s="147" t="s">
        <v>151</v>
      </c>
      <c r="C22" s="147" t="s">
        <v>120</v>
      </c>
      <c r="D22" s="147" t="s">
        <v>438</v>
      </c>
      <c r="E22" s="147" t="s">
        <v>439</v>
      </c>
      <c r="F22" s="147" t="s">
        <v>440</v>
      </c>
      <c r="G22" s="147" t="s">
        <v>441</v>
      </c>
      <c r="H22" s="147" t="s">
        <v>442</v>
      </c>
      <c r="I22" s="169" t="s">
        <v>13</v>
      </c>
      <c r="J22" s="10" t="s">
        <v>115</v>
      </c>
      <c r="K22" s="10" t="s">
        <v>116</v>
      </c>
      <c r="L22" s="10" t="s">
        <v>117</v>
      </c>
    </row>
    <row r="23" spans="1:12" x14ac:dyDescent="0.25">
      <c r="A23" s="167">
        <v>0</v>
      </c>
      <c r="B23" s="167">
        <v>5</v>
      </c>
      <c r="C23" s="121"/>
      <c r="D23" s="121">
        <v>215.75</v>
      </c>
      <c r="E23" s="165">
        <v>10.35</v>
      </c>
      <c r="F23" s="128" t="s">
        <v>463</v>
      </c>
      <c r="G23" s="128"/>
      <c r="H23" s="121">
        <f>0.832*D23/(D23-E23)</f>
        <v>0.87392405063291134</v>
      </c>
      <c r="I23" s="145" t="s">
        <v>480</v>
      </c>
      <c r="J23" s="51">
        <v>0.7</v>
      </c>
      <c r="K23" s="51">
        <v>1.4950000000000001</v>
      </c>
      <c r="L23" s="51">
        <v>16</v>
      </c>
    </row>
    <row r="24" spans="1:12" x14ac:dyDescent="0.25">
      <c r="A24" s="168">
        <v>5</v>
      </c>
      <c r="B24" s="168">
        <v>10</v>
      </c>
      <c r="C24" s="44"/>
      <c r="D24" s="44">
        <v>228.98</v>
      </c>
      <c r="E24" s="166">
        <v>7.36</v>
      </c>
      <c r="F24" s="44" t="s">
        <v>464</v>
      </c>
      <c r="G24" s="44"/>
      <c r="H24" s="121">
        <f t="shared" ref="H24:H39" si="0">0.832*D24/(D24-E24)</f>
        <v>0.85963071924916534</v>
      </c>
      <c r="I24" s="127" t="s">
        <v>480</v>
      </c>
      <c r="J24" s="51">
        <v>0.6</v>
      </c>
      <c r="K24" s="51">
        <v>1.284</v>
      </c>
      <c r="L24" s="51">
        <v>16.2</v>
      </c>
    </row>
    <row r="25" spans="1:12" x14ac:dyDescent="0.25">
      <c r="A25" s="168">
        <v>10</v>
      </c>
      <c r="B25" s="168">
        <v>15</v>
      </c>
      <c r="C25" s="44"/>
      <c r="D25" s="44">
        <v>257.93</v>
      </c>
      <c r="E25" s="166">
        <v>11.78</v>
      </c>
      <c r="F25" s="128" t="s">
        <v>467</v>
      </c>
      <c r="G25" s="44"/>
      <c r="H25" s="121">
        <f t="shared" si="0"/>
        <v>0.8718170221409709</v>
      </c>
      <c r="I25" s="127" t="s">
        <v>481</v>
      </c>
      <c r="J25" s="51">
        <v>0.2</v>
      </c>
      <c r="K25" s="51">
        <v>0.61099999999999999</v>
      </c>
      <c r="L25" s="51">
        <v>16.100000000000001</v>
      </c>
    </row>
    <row r="26" spans="1:12" x14ac:dyDescent="0.25">
      <c r="A26" s="167">
        <v>15</v>
      </c>
      <c r="B26" s="167">
        <v>20</v>
      </c>
      <c r="C26" s="44"/>
      <c r="D26" s="44">
        <v>198.31</v>
      </c>
      <c r="E26" s="166">
        <v>1.92</v>
      </c>
      <c r="F26" s="44" t="s">
        <v>471</v>
      </c>
      <c r="G26" s="44"/>
      <c r="H26" s="121">
        <f t="shared" si="0"/>
        <v>0.84013401904373941</v>
      </c>
      <c r="I26" s="127" t="s">
        <v>483</v>
      </c>
      <c r="J26" s="51">
        <v>0.4</v>
      </c>
      <c r="K26" s="51">
        <v>0.90700000000000003</v>
      </c>
      <c r="L26" s="51">
        <v>16.2</v>
      </c>
    </row>
    <row r="27" spans="1:12" x14ac:dyDescent="0.25">
      <c r="A27" s="168">
        <v>20</v>
      </c>
      <c r="B27" s="168">
        <v>25</v>
      </c>
      <c r="C27" s="44"/>
      <c r="D27" s="44">
        <v>200.13</v>
      </c>
      <c r="E27" s="166">
        <v>2.4</v>
      </c>
      <c r="F27" s="128" t="s">
        <v>465</v>
      </c>
      <c r="G27" s="44"/>
      <c r="H27" s="121">
        <f t="shared" si="0"/>
        <v>0.84209861932938845</v>
      </c>
      <c r="I27" s="127"/>
      <c r="J27" s="51">
        <v>0.5</v>
      </c>
      <c r="K27" s="51">
        <v>1.0880000000000001</v>
      </c>
      <c r="L27" s="51">
        <v>16.2</v>
      </c>
    </row>
    <row r="28" spans="1:12" x14ac:dyDescent="0.25">
      <c r="A28" s="168">
        <v>25</v>
      </c>
      <c r="B28" s="168">
        <v>30</v>
      </c>
      <c r="C28" s="44"/>
      <c r="D28" s="44">
        <v>219.41</v>
      </c>
      <c r="E28" s="166">
        <v>1.38</v>
      </c>
      <c r="F28" s="44" t="s">
        <v>470</v>
      </c>
      <c r="G28" s="44"/>
      <c r="H28" s="121">
        <f t="shared" si="0"/>
        <v>0.83726606430307748</v>
      </c>
      <c r="I28" s="127" t="s">
        <v>482</v>
      </c>
      <c r="J28" s="51">
        <v>0.4</v>
      </c>
      <c r="K28" s="51">
        <v>1.014</v>
      </c>
      <c r="L28" s="51">
        <v>16.3</v>
      </c>
    </row>
    <row r="29" spans="1:12" x14ac:dyDescent="0.25">
      <c r="A29" s="167">
        <v>30</v>
      </c>
      <c r="B29" s="167">
        <v>35</v>
      </c>
      <c r="C29" s="44"/>
      <c r="D29" s="44">
        <v>233.33</v>
      </c>
      <c r="E29" s="166">
        <v>3.01</v>
      </c>
      <c r="F29" s="128" t="s">
        <v>469</v>
      </c>
      <c r="G29" s="44"/>
      <c r="H29" s="121">
        <f t="shared" si="0"/>
        <v>0.84287321986800967</v>
      </c>
      <c r="I29" s="127"/>
      <c r="J29" s="51">
        <v>0.4</v>
      </c>
      <c r="K29" s="51">
        <v>0.97899999999999998</v>
      </c>
      <c r="L29" s="51">
        <v>16.100000000000001</v>
      </c>
    </row>
    <row r="30" spans="1:12" x14ac:dyDescent="0.25">
      <c r="A30" s="168">
        <v>35</v>
      </c>
      <c r="B30" s="168">
        <v>40</v>
      </c>
      <c r="C30" s="44"/>
      <c r="D30" s="44">
        <v>251.07</v>
      </c>
      <c r="E30" s="166">
        <v>2.06</v>
      </c>
      <c r="F30" s="44" t="s">
        <v>468</v>
      </c>
      <c r="G30" s="44"/>
      <c r="H30" s="121">
        <f t="shared" si="0"/>
        <v>0.83888293642825584</v>
      </c>
      <c r="I30" s="127" t="s">
        <v>482</v>
      </c>
      <c r="J30" s="51">
        <v>0.3</v>
      </c>
      <c r="K30" s="51">
        <v>0.67600000000000005</v>
      </c>
      <c r="L30" s="51">
        <v>16.100000000000001</v>
      </c>
    </row>
    <row r="31" spans="1:12" x14ac:dyDescent="0.25">
      <c r="A31" s="168">
        <v>40</v>
      </c>
      <c r="B31" s="168">
        <v>45</v>
      </c>
      <c r="C31" s="44"/>
      <c r="D31" s="44">
        <v>282.13</v>
      </c>
      <c r="E31" s="166">
        <v>16.7</v>
      </c>
      <c r="F31" s="128" t="s">
        <v>466</v>
      </c>
      <c r="G31" s="44"/>
      <c r="H31" s="121">
        <f t="shared" si="0"/>
        <v>0.88434675809064534</v>
      </c>
      <c r="I31" s="127" t="s">
        <v>481</v>
      </c>
      <c r="J31" s="51">
        <v>0.2</v>
      </c>
      <c r="K31" s="51">
        <v>0.53600000000000003</v>
      </c>
      <c r="L31" s="51">
        <v>16</v>
      </c>
    </row>
    <row r="32" spans="1:12" x14ac:dyDescent="0.25">
      <c r="A32" s="167">
        <v>45</v>
      </c>
      <c r="B32" s="167">
        <v>50</v>
      </c>
      <c r="C32" s="44"/>
      <c r="D32" s="44">
        <v>272.45</v>
      </c>
      <c r="E32" s="166">
        <v>12.81</v>
      </c>
      <c r="F32" s="44" t="s">
        <v>472</v>
      </c>
      <c r="G32" s="44"/>
      <c r="H32" s="121">
        <f t="shared" si="0"/>
        <v>0.87304883685102452</v>
      </c>
      <c r="I32" s="127"/>
      <c r="J32" s="51">
        <v>0.4</v>
      </c>
      <c r="K32" s="51">
        <v>0.96799999999999997</v>
      </c>
      <c r="L32" s="51">
        <v>16</v>
      </c>
    </row>
    <row r="33" spans="1:12" x14ac:dyDescent="0.25">
      <c r="A33" s="168">
        <v>50</v>
      </c>
      <c r="B33" s="168">
        <v>55</v>
      </c>
      <c r="C33" s="44"/>
      <c r="D33" s="44">
        <v>238.15</v>
      </c>
      <c r="E33" s="166">
        <v>15.38</v>
      </c>
      <c r="F33" s="128" t="s">
        <v>473</v>
      </c>
      <c r="G33" s="44"/>
      <c r="H33" s="121">
        <f t="shared" si="0"/>
        <v>0.88944112762041561</v>
      </c>
      <c r="I33" s="127"/>
      <c r="J33" s="51">
        <v>0.5</v>
      </c>
      <c r="K33" s="51">
        <v>1.048</v>
      </c>
      <c r="L33" s="51">
        <v>16</v>
      </c>
    </row>
    <row r="34" spans="1:12" x14ac:dyDescent="0.25">
      <c r="A34" s="168">
        <v>55</v>
      </c>
      <c r="B34" s="168">
        <v>60</v>
      </c>
      <c r="C34" s="44"/>
      <c r="D34" s="44">
        <v>263.44</v>
      </c>
      <c r="E34" s="166">
        <v>10.4</v>
      </c>
      <c r="F34" s="44" t="s">
        <v>474</v>
      </c>
      <c r="G34" s="44"/>
      <c r="H34" s="121">
        <f t="shared" si="0"/>
        <v>0.86619538412899144</v>
      </c>
      <c r="I34" s="127"/>
      <c r="J34" s="51">
        <v>0.8</v>
      </c>
      <c r="K34" s="51">
        <v>1.6659999999999999</v>
      </c>
      <c r="L34" s="51">
        <v>16</v>
      </c>
    </row>
    <row r="35" spans="1:12" x14ac:dyDescent="0.25">
      <c r="A35" s="167">
        <v>60</v>
      </c>
      <c r="B35" s="167">
        <v>65</v>
      </c>
      <c r="C35" s="44"/>
      <c r="D35" s="44">
        <v>279.74</v>
      </c>
      <c r="E35" s="166">
        <v>24.89</v>
      </c>
      <c r="F35" s="128" t="s">
        <v>475</v>
      </c>
      <c r="G35" s="44"/>
      <c r="H35" s="121">
        <f t="shared" si="0"/>
        <v>0.91325752403374516</v>
      </c>
      <c r="I35" s="127"/>
      <c r="J35" s="51">
        <v>1</v>
      </c>
      <c r="K35" s="51">
        <v>2.06</v>
      </c>
      <c r="L35" s="51">
        <v>16</v>
      </c>
    </row>
    <row r="36" spans="1:12" x14ac:dyDescent="0.25">
      <c r="A36" s="168">
        <v>65</v>
      </c>
      <c r="B36" s="168">
        <v>70</v>
      </c>
      <c r="C36" s="44"/>
      <c r="D36" s="44">
        <v>253.84</v>
      </c>
      <c r="E36" s="166">
        <v>8.17</v>
      </c>
      <c r="F36" s="44" t="s">
        <v>476</v>
      </c>
      <c r="G36" s="44"/>
      <c r="H36" s="121">
        <f t="shared" si="0"/>
        <v>0.85966898685228144</v>
      </c>
      <c r="I36" s="127" t="s">
        <v>481</v>
      </c>
      <c r="J36" s="51">
        <v>1.2</v>
      </c>
      <c r="K36" s="51">
        <v>2.33</v>
      </c>
      <c r="L36" s="51">
        <v>16.100000000000001</v>
      </c>
    </row>
    <row r="37" spans="1:12" x14ac:dyDescent="0.25">
      <c r="A37" s="168">
        <v>70</v>
      </c>
      <c r="B37" s="168">
        <v>75</v>
      </c>
      <c r="C37" s="44"/>
      <c r="D37" s="44">
        <v>270.89</v>
      </c>
      <c r="E37" s="166">
        <v>20.81</v>
      </c>
      <c r="F37" s="128" t="s">
        <v>477</v>
      </c>
      <c r="G37" s="44"/>
      <c r="H37" s="121">
        <f t="shared" si="0"/>
        <v>0.90123352527191292</v>
      </c>
      <c r="I37" s="127"/>
      <c r="J37" s="51">
        <v>1.2</v>
      </c>
      <c r="K37" s="51">
        <v>2.48</v>
      </c>
      <c r="L37" s="51">
        <v>16</v>
      </c>
    </row>
    <row r="38" spans="1:12" x14ac:dyDescent="0.25">
      <c r="A38" s="167">
        <v>75</v>
      </c>
      <c r="B38" s="167">
        <v>80</v>
      </c>
      <c r="C38" s="44"/>
      <c r="D38" s="44">
        <v>261.72000000000003</v>
      </c>
      <c r="E38" s="166">
        <v>19.91</v>
      </c>
      <c r="F38" s="44" t="s">
        <v>478</v>
      </c>
      <c r="G38" s="44"/>
      <c r="H38" s="121">
        <f t="shared" si="0"/>
        <v>0.90050469376783426</v>
      </c>
      <c r="I38" s="127"/>
      <c r="J38" s="51">
        <v>1.1000000000000001</v>
      </c>
      <c r="K38" s="51">
        <v>2.2599999999999998</v>
      </c>
      <c r="L38" s="51">
        <v>16.2</v>
      </c>
    </row>
    <row r="39" spans="1:12" x14ac:dyDescent="0.25">
      <c r="A39" s="168">
        <v>80</v>
      </c>
      <c r="B39" s="168">
        <v>85</v>
      </c>
      <c r="C39" s="44"/>
      <c r="D39" s="44">
        <v>201.36</v>
      </c>
      <c r="E39" s="166">
        <v>16.05</v>
      </c>
      <c r="F39" s="44" t="s">
        <v>479</v>
      </c>
      <c r="G39" s="44"/>
      <c r="H39" s="121">
        <f t="shared" si="0"/>
        <v>0.90406087097296417</v>
      </c>
      <c r="I39" s="127" t="s">
        <v>191</v>
      </c>
      <c r="J39" s="51">
        <v>1.1000000000000001</v>
      </c>
      <c r="K39" s="51">
        <v>2.31</v>
      </c>
      <c r="L39" s="51">
        <v>16.100000000000001</v>
      </c>
    </row>
    <row r="40" spans="1:12" x14ac:dyDescent="0.25">
      <c r="A40" s="168">
        <v>85</v>
      </c>
      <c r="B40" s="168">
        <v>90</v>
      </c>
      <c r="C40" s="44"/>
      <c r="D40" s="44">
        <v>265.27999999999997</v>
      </c>
      <c r="E40" s="166">
        <v>21.31</v>
      </c>
      <c r="F40" s="44" t="s">
        <v>449</v>
      </c>
      <c r="G40" s="44"/>
      <c r="H40" s="44">
        <f>0.831*D40/(D40-E40)</f>
        <v>0.90358519490101241</v>
      </c>
      <c r="I40" s="127" t="s">
        <v>447</v>
      </c>
      <c r="J40" s="51">
        <v>2.7</v>
      </c>
      <c r="K40" s="51">
        <v>5.05</v>
      </c>
      <c r="L40" s="51">
        <v>16.5</v>
      </c>
    </row>
    <row r="41" spans="1:12" x14ac:dyDescent="0.25">
      <c r="A41" s="167">
        <v>90</v>
      </c>
      <c r="B41" s="167">
        <v>95</v>
      </c>
      <c r="C41" s="44"/>
      <c r="D41" s="44">
        <v>302.02999999999997</v>
      </c>
      <c r="E41" s="166">
        <v>27.24</v>
      </c>
      <c r="F41" s="44" t="s">
        <v>450</v>
      </c>
      <c r="G41" s="44"/>
      <c r="H41" s="44">
        <f t="shared" ref="H41:H59" si="1">0.831*D41/(D41-E41)</f>
        <v>0.91337723352378186</v>
      </c>
      <c r="I41" s="127"/>
      <c r="J41" s="51">
        <v>1.6</v>
      </c>
      <c r="K41" s="51">
        <v>3.11</v>
      </c>
      <c r="L41" s="51">
        <v>16.2</v>
      </c>
    </row>
    <row r="42" spans="1:12" x14ac:dyDescent="0.25">
      <c r="A42" s="168">
        <v>95</v>
      </c>
      <c r="B42" s="168">
        <v>100</v>
      </c>
      <c r="D42" s="51">
        <v>271.5</v>
      </c>
      <c r="E42" s="51">
        <v>24.95</v>
      </c>
      <c r="F42" s="51" t="s">
        <v>451</v>
      </c>
      <c r="H42" s="44">
        <f t="shared" si="1"/>
        <v>0.91509430135875069</v>
      </c>
      <c r="J42" s="51">
        <v>1.7</v>
      </c>
      <c r="K42" s="51">
        <v>3.36</v>
      </c>
      <c r="L42" s="51">
        <v>16.399999999999999</v>
      </c>
    </row>
    <row r="43" spans="1:12" x14ac:dyDescent="0.25">
      <c r="A43" s="168">
        <v>100</v>
      </c>
      <c r="B43" s="168">
        <v>105</v>
      </c>
      <c r="D43" s="51">
        <v>255.96</v>
      </c>
      <c r="E43" s="51">
        <v>22.34</v>
      </c>
      <c r="F43" s="44" t="s">
        <v>259</v>
      </c>
      <c r="H43" s="44">
        <f t="shared" si="1"/>
        <v>0.91046468624261612</v>
      </c>
      <c r="J43" s="51">
        <v>1.7</v>
      </c>
      <c r="K43" s="51">
        <v>3.35</v>
      </c>
      <c r="L43" s="51">
        <v>16.399999999999999</v>
      </c>
    </row>
    <row r="44" spans="1:12" x14ac:dyDescent="0.25">
      <c r="A44" s="167">
        <v>105</v>
      </c>
      <c r="B44" s="167">
        <v>110</v>
      </c>
      <c r="D44" s="51">
        <v>268.99</v>
      </c>
      <c r="E44" s="51">
        <v>24.79</v>
      </c>
      <c r="F44" s="44" t="s">
        <v>260</v>
      </c>
      <c r="H44" s="44">
        <f t="shared" si="1"/>
        <v>0.91535909090909084</v>
      </c>
      <c r="J44" s="51">
        <v>1.7</v>
      </c>
      <c r="K44" s="51">
        <v>3.22</v>
      </c>
      <c r="L44" s="51">
        <v>16.3</v>
      </c>
    </row>
    <row r="45" spans="1:12" x14ac:dyDescent="0.25">
      <c r="A45" s="168">
        <v>110</v>
      </c>
      <c r="B45" s="168">
        <v>115</v>
      </c>
      <c r="D45" s="51">
        <v>272.60000000000002</v>
      </c>
      <c r="E45" s="51">
        <v>24.63</v>
      </c>
      <c r="F45" s="51" t="s">
        <v>261</v>
      </c>
      <c r="H45" s="44">
        <f t="shared" si="1"/>
        <v>0.91354034762269631</v>
      </c>
      <c r="J45" s="51">
        <v>1.9</v>
      </c>
      <c r="K45" s="51">
        <v>3.72</v>
      </c>
      <c r="L45" s="51">
        <v>16.100000000000001</v>
      </c>
    </row>
    <row r="46" spans="1:12" x14ac:dyDescent="0.25">
      <c r="A46" s="168">
        <v>115</v>
      </c>
      <c r="B46" s="168">
        <v>120</v>
      </c>
      <c r="D46" s="51">
        <v>266.92</v>
      </c>
      <c r="E46" s="51">
        <v>24.86</v>
      </c>
      <c r="F46" s="44" t="s">
        <v>262</v>
      </c>
      <c r="H46" s="44">
        <f t="shared" si="1"/>
        <v>0.91634520366851191</v>
      </c>
      <c r="J46" s="51">
        <v>2.2000000000000002</v>
      </c>
      <c r="K46" s="51">
        <v>4.2</v>
      </c>
      <c r="L46" s="51">
        <v>16.2</v>
      </c>
    </row>
    <row r="47" spans="1:12" x14ac:dyDescent="0.25">
      <c r="A47" s="167">
        <v>120</v>
      </c>
      <c r="B47" s="167">
        <v>125</v>
      </c>
      <c r="D47" s="51">
        <v>266.72000000000003</v>
      </c>
      <c r="E47" s="51">
        <v>22.19</v>
      </c>
      <c r="F47" s="44" t="s">
        <v>263</v>
      </c>
      <c r="H47" s="44">
        <f t="shared" si="1"/>
        <v>0.90640952030425714</v>
      </c>
      <c r="J47" s="51">
        <v>2.6</v>
      </c>
      <c r="K47" s="51">
        <v>4.93</v>
      </c>
      <c r="L47" s="51">
        <v>16.399999999999999</v>
      </c>
    </row>
    <row r="48" spans="1:12" x14ac:dyDescent="0.25">
      <c r="A48" s="168">
        <v>125</v>
      </c>
      <c r="B48" s="168">
        <v>130</v>
      </c>
      <c r="D48" s="51">
        <v>270.83999999999997</v>
      </c>
      <c r="E48" s="51">
        <v>24.2</v>
      </c>
      <c r="F48" s="51" t="s">
        <v>264</v>
      </c>
      <c r="H48" s="44">
        <f t="shared" si="1"/>
        <v>0.91253665261109296</v>
      </c>
      <c r="J48" s="51">
        <v>2.7</v>
      </c>
      <c r="K48" s="51">
        <v>5.05</v>
      </c>
      <c r="L48" s="51">
        <v>16.3</v>
      </c>
    </row>
    <row r="49" spans="1:12" x14ac:dyDescent="0.25">
      <c r="A49" s="168">
        <v>130</v>
      </c>
      <c r="B49" s="168">
        <v>135</v>
      </c>
      <c r="D49" s="51">
        <v>273.62</v>
      </c>
      <c r="E49" s="51">
        <v>25.64</v>
      </c>
      <c r="F49" s="44" t="s">
        <v>452</v>
      </c>
      <c r="H49" s="44">
        <f t="shared" si="1"/>
        <v>0.91692160658117583</v>
      </c>
      <c r="J49" s="51">
        <v>2.6</v>
      </c>
      <c r="K49" s="51">
        <v>4.88</v>
      </c>
      <c r="L49" s="51">
        <v>16.2</v>
      </c>
    </row>
    <row r="50" spans="1:12" x14ac:dyDescent="0.25">
      <c r="A50" s="167">
        <v>135</v>
      </c>
      <c r="B50" s="167">
        <v>140</v>
      </c>
      <c r="D50" s="51">
        <v>271.27999999999997</v>
      </c>
      <c r="E50" s="51">
        <v>25.46</v>
      </c>
      <c r="F50" s="44" t="s">
        <v>453</v>
      </c>
      <c r="H50" s="44">
        <f t="shared" si="1"/>
        <v>0.91706809860873806</v>
      </c>
      <c r="J50" s="51">
        <v>2.9</v>
      </c>
      <c r="K50" s="51">
        <v>5.39</v>
      </c>
      <c r="L50" s="51">
        <v>16.399999999999999</v>
      </c>
    </row>
    <row r="51" spans="1:12" x14ac:dyDescent="0.25">
      <c r="A51" s="168">
        <v>140</v>
      </c>
      <c r="B51" s="168">
        <v>145</v>
      </c>
      <c r="D51" s="51">
        <v>270.86</v>
      </c>
      <c r="E51" s="51">
        <v>24.31</v>
      </c>
      <c r="F51" s="51" t="s">
        <v>454</v>
      </c>
      <c r="H51" s="44">
        <f t="shared" si="1"/>
        <v>0.91293717298722366</v>
      </c>
      <c r="J51" s="51">
        <v>2.6</v>
      </c>
      <c r="K51" s="51">
        <v>4.9400000000000004</v>
      </c>
      <c r="L51" s="51">
        <v>16.2</v>
      </c>
    </row>
    <row r="52" spans="1:12" x14ac:dyDescent="0.25">
      <c r="A52" s="168">
        <v>145</v>
      </c>
      <c r="B52" s="168">
        <v>150</v>
      </c>
      <c r="D52" s="51">
        <v>273.22000000000003</v>
      </c>
      <c r="E52" s="51">
        <v>23.68</v>
      </c>
      <c r="F52" s="44" t="s">
        <v>455</v>
      </c>
      <c r="H52" s="44">
        <f t="shared" si="1"/>
        <v>0.90985741764847317</v>
      </c>
      <c r="J52" s="51">
        <v>2.7</v>
      </c>
      <c r="K52" s="51">
        <v>5.15</v>
      </c>
      <c r="L52" s="51">
        <v>16.2</v>
      </c>
    </row>
    <row r="53" spans="1:12" x14ac:dyDescent="0.25">
      <c r="A53" s="167">
        <v>150</v>
      </c>
      <c r="B53" s="167">
        <v>155</v>
      </c>
      <c r="D53" s="51">
        <v>273.17</v>
      </c>
      <c r="E53" s="51">
        <v>25.26</v>
      </c>
      <c r="F53" s="44" t="s">
        <v>456</v>
      </c>
      <c r="H53" s="44">
        <f t="shared" si="1"/>
        <v>0.91567209874551236</v>
      </c>
      <c r="J53" s="51">
        <v>2.7</v>
      </c>
      <c r="K53" s="51">
        <v>5.07</v>
      </c>
      <c r="L53" s="51">
        <v>16.100000000000001</v>
      </c>
    </row>
    <row r="54" spans="1:12" x14ac:dyDescent="0.25">
      <c r="A54" s="168">
        <v>155</v>
      </c>
      <c r="B54" s="168">
        <v>160</v>
      </c>
      <c r="D54" s="51">
        <v>275.76</v>
      </c>
      <c r="E54" s="51">
        <v>25.51</v>
      </c>
      <c r="F54" s="51" t="s">
        <v>457</v>
      </c>
      <c r="H54" s="44">
        <f t="shared" si="1"/>
        <v>0.91571052947052944</v>
      </c>
      <c r="J54" s="51">
        <v>3.1</v>
      </c>
      <c r="K54" s="51">
        <v>5.71</v>
      </c>
      <c r="L54" s="51">
        <v>16.100000000000001</v>
      </c>
    </row>
    <row r="55" spans="1:12" x14ac:dyDescent="0.25">
      <c r="A55" s="168">
        <v>160</v>
      </c>
      <c r="B55" s="168">
        <v>165</v>
      </c>
      <c r="D55" s="51">
        <v>287.26</v>
      </c>
      <c r="E55" s="51">
        <v>27.07</v>
      </c>
      <c r="F55" s="44" t="s">
        <v>458</v>
      </c>
      <c r="H55" s="44">
        <f t="shared" si="1"/>
        <v>0.91745670471578455</v>
      </c>
      <c r="J55" s="51">
        <v>2.9</v>
      </c>
      <c r="K55" s="51">
        <v>5.44</v>
      </c>
      <c r="L55" s="51">
        <v>16.2</v>
      </c>
    </row>
    <row r="56" spans="1:12" x14ac:dyDescent="0.25">
      <c r="A56" s="167">
        <v>165</v>
      </c>
      <c r="B56" s="167">
        <v>170</v>
      </c>
      <c r="D56" s="51">
        <v>288.85000000000002</v>
      </c>
      <c r="E56" s="51">
        <v>26.7</v>
      </c>
      <c r="F56" s="44" t="s">
        <v>459</v>
      </c>
      <c r="H56" s="44">
        <f t="shared" si="1"/>
        <v>0.91563742132366965</v>
      </c>
      <c r="J56" s="51">
        <v>2.9</v>
      </c>
      <c r="K56" s="51">
        <v>5.4</v>
      </c>
      <c r="L56" s="51">
        <v>16.2</v>
      </c>
    </row>
    <row r="57" spans="1:12" x14ac:dyDescent="0.25">
      <c r="A57" s="168">
        <v>170</v>
      </c>
      <c r="B57" s="168">
        <v>175</v>
      </c>
      <c r="D57" s="51">
        <v>288.02</v>
      </c>
      <c r="E57" s="51">
        <v>27.09</v>
      </c>
      <c r="F57" s="51" t="s">
        <v>460</v>
      </c>
      <c r="H57" s="44">
        <f t="shared" si="1"/>
        <v>0.91727520791016737</v>
      </c>
      <c r="J57" s="51">
        <v>2.8</v>
      </c>
      <c r="K57" s="51">
        <v>5.26</v>
      </c>
      <c r="L57" s="51">
        <v>16.2</v>
      </c>
    </row>
    <row r="58" spans="1:12" x14ac:dyDescent="0.25">
      <c r="A58" s="168">
        <v>175</v>
      </c>
      <c r="B58" s="168">
        <v>180</v>
      </c>
      <c r="D58" s="51">
        <v>237.34</v>
      </c>
      <c r="E58" s="51">
        <v>22.25</v>
      </c>
      <c r="F58" s="51" t="s">
        <v>461</v>
      </c>
      <c r="H58" s="44">
        <f t="shared" si="1"/>
        <v>0.91696285275931</v>
      </c>
      <c r="I58" s="122" t="s">
        <v>448</v>
      </c>
      <c r="J58" s="51">
        <v>2.8</v>
      </c>
      <c r="K58" s="51">
        <v>5.22</v>
      </c>
      <c r="L58" s="51">
        <v>16.2</v>
      </c>
    </row>
    <row r="59" spans="1:12" x14ac:dyDescent="0.25">
      <c r="A59" s="167">
        <v>180</v>
      </c>
      <c r="B59" s="167">
        <v>185</v>
      </c>
      <c r="D59" s="51">
        <v>283.39</v>
      </c>
      <c r="E59" s="51">
        <v>24.68</v>
      </c>
      <c r="F59" s="51" t="s">
        <v>462</v>
      </c>
      <c r="H59" s="44">
        <f t="shared" si="1"/>
        <v>0.91027439990723202</v>
      </c>
      <c r="I59" s="122" t="s">
        <v>448</v>
      </c>
      <c r="J59" s="51">
        <v>3.3</v>
      </c>
      <c r="K59" s="51">
        <v>6.07</v>
      </c>
      <c r="L59" s="51">
        <v>16.2</v>
      </c>
    </row>
  </sheetData>
  <mergeCells count="7">
    <mergeCell ref="A1:C1"/>
    <mergeCell ref="B7:D7"/>
    <mergeCell ref="B2:C2"/>
    <mergeCell ref="B3:C3"/>
    <mergeCell ref="B4:C4"/>
    <mergeCell ref="B5:C5"/>
    <mergeCell ref="B6:C6"/>
  </mergeCells>
  <phoneticPr fontId="16" type="noConversion"/>
  <pageMargins left="0.7" right="0.7" top="0.75" bottom="0.75" header="0.3" footer="0.3"/>
  <pageSetup paperSize="9" scale="6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9108-30A6-4D03-A0AD-40BA87FB168B}">
  <sheetPr>
    <tabColor rgb="FF92D050"/>
    <pageSetUpPr fitToPage="1"/>
  </sheetPr>
  <dimension ref="A1:I47"/>
  <sheetViews>
    <sheetView zoomScale="80" zoomScaleNormal="80" workbookViewId="0">
      <selection activeCell="E16" sqref="E16"/>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36.7109375" style="51" customWidth="1"/>
    <col min="9" max="16384" width="9.140625" style="51"/>
  </cols>
  <sheetData>
    <row r="1" spans="1:9" ht="34.5" thickBot="1" x14ac:dyDescent="0.55000000000000004">
      <c r="A1" s="218" t="s">
        <v>235</v>
      </c>
      <c r="B1" s="218"/>
      <c r="C1" s="218"/>
      <c r="D1" s="218"/>
    </row>
    <row r="2" spans="1:9" x14ac:dyDescent="0.25">
      <c r="A2" s="35" t="s">
        <v>16</v>
      </c>
      <c r="B2" s="194" t="str">
        <f>CONCATENATE(ExpID,"-",StnNum,"-",StnDay)</f>
        <v>Polhavet2022-6-1</v>
      </c>
      <c r="C2" s="194"/>
      <c r="D2" s="76"/>
    </row>
    <row r="3" spans="1:9" x14ac:dyDescent="0.25">
      <c r="A3" s="36" t="s">
        <v>137</v>
      </c>
      <c r="B3" s="196" t="s">
        <v>223</v>
      </c>
      <c r="C3" s="196"/>
      <c r="D3" s="80"/>
    </row>
    <row r="4" spans="1:9" x14ac:dyDescent="0.25">
      <c r="A4" s="36" t="s">
        <v>4</v>
      </c>
      <c r="B4" s="195" t="str">
        <f>ObsDate</f>
        <v>05.08.2022</v>
      </c>
      <c r="C4" s="195"/>
      <c r="D4" s="80"/>
    </row>
    <row r="5" spans="1:9" x14ac:dyDescent="0.25">
      <c r="A5" s="37" t="s">
        <v>108</v>
      </c>
      <c r="B5" s="197"/>
      <c r="C5" s="197"/>
      <c r="D5" s="80"/>
    </row>
    <row r="6" spans="1:9" x14ac:dyDescent="0.25">
      <c r="A6" s="37" t="s">
        <v>122</v>
      </c>
      <c r="B6" s="199" t="s">
        <v>254</v>
      </c>
      <c r="C6" s="200"/>
      <c r="D6" s="80"/>
    </row>
    <row r="7" spans="1:9" x14ac:dyDescent="0.25">
      <c r="A7" s="219" t="s">
        <v>172</v>
      </c>
      <c r="B7" s="220"/>
      <c r="C7" s="43" t="s">
        <v>170</v>
      </c>
      <c r="D7" s="80"/>
      <c r="E7" s="92"/>
      <c r="F7" s="77"/>
      <c r="G7" s="77"/>
      <c r="H7" s="79"/>
      <c r="I7" s="78"/>
    </row>
    <row r="8" spans="1:9" ht="30" customHeight="1" thickBot="1" x14ac:dyDescent="0.3">
      <c r="A8" s="38" t="s">
        <v>15</v>
      </c>
      <c r="B8" s="215" t="s">
        <v>279</v>
      </c>
      <c r="C8" s="216"/>
      <c r="D8" s="217"/>
    </row>
    <row r="10" spans="1:9" ht="15.75" thickBot="1" x14ac:dyDescent="0.3">
      <c r="A10" s="53" t="s">
        <v>79</v>
      </c>
      <c r="D10" s="53" t="s">
        <v>110</v>
      </c>
    </row>
    <row r="11" spans="1:9" x14ac:dyDescent="0.25">
      <c r="A11" s="15" t="s">
        <v>127</v>
      </c>
      <c r="B11" s="97"/>
      <c r="D11" s="15" t="s">
        <v>144</v>
      </c>
      <c r="E11" s="100"/>
    </row>
    <row r="12" spans="1:9" x14ac:dyDescent="0.25">
      <c r="A12" s="16" t="s">
        <v>128</v>
      </c>
      <c r="B12" s="98"/>
      <c r="D12" s="16" t="s">
        <v>145</v>
      </c>
      <c r="E12" s="101">
        <v>186</v>
      </c>
    </row>
    <row r="13" spans="1:9" x14ac:dyDescent="0.25">
      <c r="A13" s="16" t="s">
        <v>129</v>
      </c>
      <c r="B13" s="98"/>
      <c r="D13" s="16" t="s">
        <v>146</v>
      </c>
      <c r="E13" s="101">
        <v>166</v>
      </c>
    </row>
    <row r="14" spans="1:9" ht="15.75" thickBot="1" x14ac:dyDescent="0.3">
      <c r="A14" s="18" t="s">
        <v>130</v>
      </c>
      <c r="B14" s="99"/>
      <c r="D14" s="16" t="s">
        <v>141</v>
      </c>
      <c r="E14" s="101"/>
    </row>
    <row r="15" spans="1:9" x14ac:dyDescent="0.25">
      <c r="D15" s="16" t="s">
        <v>143</v>
      </c>
      <c r="E15" s="101"/>
    </row>
    <row r="16" spans="1:9" ht="15.75" thickBot="1" x14ac:dyDescent="0.3">
      <c r="D16" s="18" t="s">
        <v>155</v>
      </c>
      <c r="E16" s="102">
        <v>3</v>
      </c>
    </row>
    <row r="17" spans="1:6" ht="15.75" thickBot="1" x14ac:dyDescent="0.3"/>
    <row r="18" spans="1:6" x14ac:dyDescent="0.25">
      <c r="A18" s="15" t="s">
        <v>175</v>
      </c>
      <c r="B18" s="103"/>
      <c r="C18" s="93"/>
      <c r="D18" s="94"/>
    </row>
    <row r="19" spans="1:6" x14ac:dyDescent="0.25">
      <c r="A19" s="16" t="s">
        <v>132</v>
      </c>
      <c r="B19" s="104"/>
      <c r="C19" s="62"/>
      <c r="D19" s="95"/>
    </row>
    <row r="20" spans="1:6" ht="15.75" thickBot="1" x14ac:dyDescent="0.3">
      <c r="A20" s="18" t="s">
        <v>131</v>
      </c>
      <c r="B20" s="96"/>
      <c r="C20" s="96"/>
      <c r="D20" s="39"/>
    </row>
    <row r="21" spans="1:6" ht="15.75" thickBot="1" x14ac:dyDescent="0.3"/>
    <row r="22" spans="1:6" ht="15.75" thickBot="1" x14ac:dyDescent="0.3">
      <c r="A22" s="40" t="s">
        <v>119</v>
      </c>
      <c r="B22" s="42" t="s">
        <v>147</v>
      </c>
      <c r="C22" s="42" t="s">
        <v>148</v>
      </c>
      <c r="D22" s="42" t="s">
        <v>149</v>
      </c>
      <c r="E22" s="222" t="s">
        <v>13</v>
      </c>
      <c r="F22" s="223"/>
    </row>
    <row r="23" spans="1:6" x14ac:dyDescent="0.25">
      <c r="A23" s="105">
        <v>1</v>
      </c>
      <c r="B23" s="106"/>
      <c r="C23" s="106"/>
      <c r="D23" s="106">
        <v>95</v>
      </c>
      <c r="E23" s="224" t="s">
        <v>281</v>
      </c>
      <c r="F23" s="224"/>
    </row>
    <row r="24" spans="1:6" x14ac:dyDescent="0.25">
      <c r="A24" s="107">
        <v>2</v>
      </c>
      <c r="B24" s="108"/>
      <c r="C24" s="108"/>
      <c r="D24" s="108">
        <v>93</v>
      </c>
      <c r="E24" s="221" t="s">
        <v>280</v>
      </c>
      <c r="F24" s="221"/>
    </row>
    <row r="25" spans="1:6" x14ac:dyDescent="0.25">
      <c r="A25" s="107"/>
      <c r="B25" s="108"/>
      <c r="C25" s="108"/>
      <c r="D25" s="108"/>
      <c r="E25" s="221"/>
      <c r="F25" s="221"/>
    </row>
    <row r="26" spans="1:6" x14ac:dyDescent="0.25">
      <c r="A26" s="107"/>
      <c r="B26" s="108"/>
      <c r="C26" s="108"/>
      <c r="D26" s="108"/>
      <c r="E26" s="221"/>
      <c r="F26" s="221"/>
    </row>
    <row r="27" spans="1:6" x14ac:dyDescent="0.25">
      <c r="A27" s="107"/>
      <c r="B27" s="108"/>
      <c r="C27" s="108"/>
      <c r="D27" s="108"/>
      <c r="E27" s="221"/>
      <c r="F27" s="221"/>
    </row>
    <row r="28" spans="1:6" x14ac:dyDescent="0.25">
      <c r="A28" s="107"/>
      <c r="B28" s="108"/>
      <c r="C28" s="108"/>
      <c r="D28" s="108"/>
      <c r="E28" s="221"/>
      <c r="F28" s="221"/>
    </row>
    <row r="29" spans="1:6" x14ac:dyDescent="0.25">
      <c r="A29" s="107"/>
      <c r="B29" s="108"/>
      <c r="C29" s="108"/>
      <c r="D29" s="108"/>
      <c r="E29" s="221"/>
      <c r="F29" s="221"/>
    </row>
    <row r="30" spans="1:6" x14ac:dyDescent="0.25">
      <c r="A30" s="107"/>
      <c r="B30" s="108"/>
      <c r="C30" s="108"/>
      <c r="D30" s="108"/>
      <c r="E30" s="221"/>
      <c r="F30" s="221"/>
    </row>
    <row r="31" spans="1:6" x14ac:dyDescent="0.25">
      <c r="A31" s="107"/>
      <c r="B31" s="108"/>
      <c r="C31" s="108"/>
      <c r="D31" s="108"/>
      <c r="E31" s="221"/>
      <c r="F31" s="221"/>
    </row>
    <row r="32" spans="1:6" x14ac:dyDescent="0.25">
      <c r="A32" s="107"/>
      <c r="B32" s="108"/>
      <c r="C32" s="108"/>
      <c r="D32" s="108"/>
      <c r="E32" s="221"/>
      <c r="F32" s="221"/>
    </row>
    <row r="33" spans="1:6" x14ac:dyDescent="0.25">
      <c r="A33" s="107"/>
      <c r="B33" s="108"/>
      <c r="C33" s="108"/>
      <c r="D33" s="108"/>
      <c r="E33" s="221"/>
      <c r="F33" s="221"/>
    </row>
    <row r="34" spans="1:6" x14ac:dyDescent="0.25">
      <c r="A34" s="107"/>
      <c r="B34" s="108"/>
      <c r="C34" s="108"/>
      <c r="D34" s="108"/>
      <c r="E34" s="221"/>
      <c r="F34" s="221"/>
    </row>
    <row r="35" spans="1:6" x14ac:dyDescent="0.25">
      <c r="A35" s="107"/>
      <c r="B35" s="108"/>
      <c r="C35" s="108"/>
      <c r="D35" s="108"/>
      <c r="E35" s="221"/>
      <c r="F35" s="221"/>
    </row>
    <row r="36" spans="1:6" x14ac:dyDescent="0.25">
      <c r="A36" s="107"/>
      <c r="B36" s="108"/>
      <c r="C36" s="108"/>
      <c r="D36" s="108"/>
      <c r="E36" s="221"/>
      <c r="F36" s="221"/>
    </row>
    <row r="37" spans="1:6" x14ac:dyDescent="0.25">
      <c r="A37" s="107"/>
      <c r="B37" s="108"/>
      <c r="C37" s="108"/>
      <c r="D37" s="108"/>
      <c r="E37" s="221"/>
      <c r="F37" s="221"/>
    </row>
    <row r="38" spans="1:6" x14ac:dyDescent="0.25">
      <c r="A38" s="107"/>
      <c r="B38" s="108"/>
      <c r="C38" s="108"/>
      <c r="D38" s="108"/>
      <c r="E38" s="221"/>
      <c r="F38" s="221"/>
    </row>
    <row r="39" spans="1:6" x14ac:dyDescent="0.25">
      <c r="A39" s="107"/>
      <c r="B39" s="108"/>
      <c r="C39" s="108"/>
      <c r="D39" s="108"/>
      <c r="E39" s="221"/>
      <c r="F39" s="221"/>
    </row>
    <row r="40" spans="1:6" x14ac:dyDescent="0.25">
      <c r="A40" s="107"/>
      <c r="B40" s="108"/>
      <c r="C40" s="108"/>
      <c r="D40" s="108"/>
      <c r="E40" s="221"/>
      <c r="F40" s="221"/>
    </row>
    <row r="41" spans="1:6" x14ac:dyDescent="0.25">
      <c r="A41" s="107"/>
      <c r="B41" s="108"/>
      <c r="C41" s="108"/>
      <c r="D41" s="108"/>
      <c r="E41" s="221"/>
      <c r="F41" s="221"/>
    </row>
    <row r="42" spans="1:6" x14ac:dyDescent="0.25">
      <c r="A42" s="107"/>
      <c r="B42" s="108"/>
      <c r="C42" s="108"/>
      <c r="D42" s="108"/>
      <c r="E42" s="221"/>
      <c r="F42" s="221"/>
    </row>
    <row r="43" spans="1:6" x14ac:dyDescent="0.25">
      <c r="A43" s="107"/>
      <c r="B43" s="108"/>
      <c r="C43" s="108"/>
      <c r="D43" s="108"/>
      <c r="E43" s="221"/>
      <c r="F43" s="221"/>
    </row>
    <row r="44" spans="1:6" x14ac:dyDescent="0.25">
      <c r="A44" s="107"/>
      <c r="B44" s="108"/>
      <c r="C44" s="108"/>
      <c r="D44" s="108"/>
      <c r="E44" s="221"/>
      <c r="F44" s="221"/>
    </row>
    <row r="45" spans="1:6" x14ac:dyDescent="0.25">
      <c r="A45" s="107"/>
      <c r="B45" s="108"/>
      <c r="C45" s="108"/>
      <c r="D45" s="108"/>
      <c r="E45" s="221"/>
      <c r="F45" s="221"/>
    </row>
    <row r="46" spans="1:6" x14ac:dyDescent="0.25">
      <c r="A46" s="107"/>
      <c r="B46" s="108"/>
      <c r="C46" s="108"/>
      <c r="D46" s="108"/>
      <c r="E46" s="221"/>
      <c r="F46" s="221"/>
    </row>
    <row r="47" spans="1:6" x14ac:dyDescent="0.25">
      <c r="A47" s="107"/>
      <c r="B47" s="108"/>
      <c r="C47" s="108"/>
      <c r="D47" s="108"/>
      <c r="E47" s="221"/>
      <c r="F47" s="221"/>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16489FD1-1359-447B-8766-48C5128DCD03}">
      <formula1>Yes_No</formula1>
    </dataValidation>
  </dataValidations>
  <pageMargins left="0.7" right="0.7" top="0.75" bottom="0.75" header="0.3" footer="0.3"/>
  <pageSetup paperSize="9" scale="75" fitToHeight="0"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186C-1120-423E-999D-15096854B398}">
  <sheetPr>
    <tabColor rgb="FF92D050"/>
    <pageSetUpPr fitToPage="1"/>
  </sheetPr>
  <dimension ref="A1:I47"/>
  <sheetViews>
    <sheetView zoomScale="80" zoomScaleNormal="80" workbookViewId="0">
      <selection activeCell="E12" sqref="E12:E16"/>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36.7109375" style="51" customWidth="1"/>
    <col min="9" max="16384" width="9.140625" style="51"/>
  </cols>
  <sheetData>
    <row r="1" spans="1:9" ht="34.5" thickBot="1" x14ac:dyDescent="0.55000000000000004">
      <c r="A1" s="218" t="s">
        <v>437</v>
      </c>
      <c r="B1" s="218"/>
      <c r="C1" s="218"/>
      <c r="D1" s="218"/>
    </row>
    <row r="2" spans="1:9" x14ac:dyDescent="0.25">
      <c r="A2" s="35" t="s">
        <v>16</v>
      </c>
      <c r="B2" s="194" t="str">
        <f>CONCATENATE(ExpID,"-",StnNum,"-",StnDay)</f>
        <v>Polhavet2022-6-1</v>
      </c>
      <c r="C2" s="194"/>
      <c r="D2" s="76"/>
    </row>
    <row r="3" spans="1:9" x14ac:dyDescent="0.25">
      <c r="A3" s="36" t="s">
        <v>137</v>
      </c>
      <c r="B3" s="196" t="s">
        <v>223</v>
      </c>
      <c r="C3" s="196"/>
      <c r="D3" s="80"/>
    </row>
    <row r="4" spans="1:9" x14ac:dyDescent="0.25">
      <c r="A4" s="36" t="s">
        <v>4</v>
      </c>
      <c r="B4" s="195" t="str">
        <f>ObsDate</f>
        <v>05.08.2022</v>
      </c>
      <c r="C4" s="195"/>
      <c r="D4" s="80"/>
    </row>
    <row r="5" spans="1:9" x14ac:dyDescent="0.25">
      <c r="A5" s="37" t="s">
        <v>108</v>
      </c>
      <c r="B5" s="197"/>
      <c r="C5" s="197"/>
      <c r="D5" s="80"/>
    </row>
    <row r="6" spans="1:9" x14ac:dyDescent="0.25">
      <c r="A6" s="37" t="s">
        <v>122</v>
      </c>
      <c r="B6" s="199" t="s">
        <v>254</v>
      </c>
      <c r="C6" s="200"/>
      <c r="D6" s="80"/>
    </row>
    <row r="7" spans="1:9" x14ac:dyDescent="0.25">
      <c r="A7" s="219" t="s">
        <v>172</v>
      </c>
      <c r="B7" s="220"/>
      <c r="C7" s="43" t="s">
        <v>170</v>
      </c>
      <c r="D7" s="80"/>
      <c r="E7" s="92"/>
      <c r="F7" s="77"/>
      <c r="G7" s="77"/>
      <c r="H7" s="79"/>
      <c r="I7" s="78"/>
    </row>
    <row r="8" spans="1:9" ht="30" customHeight="1" thickBot="1" x14ac:dyDescent="0.3">
      <c r="A8" s="38" t="s">
        <v>15</v>
      </c>
      <c r="B8" s="215" t="s">
        <v>279</v>
      </c>
      <c r="C8" s="216"/>
      <c r="D8" s="217"/>
    </row>
    <row r="10" spans="1:9" ht="15.75" thickBot="1" x14ac:dyDescent="0.3">
      <c r="A10" s="53" t="s">
        <v>79</v>
      </c>
      <c r="D10" s="53" t="s">
        <v>110</v>
      </c>
    </row>
    <row r="11" spans="1:9" x14ac:dyDescent="0.25">
      <c r="A11" s="15" t="s">
        <v>127</v>
      </c>
      <c r="B11" s="97"/>
      <c r="D11" s="15" t="s">
        <v>144</v>
      </c>
      <c r="E11" s="100"/>
    </row>
    <row r="12" spans="1:9" x14ac:dyDescent="0.25">
      <c r="A12" s="16" t="s">
        <v>128</v>
      </c>
      <c r="B12" s="98"/>
      <c r="D12" s="16" t="s">
        <v>145</v>
      </c>
      <c r="E12" s="101"/>
    </row>
    <row r="13" spans="1:9" x14ac:dyDescent="0.25">
      <c r="A13" s="16" t="s">
        <v>129</v>
      </c>
      <c r="B13" s="98"/>
      <c r="D13" s="16" t="s">
        <v>146</v>
      </c>
      <c r="E13" s="101"/>
    </row>
    <row r="14" spans="1:9" ht="15.75" thickBot="1" x14ac:dyDescent="0.3">
      <c r="A14" s="18" t="s">
        <v>130</v>
      </c>
      <c r="B14" s="99"/>
      <c r="D14" s="16" t="s">
        <v>141</v>
      </c>
      <c r="E14" s="101"/>
    </row>
    <row r="15" spans="1:9" x14ac:dyDescent="0.25">
      <c r="D15" s="16" t="s">
        <v>143</v>
      </c>
      <c r="E15" s="101"/>
    </row>
    <row r="16" spans="1:9" ht="15.75" thickBot="1" x14ac:dyDescent="0.3">
      <c r="D16" s="18" t="s">
        <v>155</v>
      </c>
      <c r="E16" s="102"/>
    </row>
    <row r="17" spans="1:6" ht="15.75" thickBot="1" x14ac:dyDescent="0.3"/>
    <row r="18" spans="1:6" x14ac:dyDescent="0.25">
      <c r="A18" s="15" t="s">
        <v>175</v>
      </c>
      <c r="B18" s="103"/>
      <c r="C18" s="93"/>
      <c r="D18" s="94"/>
    </row>
    <row r="19" spans="1:6" x14ac:dyDescent="0.25">
      <c r="A19" s="16" t="s">
        <v>132</v>
      </c>
      <c r="B19" s="104"/>
      <c r="C19" s="62"/>
      <c r="D19" s="95"/>
    </row>
    <row r="20" spans="1:6" ht="15.75" thickBot="1" x14ac:dyDescent="0.3">
      <c r="A20" s="18" t="s">
        <v>131</v>
      </c>
      <c r="B20" s="96"/>
      <c r="C20" s="96"/>
      <c r="D20" s="39"/>
    </row>
    <row r="21" spans="1:6" ht="15.75" thickBot="1" x14ac:dyDescent="0.3"/>
    <row r="22" spans="1:6" ht="15.75" thickBot="1" x14ac:dyDescent="0.3">
      <c r="A22" s="40" t="s">
        <v>119</v>
      </c>
      <c r="B22" s="42" t="s">
        <v>147</v>
      </c>
      <c r="C22" s="42" t="s">
        <v>148</v>
      </c>
      <c r="D22" s="42" t="s">
        <v>149</v>
      </c>
      <c r="E22" s="222" t="s">
        <v>13</v>
      </c>
      <c r="F22" s="223"/>
    </row>
    <row r="23" spans="1:6" x14ac:dyDescent="0.25">
      <c r="A23" s="105"/>
      <c r="B23" s="106"/>
      <c r="C23" s="106"/>
      <c r="D23" s="106"/>
      <c r="E23" s="224"/>
      <c r="F23" s="224"/>
    </row>
    <row r="24" spans="1:6" x14ac:dyDescent="0.25">
      <c r="A24" s="107"/>
      <c r="B24" s="108"/>
      <c r="C24" s="108"/>
      <c r="D24" s="108"/>
      <c r="E24" s="221"/>
      <c r="F24" s="221"/>
    </row>
    <row r="25" spans="1:6" x14ac:dyDescent="0.25">
      <c r="A25" s="107"/>
      <c r="B25" s="108"/>
      <c r="C25" s="108"/>
      <c r="D25" s="108"/>
      <c r="E25" s="221"/>
      <c r="F25" s="221"/>
    </row>
    <row r="26" spans="1:6" x14ac:dyDescent="0.25">
      <c r="A26" s="107"/>
      <c r="B26" s="108"/>
      <c r="C26" s="108"/>
      <c r="D26" s="108"/>
      <c r="E26" s="221"/>
      <c r="F26" s="221"/>
    </row>
    <row r="27" spans="1:6" x14ac:dyDescent="0.25">
      <c r="A27" s="107"/>
      <c r="B27" s="108"/>
      <c r="C27" s="108"/>
      <c r="D27" s="108"/>
      <c r="E27" s="221"/>
      <c r="F27" s="221"/>
    </row>
    <row r="28" spans="1:6" x14ac:dyDescent="0.25">
      <c r="A28" s="107"/>
      <c r="B28" s="108"/>
      <c r="C28" s="108"/>
      <c r="D28" s="108"/>
      <c r="E28" s="221"/>
      <c r="F28" s="221"/>
    </row>
    <row r="29" spans="1:6" x14ac:dyDescent="0.25">
      <c r="A29" s="107"/>
      <c r="B29" s="108"/>
      <c r="C29" s="108"/>
      <c r="D29" s="108"/>
      <c r="E29" s="221"/>
      <c r="F29" s="221"/>
    </row>
    <row r="30" spans="1:6" x14ac:dyDescent="0.25">
      <c r="A30" s="107"/>
      <c r="B30" s="108"/>
      <c r="C30" s="108"/>
      <c r="D30" s="108"/>
      <c r="E30" s="221"/>
      <c r="F30" s="221"/>
    </row>
    <row r="31" spans="1:6" x14ac:dyDescent="0.25">
      <c r="A31" s="107"/>
      <c r="B31" s="108"/>
      <c r="C31" s="108"/>
      <c r="D31" s="108"/>
      <c r="E31" s="221"/>
      <c r="F31" s="221"/>
    </row>
    <row r="32" spans="1:6" x14ac:dyDescent="0.25">
      <c r="A32" s="107"/>
      <c r="B32" s="108"/>
      <c r="C32" s="108"/>
      <c r="D32" s="108"/>
      <c r="E32" s="221"/>
      <c r="F32" s="221"/>
    </row>
    <row r="33" spans="1:6" x14ac:dyDescent="0.25">
      <c r="A33" s="107"/>
      <c r="B33" s="108"/>
      <c r="C33" s="108"/>
      <c r="D33" s="108"/>
      <c r="E33" s="221"/>
      <c r="F33" s="221"/>
    </row>
    <row r="34" spans="1:6" x14ac:dyDescent="0.25">
      <c r="A34" s="107"/>
      <c r="B34" s="108"/>
      <c r="C34" s="108"/>
      <c r="D34" s="108"/>
      <c r="E34" s="221"/>
      <c r="F34" s="221"/>
    </row>
    <row r="35" spans="1:6" x14ac:dyDescent="0.25">
      <c r="A35" s="107"/>
      <c r="B35" s="108"/>
      <c r="C35" s="108"/>
      <c r="D35" s="108"/>
      <c r="E35" s="221"/>
      <c r="F35" s="221"/>
    </row>
    <row r="36" spans="1:6" x14ac:dyDescent="0.25">
      <c r="A36" s="107"/>
      <c r="B36" s="108"/>
      <c r="C36" s="108"/>
      <c r="D36" s="108"/>
      <c r="E36" s="221"/>
      <c r="F36" s="221"/>
    </row>
    <row r="37" spans="1:6" x14ac:dyDescent="0.25">
      <c r="A37" s="107"/>
      <c r="B37" s="108"/>
      <c r="C37" s="108"/>
      <c r="D37" s="108"/>
      <c r="E37" s="221"/>
      <c r="F37" s="221"/>
    </row>
    <row r="38" spans="1:6" x14ac:dyDescent="0.25">
      <c r="A38" s="107"/>
      <c r="B38" s="108"/>
      <c r="C38" s="108"/>
      <c r="D38" s="108"/>
      <c r="E38" s="221"/>
      <c r="F38" s="221"/>
    </row>
    <row r="39" spans="1:6" x14ac:dyDescent="0.25">
      <c r="A39" s="107"/>
      <c r="B39" s="108"/>
      <c r="C39" s="108"/>
      <c r="D39" s="108"/>
      <c r="E39" s="221"/>
      <c r="F39" s="221"/>
    </row>
    <row r="40" spans="1:6" x14ac:dyDescent="0.25">
      <c r="A40" s="107"/>
      <c r="B40" s="108"/>
      <c r="C40" s="108"/>
      <c r="D40" s="108"/>
      <c r="E40" s="221"/>
      <c r="F40" s="221"/>
    </row>
    <row r="41" spans="1:6" x14ac:dyDescent="0.25">
      <c r="A41" s="107"/>
      <c r="B41" s="108"/>
      <c r="C41" s="108"/>
      <c r="D41" s="108"/>
      <c r="E41" s="221"/>
      <c r="F41" s="221"/>
    </row>
    <row r="42" spans="1:6" x14ac:dyDescent="0.25">
      <c r="A42" s="107"/>
      <c r="B42" s="108"/>
      <c r="C42" s="108"/>
      <c r="D42" s="108"/>
      <c r="E42" s="221"/>
      <c r="F42" s="221"/>
    </row>
    <row r="43" spans="1:6" x14ac:dyDescent="0.25">
      <c r="A43" s="107"/>
      <c r="B43" s="108"/>
      <c r="C43" s="108"/>
      <c r="D43" s="108"/>
      <c r="E43" s="221"/>
      <c r="F43" s="221"/>
    </row>
    <row r="44" spans="1:6" x14ac:dyDescent="0.25">
      <c r="A44" s="107"/>
      <c r="B44" s="108"/>
      <c r="C44" s="108"/>
      <c r="D44" s="108"/>
      <c r="E44" s="221"/>
      <c r="F44" s="221"/>
    </row>
    <row r="45" spans="1:6" x14ac:dyDescent="0.25">
      <c r="A45" s="107"/>
      <c r="B45" s="108"/>
      <c r="C45" s="108"/>
      <c r="D45" s="108"/>
      <c r="E45" s="221"/>
      <c r="F45" s="221"/>
    </row>
    <row r="46" spans="1:6" x14ac:dyDescent="0.25">
      <c r="A46" s="107"/>
      <c r="B46" s="108"/>
      <c r="C46" s="108"/>
      <c r="D46" s="108"/>
      <c r="E46" s="221"/>
      <c r="F46" s="221"/>
    </row>
    <row r="47" spans="1:6" x14ac:dyDescent="0.25">
      <c r="A47" s="107"/>
      <c r="B47" s="108"/>
      <c r="C47" s="108"/>
      <c r="D47" s="108"/>
      <c r="E47" s="221"/>
      <c r="F47" s="221"/>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AC4E0C92-69EE-4C61-ABDC-D09EAD0E14B1}">
      <formula1>Yes_No</formula1>
    </dataValidation>
  </dataValidations>
  <pageMargins left="0.7" right="0.7" top="0.75" bottom="0.75" header="0.3" footer="0.3"/>
  <pageSetup paperSize="9" scale="75" fitToHeight="0"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C998-CD1A-423A-98DF-00087FDDB8C6}">
  <sheetPr>
    <tabColor rgb="FF92D050"/>
    <pageSetUpPr fitToPage="1"/>
  </sheetPr>
  <dimension ref="A1:L55"/>
  <sheetViews>
    <sheetView zoomScale="80" zoomScaleNormal="80" workbookViewId="0">
      <selection activeCell="H16" sqref="H16"/>
    </sheetView>
  </sheetViews>
  <sheetFormatPr defaultColWidth="9.140625" defaultRowHeight="15" x14ac:dyDescent="0.25"/>
  <cols>
    <col min="1" max="1" width="23.7109375" style="51" bestFit="1" customWidth="1"/>
    <col min="2" max="2" width="16.7109375" style="51" bestFit="1" customWidth="1"/>
    <col min="3" max="3" width="20.42578125" style="51" bestFit="1" customWidth="1"/>
    <col min="4" max="4" width="27" style="51" bestFit="1" customWidth="1"/>
    <col min="5" max="5" width="18.7109375" style="51" customWidth="1"/>
    <col min="6" max="6" width="20.28515625" style="51" bestFit="1" customWidth="1"/>
    <col min="7" max="7" width="18.7109375" style="51" customWidth="1"/>
    <col min="8" max="8" width="36.7109375" style="51" customWidth="1"/>
    <col min="9" max="10" width="9.140625" style="51"/>
    <col min="11" max="11" width="14.85546875" style="51" customWidth="1"/>
    <col min="12" max="12" width="14.5703125" style="51" customWidth="1"/>
    <col min="13" max="16384" width="9.140625" style="51"/>
  </cols>
  <sheetData>
    <row r="1" spans="1:9" ht="34.5" thickBot="1" x14ac:dyDescent="0.55000000000000004">
      <c r="A1" s="218" t="s">
        <v>236</v>
      </c>
      <c r="B1" s="218"/>
      <c r="C1" s="218"/>
      <c r="D1" s="218"/>
    </row>
    <row r="2" spans="1:9" x14ac:dyDescent="0.25">
      <c r="A2" s="35" t="s">
        <v>16</v>
      </c>
      <c r="B2" s="194" t="str">
        <f>CONCATENATE(ExpID,"-",StnNum,"-",StnDay)</f>
        <v>Polhavet2022-6-1</v>
      </c>
      <c r="C2" s="194"/>
      <c r="D2" s="76"/>
    </row>
    <row r="3" spans="1:9" x14ac:dyDescent="0.25">
      <c r="A3" s="36" t="s">
        <v>137</v>
      </c>
      <c r="B3" s="196" t="s">
        <v>223</v>
      </c>
      <c r="C3" s="196"/>
      <c r="D3" s="80"/>
    </row>
    <row r="4" spans="1:9" x14ac:dyDescent="0.25">
      <c r="A4" s="36" t="s">
        <v>4</v>
      </c>
      <c r="B4" s="195" t="str">
        <f>ObsDate</f>
        <v>05.08.2022</v>
      </c>
      <c r="C4" s="195"/>
      <c r="D4" s="80"/>
    </row>
    <row r="5" spans="1:9" x14ac:dyDescent="0.25">
      <c r="A5" s="37" t="s">
        <v>108</v>
      </c>
      <c r="B5" s="197"/>
      <c r="C5" s="197"/>
      <c r="D5" s="80"/>
    </row>
    <row r="6" spans="1:9" x14ac:dyDescent="0.25">
      <c r="A6" s="37" t="s">
        <v>122</v>
      </c>
      <c r="B6" s="199" t="s">
        <v>254</v>
      </c>
      <c r="C6" s="200"/>
      <c r="D6" s="80"/>
    </row>
    <row r="7" spans="1:9" x14ac:dyDescent="0.25">
      <c r="A7" s="219" t="s">
        <v>172</v>
      </c>
      <c r="B7" s="220"/>
      <c r="C7" s="43"/>
      <c r="D7" s="80"/>
      <c r="E7" s="92"/>
      <c r="F7" s="77"/>
      <c r="G7" s="77"/>
      <c r="H7" s="79"/>
      <c r="I7" s="78"/>
    </row>
    <row r="8" spans="1:9" ht="30" customHeight="1" thickBot="1" x14ac:dyDescent="0.3">
      <c r="A8" s="38" t="s">
        <v>15</v>
      </c>
      <c r="B8" s="215" t="s">
        <v>282</v>
      </c>
      <c r="C8" s="216"/>
      <c r="D8" s="217"/>
    </row>
    <row r="10" spans="1:9" ht="15.75" thickBot="1" x14ac:dyDescent="0.3">
      <c r="A10" s="53" t="s">
        <v>79</v>
      </c>
      <c r="D10" s="53" t="s">
        <v>110</v>
      </c>
    </row>
    <row r="11" spans="1:9" x14ac:dyDescent="0.25">
      <c r="A11" s="15" t="s">
        <v>127</v>
      </c>
      <c r="B11" s="97"/>
      <c r="D11" s="15" t="s">
        <v>144</v>
      </c>
      <c r="E11" s="100"/>
    </row>
    <row r="12" spans="1:9" x14ac:dyDescent="0.25">
      <c r="A12" s="16" t="s">
        <v>128</v>
      </c>
      <c r="B12" s="98"/>
      <c r="D12" s="16" t="s">
        <v>145</v>
      </c>
      <c r="E12" s="101">
        <v>184</v>
      </c>
    </row>
    <row r="13" spans="1:9" x14ac:dyDescent="0.25">
      <c r="A13" s="16" t="s">
        <v>129</v>
      </c>
      <c r="B13" s="98"/>
      <c r="D13" s="16" t="s">
        <v>146</v>
      </c>
      <c r="E13" s="101">
        <v>165</v>
      </c>
    </row>
    <row r="14" spans="1:9" ht="15.75" thickBot="1" x14ac:dyDescent="0.3">
      <c r="A14" s="18" t="s">
        <v>130</v>
      </c>
      <c r="B14" s="99"/>
      <c r="D14" s="16" t="s">
        <v>141</v>
      </c>
      <c r="E14" s="101"/>
    </row>
    <row r="15" spans="1:9" x14ac:dyDescent="0.25">
      <c r="D15" s="16" t="s">
        <v>143</v>
      </c>
      <c r="E15" s="101"/>
    </row>
    <row r="16" spans="1:9" ht="15.75" thickBot="1" x14ac:dyDescent="0.3">
      <c r="D16" s="18" t="s">
        <v>155</v>
      </c>
      <c r="E16" s="102">
        <v>3</v>
      </c>
    </row>
    <row r="17" spans="1:12" ht="15.75" thickBot="1" x14ac:dyDescent="0.3"/>
    <row r="18" spans="1:12" x14ac:dyDescent="0.25">
      <c r="A18" s="15" t="s">
        <v>175</v>
      </c>
      <c r="B18" s="103"/>
      <c r="C18" s="93"/>
      <c r="D18" s="94"/>
    </row>
    <row r="19" spans="1:12" x14ac:dyDescent="0.25">
      <c r="A19" s="16" t="s">
        <v>132</v>
      </c>
      <c r="B19" s="104"/>
      <c r="C19" s="62"/>
      <c r="D19" s="95"/>
    </row>
    <row r="20" spans="1:12" ht="15.75" thickBot="1" x14ac:dyDescent="0.3">
      <c r="A20" s="18" t="s">
        <v>131</v>
      </c>
      <c r="B20" s="96"/>
      <c r="C20" s="96"/>
      <c r="D20" s="39">
        <f>D23+D24</f>
        <v>186.5</v>
      </c>
    </row>
    <row r="21" spans="1:12" ht="15.75" thickBot="1" x14ac:dyDescent="0.3"/>
    <row r="22" spans="1:12" ht="45.75" thickBot="1" x14ac:dyDescent="0.3">
      <c r="A22" s="40" t="s">
        <v>119</v>
      </c>
      <c r="B22" s="42" t="s">
        <v>147</v>
      </c>
      <c r="C22" s="42" t="s">
        <v>148</v>
      </c>
      <c r="D22" s="42" t="s">
        <v>149</v>
      </c>
      <c r="E22" s="222" t="s">
        <v>13</v>
      </c>
      <c r="F22" s="223"/>
      <c r="H22" s="10" t="s">
        <v>150</v>
      </c>
      <c r="I22" s="10" t="s">
        <v>151</v>
      </c>
      <c r="J22" s="10" t="s">
        <v>115</v>
      </c>
      <c r="K22" s="159" t="s">
        <v>116</v>
      </c>
      <c r="L22" s="10" t="s">
        <v>117</v>
      </c>
    </row>
    <row r="23" spans="1:12" x14ac:dyDescent="0.25">
      <c r="A23" s="105">
        <v>1</v>
      </c>
      <c r="B23" s="106"/>
      <c r="C23" s="106"/>
      <c r="D23" s="106">
        <v>77.5</v>
      </c>
      <c r="E23" s="224"/>
      <c r="F23" s="224"/>
      <c r="H23" s="160">
        <v>0</v>
      </c>
      <c r="I23" s="109">
        <v>10</v>
      </c>
      <c r="J23" s="161"/>
      <c r="K23" s="162"/>
      <c r="L23" s="161"/>
    </row>
    <row r="24" spans="1:12" x14ac:dyDescent="0.25">
      <c r="A24" s="107">
        <v>2</v>
      </c>
      <c r="B24" s="108"/>
      <c r="C24" s="108"/>
      <c r="D24" s="108">
        <v>109</v>
      </c>
      <c r="E24" s="221"/>
      <c r="F24" s="221"/>
      <c r="H24" s="160">
        <v>10</v>
      </c>
      <c r="I24" s="109" t="s">
        <v>412</v>
      </c>
      <c r="J24" s="161"/>
      <c r="K24" s="162"/>
      <c r="L24" s="161"/>
    </row>
    <row r="25" spans="1:12" x14ac:dyDescent="0.25">
      <c r="A25" s="107"/>
      <c r="B25" s="108"/>
      <c r="C25" s="108"/>
      <c r="D25" s="108"/>
      <c r="E25" s="221"/>
      <c r="F25" s="221"/>
      <c r="H25" s="160">
        <v>20</v>
      </c>
      <c r="I25" s="109" t="s">
        <v>413</v>
      </c>
      <c r="J25" s="161"/>
      <c r="K25" s="162"/>
      <c r="L25" s="161"/>
    </row>
    <row r="26" spans="1:12" x14ac:dyDescent="0.25">
      <c r="A26" s="107"/>
      <c r="B26" s="108"/>
      <c r="C26" s="108"/>
      <c r="D26" s="108"/>
      <c r="E26" s="221"/>
      <c r="F26" s="221"/>
      <c r="H26" s="160">
        <v>30</v>
      </c>
      <c r="I26" s="109" t="s">
        <v>414</v>
      </c>
      <c r="J26" s="161"/>
      <c r="K26" s="162"/>
      <c r="L26" s="161"/>
    </row>
    <row r="27" spans="1:12" x14ac:dyDescent="0.25">
      <c r="A27" s="107"/>
      <c r="B27" s="108"/>
      <c r="C27" s="108"/>
      <c r="D27" s="108"/>
      <c r="E27" s="221"/>
      <c r="F27" s="221"/>
      <c r="H27" s="160">
        <v>40</v>
      </c>
      <c r="I27" s="109" t="s">
        <v>415</v>
      </c>
      <c r="J27" s="161"/>
      <c r="K27" s="162"/>
      <c r="L27" s="161"/>
    </row>
    <row r="28" spans="1:12" x14ac:dyDescent="0.25">
      <c r="A28" s="107"/>
      <c r="B28" s="108"/>
      <c r="C28" s="108"/>
      <c r="D28" s="108"/>
      <c r="E28" s="221"/>
      <c r="F28" s="221"/>
      <c r="H28" s="160">
        <v>50</v>
      </c>
      <c r="I28" s="109" t="s">
        <v>416</v>
      </c>
      <c r="J28" s="161"/>
      <c r="K28" s="162"/>
      <c r="L28" s="161"/>
    </row>
    <row r="29" spans="1:12" x14ac:dyDescent="0.25">
      <c r="A29" s="107"/>
      <c r="B29" s="108"/>
      <c r="C29" s="108"/>
      <c r="D29" s="108"/>
      <c r="E29" s="221"/>
      <c r="F29" s="221"/>
      <c r="H29" s="160">
        <v>60</v>
      </c>
      <c r="I29" s="109" t="s">
        <v>417</v>
      </c>
      <c r="J29" s="161"/>
      <c r="K29" s="162"/>
      <c r="L29" s="161"/>
    </row>
    <row r="30" spans="1:12" x14ac:dyDescent="0.25">
      <c r="A30" s="107"/>
      <c r="B30" s="108"/>
      <c r="C30" s="108"/>
      <c r="D30" s="108"/>
      <c r="E30" s="221"/>
      <c r="F30" s="221"/>
      <c r="H30" s="163" t="s">
        <v>418</v>
      </c>
      <c r="I30" s="109">
        <v>77</v>
      </c>
      <c r="J30" s="161"/>
      <c r="K30" s="162"/>
      <c r="L30" s="161"/>
    </row>
    <row r="31" spans="1:12" x14ac:dyDescent="0.25">
      <c r="A31" s="107"/>
      <c r="B31" s="108"/>
      <c r="C31" s="108"/>
      <c r="D31" s="108"/>
      <c r="E31" s="221"/>
      <c r="F31" s="221"/>
      <c r="H31" s="160">
        <v>77</v>
      </c>
      <c r="I31" s="109">
        <v>87</v>
      </c>
      <c r="J31" s="161"/>
      <c r="K31" s="162"/>
      <c r="L31" s="161"/>
    </row>
    <row r="32" spans="1:12" x14ac:dyDescent="0.25">
      <c r="A32" s="107"/>
      <c r="B32" s="108"/>
      <c r="C32" s="108"/>
      <c r="D32" s="108"/>
      <c r="E32" s="221"/>
      <c r="F32" s="221"/>
      <c r="H32" s="160">
        <v>87</v>
      </c>
      <c r="I32" s="109">
        <v>97</v>
      </c>
      <c r="J32" s="161"/>
      <c r="K32" s="162"/>
      <c r="L32" s="161"/>
    </row>
    <row r="33" spans="1:12" x14ac:dyDescent="0.25">
      <c r="A33" s="107"/>
      <c r="B33" s="108"/>
      <c r="C33" s="108"/>
      <c r="D33" s="108"/>
      <c r="E33" s="221"/>
      <c r="F33" s="221"/>
      <c r="H33" s="160">
        <v>97</v>
      </c>
      <c r="I33" s="109">
        <v>107</v>
      </c>
      <c r="J33" s="161"/>
      <c r="K33" s="162"/>
      <c r="L33" s="161"/>
    </row>
    <row r="34" spans="1:12" x14ac:dyDescent="0.25">
      <c r="A34" s="107"/>
      <c r="B34" s="108"/>
      <c r="C34" s="108"/>
      <c r="D34" s="108"/>
      <c r="E34" s="221"/>
      <c r="F34" s="221"/>
      <c r="H34" s="160">
        <v>107</v>
      </c>
      <c r="I34" s="109" t="s">
        <v>419</v>
      </c>
      <c r="J34" s="161"/>
      <c r="K34" s="162"/>
      <c r="L34" s="161"/>
    </row>
    <row r="35" spans="1:12" x14ac:dyDescent="0.25">
      <c r="A35" s="107"/>
      <c r="B35" s="108"/>
      <c r="C35" s="108"/>
      <c r="D35" s="108"/>
      <c r="E35" s="221"/>
      <c r="F35" s="221"/>
      <c r="H35" s="160">
        <v>117</v>
      </c>
      <c r="I35" s="109" t="s">
        <v>420</v>
      </c>
      <c r="J35" s="161"/>
      <c r="K35" s="162"/>
      <c r="L35" s="161"/>
    </row>
    <row r="36" spans="1:12" x14ac:dyDescent="0.25">
      <c r="A36" s="107"/>
      <c r="B36" s="108"/>
      <c r="C36" s="108"/>
      <c r="D36" s="108"/>
      <c r="E36" s="221"/>
      <c r="F36" s="221"/>
      <c r="H36" s="160">
        <v>127</v>
      </c>
      <c r="I36" s="109" t="s">
        <v>421</v>
      </c>
      <c r="J36" s="161"/>
      <c r="K36" s="162"/>
      <c r="L36" s="161"/>
    </row>
    <row r="37" spans="1:12" x14ac:dyDescent="0.25">
      <c r="A37" s="107"/>
      <c r="B37" s="108"/>
      <c r="C37" s="108"/>
      <c r="D37" s="108"/>
      <c r="E37" s="221"/>
      <c r="F37" s="221"/>
      <c r="H37" s="160">
        <v>137</v>
      </c>
      <c r="I37" s="109" t="s">
        <v>422</v>
      </c>
      <c r="J37" s="161"/>
      <c r="K37" s="162"/>
      <c r="L37" s="161"/>
    </row>
    <row r="38" spans="1:12" x14ac:dyDescent="0.25">
      <c r="A38" s="107"/>
      <c r="B38" s="108"/>
      <c r="C38" s="108"/>
      <c r="D38" s="108"/>
      <c r="E38" s="221"/>
      <c r="F38" s="221"/>
      <c r="H38" s="160">
        <v>147</v>
      </c>
      <c r="I38" s="109" t="s">
        <v>423</v>
      </c>
      <c r="J38" s="161"/>
      <c r="K38" s="162"/>
      <c r="L38" s="161"/>
    </row>
    <row r="39" spans="1:12" x14ac:dyDescent="0.25">
      <c r="A39" s="107"/>
      <c r="B39" s="108"/>
      <c r="C39" s="108"/>
      <c r="D39" s="108"/>
      <c r="E39" s="221"/>
      <c r="F39" s="221"/>
      <c r="H39" s="160">
        <v>157</v>
      </c>
      <c r="I39" s="109" t="s">
        <v>424</v>
      </c>
      <c r="J39" s="161"/>
      <c r="K39" s="162"/>
      <c r="L39" s="161"/>
    </row>
    <row r="40" spans="1:12" x14ac:dyDescent="0.25">
      <c r="A40" s="107"/>
      <c r="B40" s="108"/>
      <c r="C40" s="108"/>
      <c r="D40" s="108"/>
      <c r="E40" s="221"/>
      <c r="F40" s="221"/>
      <c r="H40" s="160">
        <v>167</v>
      </c>
      <c r="I40" s="109" t="s">
        <v>425</v>
      </c>
      <c r="J40" s="88"/>
      <c r="K40" s="162"/>
      <c r="L40" s="111"/>
    </row>
    <row r="41" spans="1:12" x14ac:dyDescent="0.25">
      <c r="A41" s="107"/>
      <c r="B41" s="108"/>
      <c r="C41" s="108"/>
      <c r="D41" s="108"/>
      <c r="E41" s="221"/>
      <c r="F41" s="221"/>
      <c r="H41" s="163" t="s">
        <v>427</v>
      </c>
      <c r="I41" s="109" t="s">
        <v>426</v>
      </c>
      <c r="J41" s="88"/>
      <c r="K41" s="162"/>
      <c r="L41" s="111"/>
    </row>
    <row r="42" spans="1:12" x14ac:dyDescent="0.25">
      <c r="A42" s="107"/>
      <c r="B42" s="108"/>
      <c r="C42" s="108"/>
      <c r="D42" s="108"/>
      <c r="E42" s="221"/>
      <c r="F42" s="221"/>
      <c r="H42" s="109"/>
      <c r="I42" s="109"/>
      <c r="J42" s="88"/>
      <c r="K42" s="162"/>
      <c r="L42" s="111"/>
    </row>
    <row r="43" spans="1:12" x14ac:dyDescent="0.25">
      <c r="A43" s="107"/>
      <c r="B43" s="108"/>
      <c r="C43" s="108"/>
      <c r="D43" s="108"/>
      <c r="E43" s="221"/>
      <c r="F43" s="221"/>
      <c r="H43" s="109"/>
      <c r="I43" s="109"/>
      <c r="J43" s="88"/>
      <c r="K43" s="162"/>
      <c r="L43" s="111"/>
    </row>
    <row r="44" spans="1:12" x14ac:dyDescent="0.25">
      <c r="A44" s="107"/>
      <c r="B44" s="108"/>
      <c r="C44" s="108"/>
      <c r="D44" s="108"/>
      <c r="E44" s="221"/>
      <c r="F44" s="221"/>
      <c r="H44" s="109"/>
      <c r="I44" s="109"/>
      <c r="J44" s="88"/>
      <c r="K44" s="162"/>
      <c r="L44" s="111"/>
    </row>
    <row r="45" spans="1:12" x14ac:dyDescent="0.25">
      <c r="A45" s="107"/>
      <c r="B45" s="108"/>
      <c r="C45" s="108"/>
      <c r="D45" s="108"/>
      <c r="E45" s="221"/>
      <c r="F45" s="221"/>
      <c r="H45" s="109"/>
      <c r="I45" s="109"/>
      <c r="J45" s="88"/>
      <c r="K45" s="162"/>
      <c r="L45" s="111"/>
    </row>
    <row r="46" spans="1:12" x14ac:dyDescent="0.25">
      <c r="A46" s="107"/>
      <c r="B46" s="108"/>
      <c r="C46" s="108"/>
      <c r="D46" s="108"/>
      <c r="E46" s="221"/>
      <c r="F46" s="221"/>
      <c r="H46" s="109"/>
      <c r="I46" s="109"/>
      <c r="J46" s="88"/>
      <c r="K46" s="162"/>
      <c r="L46" s="111"/>
    </row>
    <row r="47" spans="1:12" x14ac:dyDescent="0.25">
      <c r="A47" s="107"/>
      <c r="B47" s="108"/>
      <c r="C47" s="108"/>
      <c r="D47" s="108"/>
      <c r="E47" s="221"/>
      <c r="F47" s="221"/>
      <c r="H47" s="109"/>
      <c r="I47" s="109"/>
      <c r="J47" s="88"/>
      <c r="K47" s="162"/>
      <c r="L47" s="111"/>
    </row>
    <row r="48" spans="1:12" x14ac:dyDescent="0.25">
      <c r="H48" s="109"/>
      <c r="I48" s="109"/>
      <c r="J48" s="88"/>
      <c r="K48" s="162"/>
      <c r="L48" s="111"/>
    </row>
    <row r="49" spans="8:12" x14ac:dyDescent="0.25">
      <c r="H49" s="109"/>
      <c r="I49" s="109"/>
      <c r="J49" s="88"/>
      <c r="K49" s="162"/>
      <c r="L49" s="111"/>
    </row>
    <row r="50" spans="8:12" x14ac:dyDescent="0.25">
      <c r="H50" s="109"/>
      <c r="I50" s="109"/>
      <c r="J50" s="88"/>
      <c r="K50" s="162"/>
      <c r="L50" s="111"/>
    </row>
    <row r="51" spans="8:12" x14ac:dyDescent="0.25">
      <c r="H51" s="109"/>
      <c r="I51" s="109"/>
      <c r="J51" s="88"/>
      <c r="K51" s="162"/>
      <c r="L51" s="111"/>
    </row>
    <row r="52" spans="8:12" x14ac:dyDescent="0.25">
      <c r="H52" s="109"/>
      <c r="I52" s="109"/>
      <c r="J52" s="88"/>
      <c r="K52" s="162"/>
      <c r="L52" s="111"/>
    </row>
    <row r="53" spans="8:12" x14ac:dyDescent="0.25">
      <c r="H53" s="109"/>
      <c r="I53" s="109"/>
      <c r="J53" s="88"/>
      <c r="K53" s="162"/>
      <c r="L53" s="111"/>
    </row>
    <row r="54" spans="8:12" x14ac:dyDescent="0.25">
      <c r="H54" s="109"/>
      <c r="I54" s="109"/>
      <c r="J54" s="88"/>
      <c r="K54" s="162"/>
      <c r="L54" s="111"/>
    </row>
    <row r="55" spans="8:12" x14ac:dyDescent="0.25">
      <c r="H55" s="109"/>
      <c r="I55" s="109"/>
      <c r="J55" s="88"/>
      <c r="K55" s="162"/>
      <c r="L55" s="111"/>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34682932-A6D2-4EB8-AD37-4BBD42545BBC}">
      <formula1>Yes_No</formula1>
    </dataValidation>
  </dataValidations>
  <pageMargins left="0.7" right="0.7" top="0.75" bottom="0.75" header="0.3" footer="0.3"/>
  <pageSetup paperSize="9" scale="75" fitToHeight="0"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zoomScale="80" zoomScaleNormal="80" workbookViewId="0">
      <selection activeCell="F11" sqref="F11"/>
    </sheetView>
  </sheetViews>
  <sheetFormatPr defaultColWidth="9.140625" defaultRowHeight="15" x14ac:dyDescent="0.25"/>
  <cols>
    <col min="1" max="1" width="24.5703125" style="51" bestFit="1" customWidth="1"/>
    <col min="2" max="3" width="15.7109375" style="51" customWidth="1"/>
    <col min="4" max="5" width="13.7109375" style="51" bestFit="1" customWidth="1"/>
    <col min="6" max="7" width="15.7109375" style="51" customWidth="1"/>
    <col min="8" max="8" width="13.7109375" style="51" bestFit="1" customWidth="1"/>
    <col min="9" max="9" width="36.5703125" style="51" customWidth="1"/>
    <col min="10" max="10" width="9.140625" style="51"/>
    <col min="11" max="11" width="19.140625" style="51" bestFit="1" customWidth="1"/>
    <col min="12" max="12" width="15.7109375" style="51" customWidth="1"/>
    <col min="13" max="16" width="12.7109375" style="51" customWidth="1"/>
    <col min="17" max="17" width="9.140625" style="51"/>
    <col min="18" max="19" width="15.7109375" style="51" customWidth="1"/>
    <col min="20" max="20" width="39.28515625" style="51" customWidth="1"/>
    <col min="21" max="16384" width="9.140625" style="51"/>
  </cols>
  <sheetData>
    <row r="1" spans="1:19" ht="31.5" x14ac:dyDescent="0.5">
      <c r="A1" s="210" t="s">
        <v>21</v>
      </c>
      <c r="B1" s="210"/>
      <c r="C1" s="210"/>
      <c r="D1" s="210"/>
    </row>
    <row r="2" spans="1:19" x14ac:dyDescent="0.25">
      <c r="A2" s="4" t="s">
        <v>16</v>
      </c>
      <c r="B2" s="214" t="str">
        <f>CONCATENATE(ExpID,"-",StnNum,"-",StnDay)</f>
        <v>Polhavet2022-6-1</v>
      </c>
      <c r="C2" s="214"/>
      <c r="D2" s="113"/>
    </row>
    <row r="3" spans="1:19" x14ac:dyDescent="0.25">
      <c r="A3" s="4" t="s">
        <v>137</v>
      </c>
      <c r="B3" s="196" t="s">
        <v>233</v>
      </c>
      <c r="C3" s="196"/>
      <c r="D3" s="114"/>
    </row>
    <row r="4" spans="1:19" x14ac:dyDescent="0.25">
      <c r="A4" s="4" t="s">
        <v>4</v>
      </c>
      <c r="B4" s="195" t="s">
        <v>283</v>
      </c>
      <c r="C4" s="195"/>
      <c r="D4" s="114"/>
    </row>
    <row r="5" spans="1:19" x14ac:dyDescent="0.25">
      <c r="A5" s="5" t="s">
        <v>108</v>
      </c>
      <c r="B5" s="197">
        <v>0.3125</v>
      </c>
      <c r="C5" s="197"/>
      <c r="D5" s="114" t="s">
        <v>5</v>
      </c>
      <c r="E5" s="51" t="s">
        <v>284</v>
      </c>
    </row>
    <row r="6" spans="1:19" x14ac:dyDescent="0.25">
      <c r="A6" s="5" t="s">
        <v>122</v>
      </c>
      <c r="B6" s="198" t="s">
        <v>187</v>
      </c>
      <c r="C6" s="198"/>
      <c r="D6" s="114"/>
      <c r="E6" s="77"/>
    </row>
    <row r="7" spans="1:19" ht="117.75" customHeight="1" x14ac:dyDescent="0.25">
      <c r="A7" s="6" t="s">
        <v>15</v>
      </c>
      <c r="B7" s="211" t="s">
        <v>285</v>
      </c>
      <c r="C7" s="212"/>
      <c r="D7" s="213"/>
      <c r="F7" s="56" t="s">
        <v>411</v>
      </c>
      <c r="G7" s="56"/>
    </row>
    <row r="9" spans="1:19" x14ac:dyDescent="0.25">
      <c r="A9" s="53" t="s">
        <v>79</v>
      </c>
      <c r="K9" s="53" t="s">
        <v>85</v>
      </c>
    </row>
    <row r="10" spans="1:19" x14ac:dyDescent="0.25">
      <c r="A10" s="7" t="s">
        <v>75</v>
      </c>
      <c r="B10" s="117">
        <v>0.3</v>
      </c>
      <c r="K10" s="7" t="s">
        <v>173</v>
      </c>
      <c r="L10" s="118"/>
    </row>
    <row r="11" spans="1:19" x14ac:dyDescent="0.25">
      <c r="A11" s="7" t="s">
        <v>76</v>
      </c>
      <c r="B11" s="117">
        <v>-0.1</v>
      </c>
      <c r="K11" s="7" t="s">
        <v>160</v>
      </c>
      <c r="L11" s="119"/>
    </row>
    <row r="12" spans="1:19" x14ac:dyDescent="0.25">
      <c r="A12" s="7" t="s">
        <v>77</v>
      </c>
      <c r="B12" s="117">
        <v>-0.1</v>
      </c>
    </row>
    <row r="13" spans="1:19" x14ac:dyDescent="0.25">
      <c r="A13" s="7" t="s">
        <v>78</v>
      </c>
      <c r="B13" s="117">
        <v>-1.3</v>
      </c>
      <c r="C13" s="51" t="s">
        <v>287</v>
      </c>
      <c r="L13" s="51" t="s">
        <v>234</v>
      </c>
      <c r="M13" s="51">
        <v>222</v>
      </c>
    </row>
    <row r="15" spans="1:19" ht="15.75" x14ac:dyDescent="0.25">
      <c r="A15" s="53" t="s">
        <v>80</v>
      </c>
      <c r="B15" s="115" t="s">
        <v>174</v>
      </c>
      <c r="K15" s="53" t="s">
        <v>85</v>
      </c>
      <c r="R15" s="53" t="s">
        <v>136</v>
      </c>
    </row>
    <row r="16" spans="1:19" s="90" customFormat="1" ht="45" x14ac:dyDescent="0.25">
      <c r="A16" s="10" t="s">
        <v>81</v>
      </c>
      <c r="B16" s="10" t="s">
        <v>150</v>
      </c>
      <c r="C16" s="10" t="s">
        <v>151</v>
      </c>
      <c r="D16" s="10" t="s">
        <v>133</v>
      </c>
      <c r="E16" s="10" t="s">
        <v>134</v>
      </c>
      <c r="F16" s="10" t="s">
        <v>82</v>
      </c>
      <c r="G16" s="10" t="s">
        <v>83</v>
      </c>
      <c r="H16" s="10" t="s">
        <v>84</v>
      </c>
      <c r="I16" s="10" t="s">
        <v>13</v>
      </c>
      <c r="K16" s="23" t="s">
        <v>176</v>
      </c>
      <c r="L16" s="23" t="s">
        <v>177</v>
      </c>
      <c r="M16" s="23" t="s">
        <v>183</v>
      </c>
      <c r="N16" s="23" t="s">
        <v>181</v>
      </c>
      <c r="O16" s="23" t="s">
        <v>184</v>
      </c>
      <c r="P16" s="23" t="s">
        <v>135</v>
      </c>
      <c r="Q16" s="116"/>
      <c r="R16" s="23" t="s">
        <v>178</v>
      </c>
      <c r="S16" s="23" t="s">
        <v>179</v>
      </c>
    </row>
    <row r="17" spans="1:20" x14ac:dyDescent="0.25">
      <c r="A17" s="107">
        <v>1</v>
      </c>
      <c r="B17" s="48">
        <v>7</v>
      </c>
      <c r="C17" s="48">
        <v>0</v>
      </c>
      <c r="D17" s="47" t="s">
        <v>104</v>
      </c>
      <c r="E17" s="47"/>
      <c r="F17" s="149">
        <v>5</v>
      </c>
      <c r="G17" s="149">
        <v>10</v>
      </c>
      <c r="H17" s="47" t="s">
        <v>93</v>
      </c>
      <c r="I17" s="47" t="s">
        <v>286</v>
      </c>
      <c r="K17" s="48">
        <v>4</v>
      </c>
      <c r="L17" s="48">
        <v>1</v>
      </c>
      <c r="M17" s="150">
        <v>246</v>
      </c>
      <c r="N17" s="47"/>
      <c r="O17" s="44">
        <f>(M17-222)/100</f>
        <v>0.24</v>
      </c>
      <c r="P17" s="47"/>
      <c r="R17" s="48">
        <v>0</v>
      </c>
      <c r="S17" s="111">
        <v>-0.1</v>
      </c>
      <c r="T17" s="90"/>
    </row>
    <row r="18" spans="1:20" ht="15.6" customHeight="1" x14ac:dyDescent="0.25">
      <c r="A18" s="107">
        <v>2</v>
      </c>
      <c r="B18" s="48">
        <v>9</v>
      </c>
      <c r="C18" s="48">
        <v>7</v>
      </c>
      <c r="D18" s="47" t="s">
        <v>104</v>
      </c>
      <c r="E18" s="47"/>
      <c r="F18" s="149">
        <v>1</v>
      </c>
      <c r="G18" s="149">
        <v>10</v>
      </c>
      <c r="H18" s="47" t="s">
        <v>90</v>
      </c>
      <c r="I18" s="47"/>
      <c r="K18" s="48">
        <v>9</v>
      </c>
      <c r="L18" s="48">
        <v>6</v>
      </c>
      <c r="M18" s="150">
        <v>239</v>
      </c>
      <c r="N18" s="47"/>
      <c r="O18" s="44">
        <f>(M18-222)/100</f>
        <v>0.17</v>
      </c>
      <c r="P18" s="47"/>
      <c r="R18" s="48">
        <v>3</v>
      </c>
      <c r="S18" s="111">
        <v>-0.1</v>
      </c>
      <c r="T18" s="90"/>
    </row>
    <row r="19" spans="1:20" x14ac:dyDescent="0.25">
      <c r="A19" s="107"/>
      <c r="B19" s="48"/>
      <c r="C19" s="48"/>
      <c r="D19" s="47"/>
      <c r="E19" s="47"/>
      <c r="F19" s="149"/>
      <c r="G19" s="149"/>
      <c r="H19" s="47"/>
      <c r="I19" s="47"/>
      <c r="K19" s="48"/>
      <c r="L19" s="48"/>
      <c r="M19" s="150"/>
      <c r="N19" s="47"/>
      <c r="O19" s="44"/>
      <c r="P19" s="47"/>
      <c r="R19" s="48">
        <v>6</v>
      </c>
      <c r="S19" s="111">
        <v>-0.1</v>
      </c>
      <c r="T19" s="90"/>
    </row>
    <row r="20" spans="1:20" x14ac:dyDescent="0.25">
      <c r="A20" s="107"/>
      <c r="B20" s="48"/>
      <c r="C20" s="48"/>
      <c r="D20" s="47"/>
      <c r="E20" s="47"/>
      <c r="F20" s="149"/>
      <c r="G20" s="149"/>
      <c r="H20" s="47"/>
      <c r="I20" s="47"/>
      <c r="K20" s="48"/>
      <c r="L20" s="48"/>
      <c r="M20" s="150"/>
      <c r="N20" s="47"/>
      <c r="O20" s="44">
        <f t="shared" ref="O20:O56" si="0">IF($L$10&gt;0,((M20-$L$11)/$L$10)*1000,0)</f>
        <v>0</v>
      </c>
      <c r="P20" s="47"/>
      <c r="R20" s="48">
        <v>9</v>
      </c>
      <c r="S20" s="111">
        <v>-0.1</v>
      </c>
      <c r="T20" s="90"/>
    </row>
    <row r="21" spans="1:20" x14ac:dyDescent="0.25">
      <c r="A21" s="107"/>
      <c r="B21" s="48"/>
      <c r="C21" s="48"/>
      <c r="D21" s="47"/>
      <c r="E21" s="47"/>
      <c r="F21" s="149"/>
      <c r="G21" s="149"/>
      <c r="H21" s="47"/>
      <c r="I21" s="47"/>
      <c r="K21" s="48"/>
      <c r="L21" s="48"/>
      <c r="M21" s="150"/>
      <c r="N21" s="47"/>
      <c r="O21" s="44">
        <f t="shared" si="0"/>
        <v>0</v>
      </c>
      <c r="P21" s="47"/>
      <c r="R21" s="48"/>
      <c r="S21" s="111"/>
      <c r="T21" s="90"/>
    </row>
    <row r="22" spans="1:20" x14ac:dyDescent="0.25">
      <c r="A22" s="107"/>
      <c r="B22" s="48"/>
      <c r="C22" s="48"/>
      <c r="D22" s="47"/>
      <c r="E22" s="47"/>
      <c r="F22" s="149"/>
      <c r="G22" s="149"/>
      <c r="H22" s="47"/>
      <c r="I22" s="47"/>
      <c r="K22" s="48"/>
      <c r="L22" s="48"/>
      <c r="M22" s="150"/>
      <c r="N22" s="47"/>
      <c r="O22" s="44">
        <f t="shared" si="0"/>
        <v>0</v>
      </c>
      <c r="P22" s="47"/>
      <c r="R22" s="48"/>
      <c r="S22" s="111"/>
      <c r="T22" s="90"/>
    </row>
    <row r="23" spans="1:20" x14ac:dyDescent="0.25">
      <c r="A23" s="107"/>
      <c r="B23" s="48"/>
      <c r="C23" s="48"/>
      <c r="D23" s="47"/>
      <c r="E23" s="47"/>
      <c r="F23" s="149"/>
      <c r="G23" s="149"/>
      <c r="H23" s="47"/>
      <c r="I23" s="47"/>
      <c r="K23" s="48"/>
      <c r="L23" s="48"/>
      <c r="M23" s="150"/>
      <c r="N23" s="47"/>
      <c r="O23" s="44">
        <f t="shared" si="0"/>
        <v>0</v>
      </c>
      <c r="P23" s="47"/>
      <c r="R23" s="48"/>
      <c r="S23" s="111"/>
      <c r="T23" s="90"/>
    </row>
    <row r="24" spans="1:20" x14ac:dyDescent="0.25">
      <c r="A24" s="107"/>
      <c r="B24" s="48"/>
      <c r="C24" s="48"/>
      <c r="D24" s="47"/>
      <c r="E24" s="47"/>
      <c r="F24" s="149"/>
      <c r="G24" s="149"/>
      <c r="H24" s="47"/>
      <c r="I24" s="47"/>
      <c r="K24" s="48"/>
      <c r="L24" s="48"/>
      <c r="M24" s="150"/>
      <c r="N24" s="47"/>
      <c r="O24" s="44">
        <f t="shared" si="0"/>
        <v>0</v>
      </c>
      <c r="P24" s="47"/>
      <c r="R24" s="48"/>
      <c r="S24" s="111"/>
      <c r="T24" s="90"/>
    </row>
    <row r="25" spans="1:20" x14ac:dyDescent="0.25">
      <c r="A25" s="107"/>
      <c r="B25" s="48"/>
      <c r="C25" s="48"/>
      <c r="D25" s="47"/>
      <c r="E25" s="47"/>
      <c r="F25" s="149"/>
      <c r="G25" s="149"/>
      <c r="H25" s="47"/>
      <c r="I25" s="47"/>
      <c r="K25" s="48"/>
      <c r="L25" s="48"/>
      <c r="M25" s="150"/>
      <c r="N25" s="47"/>
      <c r="O25" s="44">
        <f t="shared" si="0"/>
        <v>0</v>
      </c>
      <c r="P25" s="47"/>
      <c r="R25" s="48"/>
      <c r="S25" s="111"/>
      <c r="T25" s="90"/>
    </row>
    <row r="26" spans="1:20" x14ac:dyDescent="0.25">
      <c r="A26" s="107"/>
      <c r="B26" s="48"/>
      <c r="C26" s="48"/>
      <c r="D26" s="47"/>
      <c r="E26" s="47"/>
      <c r="F26" s="149"/>
      <c r="G26" s="149"/>
      <c r="H26" s="47"/>
      <c r="I26" s="47"/>
      <c r="K26" s="48"/>
      <c r="L26" s="48"/>
      <c r="M26" s="150"/>
      <c r="N26" s="47"/>
      <c r="O26" s="44">
        <f t="shared" si="0"/>
        <v>0</v>
      </c>
      <c r="P26" s="47"/>
      <c r="R26" s="48"/>
      <c r="S26" s="111"/>
      <c r="T26" s="90"/>
    </row>
    <row r="27" spans="1:20" x14ac:dyDescent="0.25">
      <c r="A27" s="107"/>
      <c r="B27" s="48"/>
      <c r="C27" s="48"/>
      <c r="D27" s="47"/>
      <c r="E27" s="47"/>
      <c r="F27" s="149"/>
      <c r="G27" s="149"/>
      <c r="H27" s="47"/>
      <c r="I27" s="47"/>
      <c r="K27" s="48"/>
      <c r="L27" s="48"/>
      <c r="M27" s="150"/>
      <c r="N27" s="47"/>
      <c r="O27" s="44">
        <f t="shared" si="0"/>
        <v>0</v>
      </c>
      <c r="P27" s="47"/>
      <c r="R27" s="48"/>
      <c r="S27" s="111"/>
      <c r="T27" s="90"/>
    </row>
    <row r="28" spans="1:20" x14ac:dyDescent="0.25">
      <c r="A28" s="107"/>
      <c r="B28" s="48"/>
      <c r="C28" s="48"/>
      <c r="D28" s="47"/>
      <c r="E28" s="47"/>
      <c r="F28" s="149"/>
      <c r="G28" s="149"/>
      <c r="H28" s="47"/>
      <c r="I28" s="47"/>
      <c r="K28" s="48"/>
      <c r="L28" s="48"/>
      <c r="M28" s="150"/>
      <c r="N28" s="47"/>
      <c r="O28" s="44">
        <f t="shared" si="0"/>
        <v>0</v>
      </c>
      <c r="P28" s="47"/>
      <c r="R28" s="48"/>
      <c r="S28" s="111"/>
      <c r="T28" s="90"/>
    </row>
    <row r="29" spans="1:20" x14ac:dyDescent="0.25">
      <c r="A29" s="107"/>
      <c r="B29" s="48"/>
      <c r="C29" s="48"/>
      <c r="D29" s="47"/>
      <c r="E29" s="47"/>
      <c r="F29" s="149"/>
      <c r="G29" s="149"/>
      <c r="H29" s="47"/>
      <c r="I29" s="47"/>
      <c r="K29" s="48"/>
      <c r="L29" s="48"/>
      <c r="M29" s="150"/>
      <c r="N29" s="47"/>
      <c r="O29" s="44">
        <f t="shared" si="0"/>
        <v>0</v>
      </c>
      <c r="P29" s="47"/>
      <c r="R29" s="48"/>
      <c r="S29" s="111"/>
      <c r="T29" s="90"/>
    </row>
    <row r="30" spans="1:20" x14ac:dyDescent="0.25">
      <c r="A30" s="107"/>
      <c r="B30" s="48"/>
      <c r="C30" s="48"/>
      <c r="D30" s="47"/>
      <c r="E30" s="47"/>
      <c r="F30" s="149"/>
      <c r="G30" s="149"/>
      <c r="H30" s="47"/>
      <c r="I30" s="47"/>
      <c r="K30" s="48"/>
      <c r="L30" s="48"/>
      <c r="M30" s="150"/>
      <c r="N30" s="47"/>
      <c r="O30" s="44">
        <f t="shared" si="0"/>
        <v>0</v>
      </c>
      <c r="P30" s="47"/>
      <c r="R30" s="48"/>
      <c r="S30" s="111"/>
      <c r="T30" s="90"/>
    </row>
    <row r="31" spans="1:20" x14ac:dyDescent="0.25">
      <c r="A31" s="107"/>
      <c r="B31" s="48"/>
      <c r="C31" s="48"/>
      <c r="D31" s="47"/>
      <c r="E31" s="47"/>
      <c r="F31" s="149"/>
      <c r="G31" s="149"/>
      <c r="H31" s="47"/>
      <c r="I31" s="47"/>
      <c r="K31" s="48"/>
      <c r="L31" s="48"/>
      <c r="M31" s="150"/>
      <c r="N31" s="47"/>
      <c r="O31" s="44">
        <f t="shared" si="0"/>
        <v>0</v>
      </c>
      <c r="P31" s="47"/>
      <c r="R31" s="48"/>
      <c r="S31" s="111"/>
      <c r="T31" s="90"/>
    </row>
    <row r="32" spans="1:20" x14ac:dyDescent="0.25">
      <c r="A32" s="107"/>
      <c r="B32" s="48"/>
      <c r="C32" s="48"/>
      <c r="D32" s="47"/>
      <c r="E32" s="47"/>
      <c r="F32" s="149"/>
      <c r="G32" s="149"/>
      <c r="H32" s="47"/>
      <c r="I32" s="47"/>
      <c r="K32" s="48"/>
      <c r="L32" s="48"/>
      <c r="M32" s="150"/>
      <c r="N32" s="47"/>
      <c r="O32" s="44">
        <f t="shared" si="0"/>
        <v>0</v>
      </c>
      <c r="P32" s="47"/>
      <c r="R32" s="48"/>
      <c r="S32" s="111"/>
      <c r="T32" s="90"/>
    </row>
    <row r="33" spans="1:20" x14ac:dyDescent="0.25">
      <c r="A33" s="107"/>
      <c r="B33" s="48"/>
      <c r="C33" s="48"/>
      <c r="D33" s="47"/>
      <c r="E33" s="47"/>
      <c r="F33" s="149"/>
      <c r="G33" s="149"/>
      <c r="H33" s="47"/>
      <c r="I33" s="47"/>
      <c r="K33" s="48"/>
      <c r="L33" s="48"/>
      <c r="M33" s="150"/>
      <c r="N33" s="47"/>
      <c r="O33" s="44">
        <f t="shared" si="0"/>
        <v>0</v>
      </c>
      <c r="P33" s="47"/>
      <c r="R33" s="48"/>
      <c r="S33" s="111"/>
      <c r="T33" s="90"/>
    </row>
    <row r="34" spans="1:20" x14ac:dyDescent="0.25">
      <c r="A34" s="107"/>
      <c r="B34" s="48"/>
      <c r="C34" s="48"/>
      <c r="D34" s="47"/>
      <c r="E34" s="47"/>
      <c r="F34" s="149"/>
      <c r="G34" s="149"/>
      <c r="H34" s="47"/>
      <c r="I34" s="47"/>
      <c r="K34" s="48"/>
      <c r="L34" s="48"/>
      <c r="M34" s="150"/>
      <c r="N34" s="47"/>
      <c r="O34" s="44">
        <f t="shared" si="0"/>
        <v>0</v>
      </c>
      <c r="P34" s="47"/>
      <c r="R34" s="48"/>
      <c r="S34" s="111"/>
      <c r="T34" s="90"/>
    </row>
    <row r="35" spans="1:20" x14ac:dyDescent="0.25">
      <c r="A35" s="107"/>
      <c r="B35" s="48"/>
      <c r="C35" s="48"/>
      <c r="D35" s="47"/>
      <c r="E35" s="47"/>
      <c r="F35" s="149"/>
      <c r="G35" s="149"/>
      <c r="H35" s="47"/>
      <c r="I35" s="47"/>
      <c r="K35" s="48"/>
      <c r="L35" s="48"/>
      <c r="M35" s="150"/>
      <c r="N35" s="47"/>
      <c r="O35" s="44">
        <f t="shared" si="0"/>
        <v>0</v>
      </c>
      <c r="P35" s="47"/>
      <c r="R35" s="48"/>
      <c r="S35" s="111"/>
      <c r="T35" s="90"/>
    </row>
    <row r="36" spans="1:20" x14ac:dyDescent="0.25">
      <c r="A36" s="107"/>
      <c r="B36" s="48"/>
      <c r="C36" s="48"/>
      <c r="D36" s="47"/>
      <c r="E36" s="47"/>
      <c r="F36" s="149"/>
      <c r="G36" s="149"/>
      <c r="H36" s="47"/>
      <c r="I36" s="47"/>
      <c r="K36" s="48"/>
      <c r="L36" s="48"/>
      <c r="M36" s="150"/>
      <c r="N36" s="47"/>
      <c r="O36" s="44">
        <f t="shared" si="0"/>
        <v>0</v>
      </c>
      <c r="P36" s="47"/>
      <c r="R36" s="48"/>
      <c r="S36" s="111"/>
      <c r="T36" s="90"/>
    </row>
    <row r="37" spans="1:20" x14ac:dyDescent="0.25">
      <c r="A37" s="107"/>
      <c r="B37" s="48"/>
      <c r="C37" s="48"/>
      <c r="D37" s="47"/>
      <c r="E37" s="47"/>
      <c r="F37" s="149"/>
      <c r="G37" s="149"/>
      <c r="H37" s="47"/>
      <c r="I37" s="47"/>
      <c r="K37" s="48"/>
      <c r="L37" s="48"/>
      <c r="M37" s="150"/>
      <c r="N37" s="47"/>
      <c r="O37" s="44">
        <f t="shared" si="0"/>
        <v>0</v>
      </c>
      <c r="P37" s="47"/>
      <c r="R37" s="48"/>
      <c r="S37" s="111"/>
      <c r="T37" s="90"/>
    </row>
    <row r="38" spans="1:20" x14ac:dyDescent="0.25">
      <c r="A38" s="107"/>
      <c r="B38" s="48"/>
      <c r="C38" s="48"/>
      <c r="D38" s="47"/>
      <c r="E38" s="47"/>
      <c r="F38" s="149"/>
      <c r="G38" s="149"/>
      <c r="H38" s="47"/>
      <c r="I38" s="47"/>
      <c r="K38" s="48"/>
      <c r="L38" s="48"/>
      <c r="M38" s="150"/>
      <c r="N38" s="47"/>
      <c r="O38" s="44">
        <f t="shared" si="0"/>
        <v>0</v>
      </c>
      <c r="P38" s="47"/>
      <c r="R38" s="48"/>
      <c r="S38" s="111"/>
      <c r="T38" s="90"/>
    </row>
    <row r="39" spans="1:20" x14ac:dyDescent="0.25">
      <c r="A39" s="107"/>
      <c r="B39" s="48"/>
      <c r="C39" s="48"/>
      <c r="D39" s="47"/>
      <c r="E39" s="47"/>
      <c r="F39" s="149"/>
      <c r="G39" s="149"/>
      <c r="H39" s="47"/>
      <c r="I39" s="47"/>
      <c r="K39" s="48"/>
      <c r="L39" s="48"/>
      <c r="M39" s="150"/>
      <c r="N39" s="47"/>
      <c r="O39" s="44">
        <f t="shared" si="0"/>
        <v>0</v>
      </c>
      <c r="P39" s="47"/>
      <c r="R39" s="48"/>
      <c r="S39" s="111"/>
    </row>
    <row r="40" spans="1:20" x14ac:dyDescent="0.25">
      <c r="A40" s="107"/>
      <c r="B40" s="48"/>
      <c r="C40" s="48"/>
      <c r="D40" s="47"/>
      <c r="E40" s="47"/>
      <c r="F40" s="149"/>
      <c r="G40" s="149"/>
      <c r="H40" s="47"/>
      <c r="I40" s="47"/>
      <c r="K40" s="48"/>
      <c r="L40" s="48"/>
      <c r="M40" s="150"/>
      <c r="N40" s="47"/>
      <c r="O40" s="44">
        <f t="shared" si="0"/>
        <v>0</v>
      </c>
      <c r="P40" s="47"/>
      <c r="R40" s="48"/>
      <c r="S40" s="111"/>
    </row>
    <row r="41" spans="1:20" x14ac:dyDescent="0.25">
      <c r="A41" s="107"/>
      <c r="B41" s="48"/>
      <c r="C41" s="48"/>
      <c r="D41" s="47"/>
      <c r="E41" s="47"/>
      <c r="F41" s="149"/>
      <c r="G41" s="149"/>
      <c r="H41" s="47"/>
      <c r="I41" s="47"/>
      <c r="K41" s="48"/>
      <c r="L41" s="48"/>
      <c r="M41" s="150"/>
      <c r="N41" s="47"/>
      <c r="O41" s="44">
        <f t="shared" si="0"/>
        <v>0</v>
      </c>
      <c r="P41" s="47"/>
      <c r="R41" s="48"/>
      <c r="S41" s="111"/>
    </row>
    <row r="42" spans="1:20" x14ac:dyDescent="0.25">
      <c r="A42" s="107"/>
      <c r="B42" s="48"/>
      <c r="C42" s="48"/>
      <c r="D42" s="47"/>
      <c r="E42" s="47"/>
      <c r="F42" s="149"/>
      <c r="G42" s="149"/>
      <c r="H42" s="47"/>
      <c r="I42" s="47"/>
      <c r="K42" s="48"/>
      <c r="L42" s="48"/>
      <c r="M42" s="150"/>
      <c r="N42" s="47"/>
      <c r="O42" s="44">
        <f t="shared" si="0"/>
        <v>0</v>
      </c>
      <c r="P42" s="47"/>
      <c r="R42" s="48"/>
      <c r="S42" s="111"/>
    </row>
    <row r="43" spans="1:20" x14ac:dyDescent="0.25">
      <c r="A43" s="107"/>
      <c r="B43" s="48"/>
      <c r="C43" s="48"/>
      <c r="D43" s="47"/>
      <c r="E43" s="47"/>
      <c r="F43" s="149"/>
      <c r="G43" s="149"/>
      <c r="H43" s="47"/>
      <c r="I43" s="47"/>
      <c r="K43" s="48"/>
      <c r="L43" s="48"/>
      <c r="M43" s="150"/>
      <c r="N43" s="47"/>
      <c r="O43" s="44">
        <f t="shared" si="0"/>
        <v>0</v>
      </c>
      <c r="P43" s="47"/>
      <c r="R43" s="48"/>
      <c r="S43" s="111"/>
    </row>
    <row r="44" spans="1:20" x14ac:dyDescent="0.25">
      <c r="A44" s="107"/>
      <c r="B44" s="48"/>
      <c r="C44" s="48"/>
      <c r="D44" s="47"/>
      <c r="E44" s="47"/>
      <c r="F44" s="149"/>
      <c r="G44" s="149"/>
      <c r="H44" s="47"/>
      <c r="I44" s="47"/>
      <c r="K44" s="48"/>
      <c r="L44" s="48"/>
      <c r="M44" s="150"/>
      <c r="N44" s="47"/>
      <c r="O44" s="44">
        <f t="shared" si="0"/>
        <v>0</v>
      </c>
      <c r="P44" s="47"/>
      <c r="R44" s="48"/>
      <c r="S44" s="111"/>
    </row>
    <row r="45" spans="1:20" x14ac:dyDescent="0.25">
      <c r="A45" s="107"/>
      <c r="B45" s="48"/>
      <c r="C45" s="48"/>
      <c r="D45" s="47"/>
      <c r="E45" s="47"/>
      <c r="F45" s="149"/>
      <c r="G45" s="149"/>
      <c r="H45" s="47"/>
      <c r="I45" s="47"/>
      <c r="K45" s="48"/>
      <c r="L45" s="48"/>
      <c r="M45" s="150"/>
      <c r="N45" s="47"/>
      <c r="O45" s="44">
        <f t="shared" si="0"/>
        <v>0</v>
      </c>
      <c r="P45" s="47"/>
      <c r="R45" s="48"/>
      <c r="S45" s="111"/>
    </row>
    <row r="46" spans="1:20" x14ac:dyDescent="0.25">
      <c r="A46" s="107"/>
      <c r="B46" s="48"/>
      <c r="C46" s="48"/>
      <c r="D46" s="47"/>
      <c r="E46" s="47"/>
      <c r="F46" s="149"/>
      <c r="G46" s="149"/>
      <c r="H46" s="47"/>
      <c r="I46" s="47"/>
      <c r="K46" s="48"/>
      <c r="L46" s="48"/>
      <c r="M46" s="150"/>
      <c r="N46" s="47"/>
      <c r="O46" s="44">
        <f t="shared" si="0"/>
        <v>0</v>
      </c>
      <c r="P46" s="47"/>
      <c r="R46" s="48"/>
      <c r="S46" s="111"/>
    </row>
    <row r="47" spans="1:20" x14ac:dyDescent="0.25">
      <c r="A47" s="107"/>
      <c r="B47" s="48"/>
      <c r="C47" s="48"/>
      <c r="D47" s="47"/>
      <c r="E47" s="47"/>
      <c r="F47" s="149"/>
      <c r="G47" s="149"/>
      <c r="H47" s="47"/>
      <c r="I47" s="47"/>
      <c r="K47" s="48"/>
      <c r="L47" s="48"/>
      <c r="M47" s="150"/>
      <c r="N47" s="47"/>
      <c r="O47" s="44">
        <f t="shared" si="0"/>
        <v>0</v>
      </c>
      <c r="P47" s="47"/>
      <c r="R47" s="48"/>
      <c r="S47" s="111"/>
    </row>
    <row r="48" spans="1:20" x14ac:dyDescent="0.25">
      <c r="A48" s="107"/>
      <c r="B48" s="48"/>
      <c r="C48" s="48"/>
      <c r="D48" s="47"/>
      <c r="E48" s="47"/>
      <c r="F48" s="149"/>
      <c r="G48" s="149"/>
      <c r="H48" s="47"/>
      <c r="I48" s="47"/>
      <c r="K48" s="48"/>
      <c r="L48" s="48"/>
      <c r="M48" s="150"/>
      <c r="N48" s="47"/>
      <c r="O48" s="44">
        <f t="shared" si="0"/>
        <v>0</v>
      </c>
      <c r="P48" s="47"/>
      <c r="R48" s="48"/>
      <c r="S48" s="111"/>
    </row>
    <row r="49" spans="1:19" x14ac:dyDescent="0.25">
      <c r="A49" s="107"/>
      <c r="B49" s="48"/>
      <c r="C49" s="48"/>
      <c r="D49" s="47"/>
      <c r="E49" s="47"/>
      <c r="F49" s="149"/>
      <c r="G49" s="149"/>
      <c r="H49" s="47"/>
      <c r="I49" s="47"/>
      <c r="K49" s="48"/>
      <c r="L49" s="48"/>
      <c r="M49" s="150"/>
      <c r="N49" s="47"/>
      <c r="O49" s="44">
        <f t="shared" si="0"/>
        <v>0</v>
      </c>
      <c r="P49" s="47"/>
      <c r="R49" s="48"/>
      <c r="S49" s="111"/>
    </row>
    <row r="50" spans="1:19" x14ac:dyDescent="0.25">
      <c r="A50" s="107"/>
      <c r="B50" s="48"/>
      <c r="C50" s="48"/>
      <c r="D50" s="47"/>
      <c r="E50" s="47"/>
      <c r="F50" s="149"/>
      <c r="G50" s="149"/>
      <c r="H50" s="47"/>
      <c r="I50" s="47"/>
      <c r="K50" s="48"/>
      <c r="L50" s="48"/>
      <c r="M50" s="150"/>
      <c r="N50" s="47"/>
      <c r="O50" s="44">
        <f t="shared" si="0"/>
        <v>0</v>
      </c>
      <c r="P50" s="47"/>
      <c r="R50" s="48"/>
      <c r="S50" s="111"/>
    </row>
    <row r="51" spans="1:19" x14ac:dyDescent="0.25">
      <c r="A51" s="107"/>
      <c r="B51" s="48"/>
      <c r="C51" s="48"/>
      <c r="D51" s="47"/>
      <c r="E51" s="47"/>
      <c r="F51" s="149"/>
      <c r="G51" s="149"/>
      <c r="H51" s="47"/>
      <c r="I51" s="47"/>
      <c r="K51" s="48"/>
      <c r="L51" s="48"/>
      <c r="M51" s="150"/>
      <c r="N51" s="47"/>
      <c r="O51" s="44">
        <f t="shared" si="0"/>
        <v>0</v>
      </c>
      <c r="P51" s="47"/>
      <c r="R51" s="48"/>
      <c r="S51" s="111"/>
    </row>
    <row r="52" spans="1:19" x14ac:dyDescent="0.25">
      <c r="A52" s="107"/>
      <c r="B52" s="48"/>
      <c r="C52" s="48"/>
      <c r="D52" s="47"/>
      <c r="E52" s="47"/>
      <c r="F52" s="149"/>
      <c r="G52" s="149"/>
      <c r="H52" s="47"/>
      <c r="I52" s="47"/>
      <c r="K52" s="48"/>
      <c r="L52" s="48"/>
      <c r="M52" s="150"/>
      <c r="N52" s="47"/>
      <c r="O52" s="44">
        <f t="shared" si="0"/>
        <v>0</v>
      </c>
      <c r="P52" s="47"/>
      <c r="R52" s="48"/>
      <c r="S52" s="111"/>
    </row>
    <row r="53" spans="1:19" x14ac:dyDescent="0.25">
      <c r="A53" s="107"/>
      <c r="B53" s="48"/>
      <c r="C53" s="48"/>
      <c r="D53" s="47"/>
      <c r="E53" s="47"/>
      <c r="F53" s="149"/>
      <c r="G53" s="149"/>
      <c r="H53" s="47"/>
      <c r="I53" s="47"/>
      <c r="K53" s="48"/>
      <c r="L53" s="48"/>
      <c r="M53" s="150"/>
      <c r="N53" s="47"/>
      <c r="O53" s="44">
        <f t="shared" si="0"/>
        <v>0</v>
      </c>
      <c r="P53" s="47"/>
      <c r="R53" s="48"/>
      <c r="S53" s="111"/>
    </row>
    <row r="54" spans="1:19" x14ac:dyDescent="0.25">
      <c r="A54" s="107"/>
      <c r="B54" s="48"/>
      <c r="C54" s="48"/>
      <c r="D54" s="47"/>
      <c r="E54" s="47"/>
      <c r="F54" s="149"/>
      <c r="G54" s="149"/>
      <c r="H54" s="47"/>
      <c r="I54" s="47"/>
      <c r="K54" s="48"/>
      <c r="L54" s="48"/>
      <c r="M54" s="150"/>
      <c r="N54" s="47"/>
      <c r="O54" s="44">
        <f t="shared" si="0"/>
        <v>0</v>
      </c>
      <c r="P54" s="47"/>
      <c r="R54" s="48"/>
      <c r="S54" s="111"/>
    </row>
    <row r="55" spans="1:19" x14ac:dyDescent="0.25">
      <c r="A55" s="107"/>
      <c r="B55" s="48"/>
      <c r="C55" s="48"/>
      <c r="D55" s="47"/>
      <c r="E55" s="47"/>
      <c r="F55" s="149"/>
      <c r="G55" s="149"/>
      <c r="H55" s="47"/>
      <c r="I55" s="47"/>
      <c r="K55" s="48"/>
      <c r="L55" s="48"/>
      <c r="M55" s="150"/>
      <c r="N55" s="47"/>
      <c r="O55" s="44">
        <f t="shared" si="0"/>
        <v>0</v>
      </c>
      <c r="P55" s="47"/>
      <c r="R55" s="48"/>
      <c r="S55" s="111"/>
    </row>
    <row r="56" spans="1:19" x14ac:dyDescent="0.25">
      <c r="A56" s="107"/>
      <c r="B56" s="48"/>
      <c r="C56" s="48"/>
      <c r="D56" s="47"/>
      <c r="E56" s="47"/>
      <c r="F56" s="149"/>
      <c r="G56" s="149"/>
      <c r="H56" s="47"/>
      <c r="I56" s="47"/>
      <c r="K56" s="48"/>
      <c r="L56" s="48"/>
      <c r="M56" s="150"/>
      <c r="N56" s="47"/>
      <c r="O56" s="44">
        <f t="shared" si="0"/>
        <v>0</v>
      </c>
      <c r="P56" s="47"/>
      <c r="R56" s="48"/>
      <c r="S56" s="111"/>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31DC2-0E58-4DC9-93FA-C101AA2B5ACB}">
  <sheetPr>
    <tabColor rgb="FF92D050"/>
  </sheetPr>
  <dimension ref="A1:F9"/>
  <sheetViews>
    <sheetView workbookViewId="0">
      <selection activeCell="A5" sqref="A5:F9"/>
    </sheetView>
  </sheetViews>
  <sheetFormatPr defaultColWidth="11.5703125" defaultRowHeight="15" x14ac:dyDescent="0.25"/>
  <cols>
    <col min="1" max="1" width="21.140625" customWidth="1"/>
    <col min="3" max="3" width="18.42578125" style="2" customWidth="1"/>
    <col min="4" max="4" width="22.85546875" customWidth="1"/>
    <col min="5" max="5" width="13.140625" customWidth="1"/>
  </cols>
  <sheetData>
    <row r="1" spans="1:6" x14ac:dyDescent="0.25">
      <c r="A1" t="s">
        <v>377</v>
      </c>
    </row>
    <row r="2" spans="1:6" x14ac:dyDescent="0.25">
      <c r="A2" t="s">
        <v>378</v>
      </c>
    </row>
    <row r="3" spans="1:6" x14ac:dyDescent="0.25">
      <c r="A3" t="s">
        <v>373</v>
      </c>
    </row>
    <row r="5" spans="1:6" x14ac:dyDescent="0.25">
      <c r="A5" s="157" t="s">
        <v>371</v>
      </c>
      <c r="B5" s="157" t="s">
        <v>115</v>
      </c>
      <c r="C5" s="158" t="s">
        <v>374</v>
      </c>
      <c r="D5" s="157" t="s">
        <v>390</v>
      </c>
      <c r="E5" s="157" t="s">
        <v>380</v>
      </c>
      <c r="F5" s="157" t="s">
        <v>381</v>
      </c>
    </row>
    <row r="6" spans="1:6" x14ac:dyDescent="0.25">
      <c r="A6">
        <v>1</v>
      </c>
      <c r="B6" s="156" t="s">
        <v>372</v>
      </c>
      <c r="C6" s="155" t="s">
        <v>376</v>
      </c>
      <c r="D6">
        <v>1027</v>
      </c>
      <c r="E6" t="s">
        <v>382</v>
      </c>
      <c r="F6" t="s">
        <v>383</v>
      </c>
    </row>
    <row r="7" spans="1:6" x14ac:dyDescent="0.25">
      <c r="A7">
        <v>2</v>
      </c>
      <c r="B7" s="156">
        <v>0</v>
      </c>
      <c r="C7" s="155" t="s">
        <v>376</v>
      </c>
      <c r="D7">
        <v>1028</v>
      </c>
      <c r="E7" t="s">
        <v>384</v>
      </c>
      <c r="F7" t="s">
        <v>385</v>
      </c>
    </row>
    <row r="8" spans="1:6" x14ac:dyDescent="0.25">
      <c r="A8">
        <v>3</v>
      </c>
      <c r="B8" s="156">
        <v>0</v>
      </c>
      <c r="C8" s="155" t="s">
        <v>376</v>
      </c>
      <c r="D8">
        <v>1029</v>
      </c>
      <c r="E8" t="s">
        <v>386</v>
      </c>
      <c r="F8" t="s">
        <v>387</v>
      </c>
    </row>
    <row r="9" spans="1:6" x14ac:dyDescent="0.25">
      <c r="A9">
        <v>4</v>
      </c>
      <c r="B9" s="156" t="s">
        <v>379</v>
      </c>
      <c r="C9" s="155" t="s">
        <v>375</v>
      </c>
      <c r="D9">
        <v>1030</v>
      </c>
      <c r="E9" t="s">
        <v>388</v>
      </c>
      <c r="F9" t="s">
        <v>389</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6AB6-2324-4A5A-AD40-3AB1114F1991}">
  <sheetPr>
    <tabColor rgb="FF92D050"/>
  </sheetPr>
  <dimension ref="A1:F11"/>
  <sheetViews>
    <sheetView workbookViewId="0">
      <selection activeCell="G16" sqref="G16"/>
    </sheetView>
  </sheetViews>
  <sheetFormatPr defaultColWidth="11.5703125" defaultRowHeight="15" x14ac:dyDescent="0.25"/>
  <cols>
    <col min="1" max="1" width="22" customWidth="1"/>
    <col min="3" max="3" width="18.7109375" customWidth="1"/>
    <col min="4" max="4" width="22.28515625" customWidth="1"/>
  </cols>
  <sheetData>
    <row r="1" spans="1:6" x14ac:dyDescent="0.25">
      <c r="A1" t="s">
        <v>377</v>
      </c>
    </row>
    <row r="2" spans="1:6" x14ac:dyDescent="0.25">
      <c r="A2" t="s">
        <v>403</v>
      </c>
    </row>
    <row r="3" spans="1:6" x14ac:dyDescent="0.25">
      <c r="A3" t="s">
        <v>402</v>
      </c>
    </row>
    <row r="4" spans="1:6" x14ac:dyDescent="0.25">
      <c r="A4" t="s">
        <v>410</v>
      </c>
    </row>
    <row r="6" spans="1:6" x14ac:dyDescent="0.25">
      <c r="A6" s="157" t="s">
        <v>404</v>
      </c>
      <c r="B6" s="157" t="s">
        <v>115</v>
      </c>
      <c r="C6" s="158" t="s">
        <v>374</v>
      </c>
      <c r="D6" s="157" t="s">
        <v>390</v>
      </c>
      <c r="E6" s="157" t="s">
        <v>380</v>
      </c>
      <c r="F6" s="157" t="s">
        <v>381</v>
      </c>
    </row>
    <row r="7" spans="1:6" x14ac:dyDescent="0.25">
      <c r="A7" t="s">
        <v>405</v>
      </c>
      <c r="B7" s="155" t="s">
        <v>393</v>
      </c>
      <c r="C7" s="155" t="s">
        <v>394</v>
      </c>
      <c r="D7">
        <v>1031</v>
      </c>
      <c r="E7" t="s">
        <v>391</v>
      </c>
      <c r="F7" t="s">
        <v>392</v>
      </c>
    </row>
    <row r="8" spans="1:6" x14ac:dyDescent="0.25">
      <c r="A8" t="s">
        <v>406</v>
      </c>
      <c r="B8" s="155" t="s">
        <v>395</v>
      </c>
      <c r="C8" s="155" t="s">
        <v>396</v>
      </c>
      <c r="D8">
        <v>1032</v>
      </c>
      <c r="E8" t="s">
        <v>391</v>
      </c>
      <c r="F8" t="s">
        <v>392</v>
      </c>
    </row>
    <row r="9" spans="1:6" x14ac:dyDescent="0.25">
      <c r="A9" t="s">
        <v>407</v>
      </c>
      <c r="B9" s="155" t="s">
        <v>393</v>
      </c>
      <c r="C9" s="155" t="s">
        <v>397</v>
      </c>
      <c r="D9">
        <v>1033</v>
      </c>
      <c r="E9" t="s">
        <v>391</v>
      </c>
      <c r="F9" t="s">
        <v>392</v>
      </c>
    </row>
    <row r="10" spans="1:6" x14ac:dyDescent="0.25">
      <c r="A10" t="s">
        <v>408</v>
      </c>
      <c r="B10" s="155" t="s">
        <v>398</v>
      </c>
      <c r="C10" s="155" t="s">
        <v>399</v>
      </c>
      <c r="D10">
        <v>1034</v>
      </c>
      <c r="E10" t="s">
        <v>391</v>
      </c>
      <c r="F10" t="s">
        <v>392</v>
      </c>
    </row>
    <row r="11" spans="1:6" x14ac:dyDescent="0.25">
      <c r="A11" t="s">
        <v>409</v>
      </c>
      <c r="B11" s="155" t="s">
        <v>400</v>
      </c>
      <c r="C11" s="155" t="s">
        <v>401</v>
      </c>
      <c r="D11">
        <v>1035</v>
      </c>
      <c r="E11" t="s">
        <v>391</v>
      </c>
      <c r="F11" t="s">
        <v>392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3C40-5F71-49DB-88A9-F964AA14077C}">
  <sheetPr>
    <tabColor rgb="FF92D050"/>
    <pageSetUpPr fitToPage="1"/>
  </sheetPr>
  <dimension ref="A1:I20"/>
  <sheetViews>
    <sheetView zoomScale="80" zoomScaleNormal="80" workbookViewId="0">
      <selection activeCell="F10" sqref="F10"/>
    </sheetView>
  </sheetViews>
  <sheetFormatPr defaultColWidth="9.140625" defaultRowHeight="15" x14ac:dyDescent="0.25"/>
  <cols>
    <col min="1" max="1" width="21.7109375" style="51" customWidth="1"/>
    <col min="2" max="4" width="15.7109375" style="51" customWidth="1"/>
    <col min="5" max="16384" width="9.140625" style="51"/>
  </cols>
  <sheetData>
    <row r="1" spans="1:9" ht="32.25" thickBot="1" x14ac:dyDescent="0.55000000000000004">
      <c r="A1" s="178" t="s">
        <v>237</v>
      </c>
      <c r="B1" s="178"/>
      <c r="C1" s="178"/>
      <c r="D1" s="120"/>
    </row>
    <row r="2" spans="1:9" x14ac:dyDescent="0.25">
      <c r="A2" s="35" t="s">
        <v>16</v>
      </c>
      <c r="B2" s="228" t="str">
        <f>CONCATENATE(ExpID,"-",StnNum,"-",StnDay)</f>
        <v>Polhavet2022-6-1</v>
      </c>
      <c r="C2" s="228"/>
      <c r="D2" s="76"/>
    </row>
    <row r="3" spans="1:9" x14ac:dyDescent="0.25">
      <c r="A3" s="36" t="s">
        <v>137</v>
      </c>
      <c r="B3" s="229"/>
      <c r="C3" s="229"/>
      <c r="D3" s="80"/>
    </row>
    <row r="4" spans="1:9" x14ac:dyDescent="0.25">
      <c r="A4" s="36" t="s">
        <v>4</v>
      </c>
      <c r="B4" s="195" t="str">
        <f>ObsDate</f>
        <v>05.08.2022</v>
      </c>
      <c r="C4" s="195"/>
      <c r="D4" s="80"/>
    </row>
    <row r="5" spans="1:9" x14ac:dyDescent="0.25">
      <c r="A5" s="37" t="s">
        <v>108</v>
      </c>
      <c r="B5" s="230"/>
      <c r="C5" s="230"/>
      <c r="D5" s="80"/>
    </row>
    <row r="6" spans="1:9" x14ac:dyDescent="0.25">
      <c r="A6" s="37" t="s">
        <v>122</v>
      </c>
      <c r="B6" s="233" t="s">
        <v>187</v>
      </c>
      <c r="C6" s="233"/>
      <c r="D6" s="80"/>
      <c r="E6" s="77"/>
      <c r="F6" s="77"/>
      <c r="G6" s="79"/>
      <c r="H6" s="78"/>
      <c r="I6" s="51" t="s">
        <v>238</v>
      </c>
    </row>
    <row r="7" spans="1:9" ht="89.45" customHeight="1" thickBot="1" x14ac:dyDescent="0.3">
      <c r="A7" s="38" t="s">
        <v>15</v>
      </c>
      <c r="B7" s="225" t="s">
        <v>288</v>
      </c>
      <c r="C7" s="226"/>
      <c r="D7" s="227"/>
    </row>
    <row r="8" spans="1:9" x14ac:dyDescent="0.25">
      <c r="B8" s="51" t="s">
        <v>239</v>
      </c>
    </row>
    <row r="9" spans="1:9" x14ac:dyDescent="0.25">
      <c r="B9" s="51" t="s">
        <v>240</v>
      </c>
    </row>
    <row r="10" spans="1:9" x14ac:dyDescent="0.25">
      <c r="B10" s="51" t="s">
        <v>241</v>
      </c>
    </row>
    <row r="11" spans="1:9" x14ac:dyDescent="0.25">
      <c r="B11" s="51" t="s">
        <v>242</v>
      </c>
    </row>
    <row r="12" spans="1:9" x14ac:dyDescent="0.25">
      <c r="B12" s="51" t="s">
        <v>243</v>
      </c>
    </row>
    <row r="13" spans="1:9" x14ac:dyDescent="0.25">
      <c r="B13" s="51" t="s">
        <v>244</v>
      </c>
    </row>
    <row r="14" spans="1:9" x14ac:dyDescent="0.25">
      <c r="B14" s="51" t="s">
        <v>245</v>
      </c>
    </row>
    <row r="15" spans="1:9" x14ac:dyDescent="0.25">
      <c r="B15" s="51" t="s">
        <v>246</v>
      </c>
    </row>
    <row r="16" spans="1:9" x14ac:dyDescent="0.25">
      <c r="B16" s="51" t="s">
        <v>247</v>
      </c>
    </row>
    <row r="17" spans="2:2" x14ac:dyDescent="0.25">
      <c r="B17" s="51" t="s">
        <v>248</v>
      </c>
    </row>
    <row r="18" spans="2:2" x14ac:dyDescent="0.25">
      <c r="B18" s="51" t="s">
        <v>249</v>
      </c>
    </row>
    <row r="19" spans="2:2" x14ac:dyDescent="0.25">
      <c r="B19" s="51" t="s">
        <v>250</v>
      </c>
    </row>
    <row r="20" spans="2:2" x14ac:dyDescent="0.25">
      <c r="B20" s="51" t="s">
        <v>251</v>
      </c>
    </row>
  </sheetData>
  <mergeCells count="7">
    <mergeCell ref="B7:D7"/>
    <mergeCell ref="A1:C1"/>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H15"/>
  <sheetViews>
    <sheetView zoomScale="80" zoomScaleNormal="80" workbookViewId="0">
      <selection activeCell="E17" sqref="E17"/>
    </sheetView>
  </sheetViews>
  <sheetFormatPr defaultColWidth="9.140625" defaultRowHeight="15" x14ac:dyDescent="0.25"/>
  <cols>
    <col min="1" max="1" width="21.7109375" style="51" customWidth="1"/>
    <col min="2" max="4" width="15.7109375" style="51" customWidth="1"/>
    <col min="5" max="16384" width="9.140625" style="51"/>
  </cols>
  <sheetData>
    <row r="1" spans="1:8" ht="32.25" thickBot="1" x14ac:dyDescent="0.55000000000000004">
      <c r="A1" s="178" t="s">
        <v>74</v>
      </c>
      <c r="B1" s="178"/>
      <c r="C1" s="178"/>
      <c r="D1" s="120"/>
    </row>
    <row r="2" spans="1:8" x14ac:dyDescent="0.25">
      <c r="A2" s="35" t="s">
        <v>16</v>
      </c>
      <c r="B2" s="228" t="str">
        <f>CONCATENATE(ExpID,"-",StnNum,"-",StnDay)</f>
        <v>Polhavet2022-6-1</v>
      </c>
      <c r="C2" s="228"/>
      <c r="D2" s="76"/>
    </row>
    <row r="3" spans="1:8" x14ac:dyDescent="0.25">
      <c r="A3" s="36" t="s">
        <v>137</v>
      </c>
      <c r="B3" s="229"/>
      <c r="C3" s="229"/>
      <c r="D3" s="80"/>
    </row>
    <row r="4" spans="1:8" x14ac:dyDescent="0.25">
      <c r="A4" s="36" t="s">
        <v>4</v>
      </c>
      <c r="B4" s="195" t="str">
        <f>ObsDate</f>
        <v>05.08.2022</v>
      </c>
      <c r="C4" s="195"/>
      <c r="D4" s="80"/>
    </row>
    <row r="5" spans="1:8" x14ac:dyDescent="0.25">
      <c r="A5" s="37" t="s">
        <v>108</v>
      </c>
      <c r="B5" s="230"/>
      <c r="C5" s="230"/>
      <c r="D5" s="80"/>
    </row>
    <row r="6" spans="1:8" x14ac:dyDescent="0.25">
      <c r="A6" s="37" t="s">
        <v>122</v>
      </c>
      <c r="B6" s="233"/>
      <c r="C6" s="233"/>
      <c r="D6" s="80"/>
      <c r="E6" s="77"/>
      <c r="F6" s="77"/>
      <c r="G6" s="79"/>
      <c r="H6" s="78"/>
    </row>
    <row r="7" spans="1:8" ht="30" customHeight="1" thickBot="1" x14ac:dyDescent="0.3">
      <c r="A7" s="38" t="s">
        <v>15</v>
      </c>
      <c r="B7" s="225" t="s">
        <v>436</v>
      </c>
      <c r="C7" s="226"/>
      <c r="D7" s="227"/>
    </row>
    <row r="11" spans="1:8" x14ac:dyDescent="0.25">
      <c r="A11" s="51" t="s">
        <v>428</v>
      </c>
      <c r="B11" s="164" t="s">
        <v>433</v>
      </c>
      <c r="C11" s="164" t="s">
        <v>434</v>
      </c>
      <c r="D11" s="164" t="s">
        <v>435</v>
      </c>
      <c r="E11" s="164" t="s">
        <v>433</v>
      </c>
    </row>
    <row r="12" spans="1:8" x14ac:dyDescent="0.25">
      <c r="A12" s="122" t="s">
        <v>429</v>
      </c>
      <c r="B12" s="51">
        <v>-1</v>
      </c>
      <c r="C12" s="51">
        <v>29.1</v>
      </c>
      <c r="D12" s="51">
        <v>47.3</v>
      </c>
      <c r="E12" s="51">
        <v>-0.7</v>
      </c>
    </row>
    <row r="13" spans="1:8" x14ac:dyDescent="0.25">
      <c r="A13" s="122" t="s">
        <v>430</v>
      </c>
      <c r="B13" s="51">
        <v>-1.2</v>
      </c>
      <c r="C13" s="51">
        <v>29.2</v>
      </c>
      <c r="D13" s="51">
        <v>47.3</v>
      </c>
      <c r="E13" s="51">
        <v>-0.8</v>
      </c>
    </row>
    <row r="14" spans="1:8" x14ac:dyDescent="0.25">
      <c r="A14" s="122" t="s">
        <v>431</v>
      </c>
      <c r="B14" s="51">
        <v>-1.3</v>
      </c>
      <c r="C14" s="51">
        <v>29.1</v>
      </c>
      <c r="D14" s="51">
        <v>47.5</v>
      </c>
      <c r="E14" s="51">
        <v>-0.8</v>
      </c>
    </row>
    <row r="15" spans="1:8" x14ac:dyDescent="0.25">
      <c r="A15" s="122" t="s">
        <v>432</v>
      </c>
      <c r="B15" s="51">
        <v>-1.4</v>
      </c>
      <c r="C15" s="51">
        <v>29.5</v>
      </c>
      <c r="D15" s="51">
        <v>47.8</v>
      </c>
      <c r="E15" s="51">
        <v>-0.8</v>
      </c>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ColWidth="9.140625" defaultRowHeight="15" x14ac:dyDescent="0.25"/>
  <cols>
    <col min="1" max="1" width="22.7109375" bestFit="1" customWidth="1"/>
    <col min="2" max="2" width="24.7109375" bestFit="1" customWidth="1"/>
    <col min="3" max="3" width="62.28515625" bestFit="1" customWidth="1"/>
    <col min="4" max="4" width="14.42578125" bestFit="1" customWidth="1"/>
    <col min="5" max="5" width="12.42578125" customWidth="1"/>
    <col min="7" max="15" width="9.140625" style="2"/>
  </cols>
  <sheetData>
    <row r="1" spans="1:15" s="1" customFormat="1" x14ac:dyDescent="0.25">
      <c r="A1" s="3" t="s">
        <v>19</v>
      </c>
      <c r="B1" s="3" t="s">
        <v>20</v>
      </c>
      <c r="C1" s="3" t="s">
        <v>11</v>
      </c>
      <c r="D1" s="3" t="s">
        <v>86</v>
      </c>
      <c r="E1" s="3" t="s">
        <v>94</v>
      </c>
      <c r="F1" s="3" t="s">
        <v>169</v>
      </c>
      <c r="G1" s="22"/>
      <c r="H1" s="22"/>
      <c r="I1" s="22"/>
      <c r="J1" s="22"/>
      <c r="K1" s="2"/>
      <c r="L1" s="2"/>
      <c r="M1" s="2"/>
      <c r="N1" s="2"/>
      <c r="O1" s="2"/>
    </row>
    <row r="2" spans="1:15" x14ac:dyDescent="0.25">
      <c r="A2" t="s">
        <v>45</v>
      </c>
      <c r="B2" t="s">
        <v>22</v>
      </c>
      <c r="C2" t="s">
        <v>12</v>
      </c>
      <c r="D2" t="s">
        <v>87</v>
      </c>
      <c r="E2" t="s">
        <v>95</v>
      </c>
      <c r="F2" t="s">
        <v>170</v>
      </c>
    </row>
    <row r="3" spans="1:15" x14ac:dyDescent="0.25">
      <c r="A3" t="s">
        <v>46</v>
      </c>
      <c r="B3" t="s">
        <v>23</v>
      </c>
      <c r="C3" t="s">
        <v>24</v>
      </c>
      <c r="D3" t="s">
        <v>88</v>
      </c>
      <c r="E3" t="s">
        <v>96</v>
      </c>
      <c r="F3" t="s">
        <v>171</v>
      </c>
    </row>
    <row r="4" spans="1:15" x14ac:dyDescent="0.25">
      <c r="A4" t="s">
        <v>47</v>
      </c>
      <c r="B4" t="s">
        <v>10</v>
      </c>
      <c r="C4" t="s">
        <v>25</v>
      </c>
      <c r="D4" t="s">
        <v>89</v>
      </c>
      <c r="E4" t="s">
        <v>97</v>
      </c>
    </row>
    <row r="5" spans="1:15" x14ac:dyDescent="0.25">
      <c r="A5" t="s">
        <v>48</v>
      </c>
      <c r="B5" t="s">
        <v>26</v>
      </c>
      <c r="C5" t="s">
        <v>27</v>
      </c>
      <c r="D5" t="s">
        <v>90</v>
      </c>
      <c r="E5" t="s">
        <v>98</v>
      </c>
    </row>
    <row r="6" spans="1:15" x14ac:dyDescent="0.25">
      <c r="A6" t="s">
        <v>49</v>
      </c>
      <c r="C6" t="s">
        <v>28</v>
      </c>
      <c r="D6" t="s">
        <v>91</v>
      </c>
      <c r="E6" t="s">
        <v>99</v>
      </c>
    </row>
    <row r="7" spans="1:15" x14ac:dyDescent="0.25">
      <c r="A7" t="s">
        <v>50</v>
      </c>
      <c r="C7" t="s">
        <v>29</v>
      </c>
      <c r="D7" t="s">
        <v>92</v>
      </c>
      <c r="E7" t="s">
        <v>100</v>
      </c>
    </row>
    <row r="8" spans="1:15" x14ac:dyDescent="0.25">
      <c r="A8" t="s">
        <v>51</v>
      </c>
      <c r="C8" t="s">
        <v>30</v>
      </c>
      <c r="D8" t="s">
        <v>93</v>
      </c>
      <c r="E8" t="s">
        <v>101</v>
      </c>
    </row>
    <row r="9" spans="1:15" x14ac:dyDescent="0.25">
      <c r="A9" t="s">
        <v>52</v>
      </c>
      <c r="C9" t="s">
        <v>31</v>
      </c>
      <c r="D9" t="s">
        <v>107</v>
      </c>
      <c r="E9" t="s">
        <v>102</v>
      </c>
    </row>
    <row r="10" spans="1:15" x14ac:dyDescent="0.25">
      <c r="A10" t="s">
        <v>53</v>
      </c>
      <c r="C10" t="s">
        <v>32</v>
      </c>
      <c r="E10" t="s">
        <v>103</v>
      </c>
    </row>
    <row r="11" spans="1:15" x14ac:dyDescent="0.25">
      <c r="A11" t="s">
        <v>54</v>
      </c>
      <c r="C11" t="s">
        <v>33</v>
      </c>
      <c r="E11" t="s">
        <v>104</v>
      </c>
    </row>
    <row r="12" spans="1:15" x14ac:dyDescent="0.25">
      <c r="A12" t="s">
        <v>55</v>
      </c>
      <c r="C12" t="s">
        <v>34</v>
      </c>
      <c r="E12" t="s">
        <v>105</v>
      </c>
    </row>
    <row r="13" spans="1:15" x14ac:dyDescent="0.25">
      <c r="A13" t="s">
        <v>56</v>
      </c>
      <c r="C13" t="s">
        <v>35</v>
      </c>
      <c r="E13" t="s">
        <v>106</v>
      </c>
    </row>
    <row r="14" spans="1:15" x14ac:dyDescent="0.25">
      <c r="A14" s="1" t="s">
        <v>5</v>
      </c>
      <c r="C14" t="s">
        <v>36</v>
      </c>
    </row>
    <row r="15" spans="1:15" x14ac:dyDescent="0.25">
      <c r="A15" s="1" t="s">
        <v>68</v>
      </c>
      <c r="C15" t="s">
        <v>37</v>
      </c>
    </row>
    <row r="16" spans="1:15" x14ac:dyDescent="0.25">
      <c r="A16" s="1" t="s">
        <v>67</v>
      </c>
      <c r="C16" t="s">
        <v>38</v>
      </c>
    </row>
    <row r="17" spans="1:6" x14ac:dyDescent="0.25">
      <c r="A17" t="s">
        <v>57</v>
      </c>
    </row>
    <row r="18" spans="1:6" x14ac:dyDescent="0.25">
      <c r="A18" t="s">
        <v>58</v>
      </c>
    </row>
    <row r="19" spans="1:6" x14ac:dyDescent="0.25">
      <c r="A19" t="s">
        <v>59</v>
      </c>
    </row>
    <row r="20" spans="1:6" x14ac:dyDescent="0.25">
      <c r="A20" t="s">
        <v>60</v>
      </c>
    </row>
    <row r="21" spans="1:6" x14ac:dyDescent="0.25">
      <c r="A21" t="s">
        <v>61</v>
      </c>
    </row>
    <row r="22" spans="1:6" x14ac:dyDescent="0.25">
      <c r="A22" t="s">
        <v>62</v>
      </c>
    </row>
    <row r="23" spans="1:6" x14ac:dyDescent="0.25">
      <c r="A23" t="s">
        <v>63</v>
      </c>
    </row>
    <row r="24" spans="1:6" x14ac:dyDescent="0.25">
      <c r="A24" t="s">
        <v>64</v>
      </c>
    </row>
    <row r="25" spans="1:6" x14ac:dyDescent="0.25">
      <c r="A25" t="s">
        <v>65</v>
      </c>
    </row>
    <row r="26" spans="1:6" x14ac:dyDescent="0.25">
      <c r="A26" t="s">
        <v>66</v>
      </c>
    </row>
    <row r="27" spans="1:6" x14ac:dyDescent="0.25">
      <c r="F27" s="2"/>
    </row>
  </sheetData>
  <pageMargins left="0.7" right="0.7" top="0.75" bottom="0.75" header="0.3" footer="0.3"/>
  <pageSetup paperSize="9" scale="71"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ED8E88-428B-40CB-B2F1-3F79044F6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Station Overview</vt:lpstr>
      <vt:lpstr>GEM-2</vt:lpstr>
      <vt:lpstr>Thickness Drilling</vt:lpstr>
      <vt:lpstr>Salinity Core</vt:lpstr>
      <vt:lpstr>Temperature Core</vt:lpstr>
      <vt:lpstr>Archive Core</vt:lpstr>
      <vt:lpstr>Density Core</vt:lpstr>
      <vt:lpstr>Texture Core</vt:lpstr>
      <vt:lpstr>Microplastic core</vt:lpstr>
      <vt:lpstr>Chemistry core</vt:lpstr>
      <vt:lpstr>Snow Pit</vt:lpstr>
      <vt:lpstr>Meltpond</vt:lpstr>
      <vt:lpstr>Under Ice Water</vt:lpstr>
      <vt:lpstr>Floe GPS survey</vt:lpstr>
      <vt:lpstr>CTD</vt:lpstr>
      <vt:lpstr>Lists</vt:lpstr>
      <vt:lpstr>asdfasdf</vt:lpstr>
      <vt:lpstr>ExpID</vt:lpstr>
      <vt:lpstr>GeneralConditions</vt:lpstr>
      <vt:lpstr>ObsDate</vt:lpstr>
      <vt:lpstr>'Archive Core'!Print_Area</vt:lpstr>
      <vt:lpstr>'Chemistry core'!Print_Area</vt:lpstr>
      <vt:lpstr>CTD!Print_Area</vt:lpstr>
      <vt:lpstr>'Density Core'!Print_Area</vt:lpstr>
      <vt:lpstr>'Floe GPS survey'!Print_Area</vt:lpstr>
      <vt:lpstr>'GEM-2'!Print_Area</vt:lpstr>
      <vt:lpstr>'Microplastic core'!Print_Area</vt:lpstr>
      <vt:lpstr>'Salinity Core'!Print_Area</vt:lpstr>
      <vt:lpstr>'Snow Pit'!Print_Area</vt:lpstr>
      <vt:lpstr>'Station Overview'!Print_Area</vt:lpstr>
      <vt:lpstr>'Temperature Core'!Print_Area</vt:lpstr>
      <vt:lpstr>'Texture Core'!Print_Area</vt:lpstr>
      <vt:lpstr>'Thickness Drilling'!Print_Area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Evgenii Salganik</cp:lastModifiedBy>
  <cp:lastPrinted>2011-02-07T12:20:41Z</cp:lastPrinted>
  <dcterms:created xsi:type="dcterms:W3CDTF">2011-01-27T20:27:49Z</dcterms:created>
  <dcterms:modified xsi:type="dcterms:W3CDTF">2026-05-07T12:19:55Z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